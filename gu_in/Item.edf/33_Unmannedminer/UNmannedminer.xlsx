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2C5CA311-06EC-4290-AA16-90B16876C2EC}" xr6:coauthVersionLast="45" xr6:coauthVersionMax="45" xr10:uidLastSave="{00000000-0000-0000-0000-000000000000}"/>
  <bookViews>
    <workbookView xWindow="2415" yWindow="360" windowWidth="24930" windowHeight="15105" xr2:uid="{00000000-000D-0000-FFFF-FFFF00000000}"/>
  </bookViews>
  <sheets>
    <sheet name="UNmannedminer" sheetId="1" r:id="rId1"/>
    <sheet name="33decrypt" sheetId="3" r:id="rId2"/>
    <sheet name="33desc" sheetId="5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29" i="3" l="1"/>
  <c r="AI29" i="3"/>
  <c r="AH29" i="3"/>
  <c r="AG29" i="3"/>
  <c r="AF29" i="3"/>
  <c r="AE29" i="3"/>
  <c r="AB29" i="3"/>
  <c r="Z29" i="3"/>
  <c r="Y29" i="3"/>
  <c r="X29" i="3"/>
  <c r="W29" i="3"/>
  <c r="V29" i="3"/>
  <c r="U29" i="3"/>
  <c r="T29" i="3"/>
  <c r="R29" i="3"/>
  <c r="Q29" i="3"/>
  <c r="P29" i="3"/>
  <c r="O29" i="3"/>
  <c r="N29" i="3"/>
  <c r="M29" i="3"/>
  <c r="L29" i="3"/>
  <c r="K29" i="3"/>
  <c r="J29" i="3"/>
  <c r="I29" i="3"/>
  <c r="G29" i="3"/>
  <c r="E29" i="3"/>
  <c r="D29" i="3"/>
  <c r="C29" i="3"/>
  <c r="B29" i="3"/>
  <c r="A29" i="3"/>
  <c r="AJ28" i="3"/>
  <c r="AI28" i="3"/>
  <c r="AH28" i="3"/>
  <c r="AG28" i="3"/>
  <c r="AF28" i="3"/>
  <c r="AE28" i="3"/>
  <c r="AB28" i="3"/>
  <c r="Z28" i="3"/>
  <c r="Y28" i="3"/>
  <c r="X28" i="3"/>
  <c r="W28" i="3"/>
  <c r="V28" i="3"/>
  <c r="U28" i="3"/>
  <c r="T28" i="3"/>
  <c r="R28" i="3"/>
  <c r="Q28" i="3"/>
  <c r="P28" i="3"/>
  <c r="O28" i="3"/>
  <c r="N28" i="3"/>
  <c r="M28" i="3"/>
  <c r="L28" i="3"/>
  <c r="K28" i="3"/>
  <c r="J28" i="3"/>
  <c r="I28" i="3"/>
  <c r="G28" i="3"/>
  <c r="E28" i="3"/>
  <c r="D28" i="3"/>
  <c r="C28" i="3"/>
  <c r="B28" i="3"/>
  <c r="A28" i="3"/>
  <c r="AJ27" i="3"/>
  <c r="AI27" i="3"/>
  <c r="AH27" i="3"/>
  <c r="AG27" i="3"/>
  <c r="AF27" i="3"/>
  <c r="AE27" i="3"/>
  <c r="AB27" i="3"/>
  <c r="Z27" i="3"/>
  <c r="Y27" i="3"/>
  <c r="X27" i="3"/>
  <c r="W27" i="3"/>
  <c r="V27" i="3"/>
  <c r="U27" i="3"/>
  <c r="T27" i="3"/>
  <c r="R27" i="3"/>
  <c r="Q27" i="3"/>
  <c r="P27" i="3"/>
  <c r="O27" i="3"/>
  <c r="N27" i="3"/>
  <c r="M27" i="3"/>
  <c r="L27" i="3"/>
  <c r="K27" i="3"/>
  <c r="J27" i="3"/>
  <c r="I27" i="3"/>
  <c r="G27" i="3"/>
  <c r="E27" i="3"/>
  <c r="D27" i="3"/>
  <c r="C27" i="3"/>
  <c r="B27" i="3"/>
  <c r="A27" i="3"/>
  <c r="AJ26" i="3"/>
  <c r="AI26" i="3"/>
  <c r="AH26" i="3"/>
  <c r="AG26" i="3"/>
  <c r="AF26" i="3"/>
  <c r="AE26" i="3"/>
  <c r="AB26" i="3"/>
  <c r="Z26" i="3"/>
  <c r="Y26" i="3"/>
  <c r="X26" i="3"/>
  <c r="W26" i="3"/>
  <c r="V26" i="3"/>
  <c r="U26" i="3"/>
  <c r="T26" i="3"/>
  <c r="R26" i="3"/>
  <c r="Q26" i="3"/>
  <c r="P26" i="3"/>
  <c r="O26" i="3"/>
  <c r="N26" i="3"/>
  <c r="M26" i="3"/>
  <c r="L26" i="3"/>
  <c r="K26" i="3"/>
  <c r="J26" i="3"/>
  <c r="I26" i="3"/>
  <c r="G26" i="3"/>
  <c r="E26" i="3"/>
  <c r="D26" i="3"/>
  <c r="C26" i="3"/>
  <c r="B26" i="3"/>
  <c r="A26" i="3"/>
  <c r="AJ25" i="3"/>
  <c r="AI25" i="3"/>
  <c r="AH25" i="3"/>
  <c r="AG25" i="3"/>
  <c r="AF25" i="3"/>
  <c r="AE25" i="3"/>
  <c r="AB25" i="3"/>
  <c r="Z25" i="3"/>
  <c r="Y25" i="3"/>
  <c r="X25" i="3"/>
  <c r="W25" i="3"/>
  <c r="V25" i="3"/>
  <c r="U25" i="3"/>
  <c r="T25" i="3"/>
  <c r="R25" i="3"/>
  <c r="Q25" i="3"/>
  <c r="P25" i="3"/>
  <c r="O25" i="3"/>
  <c r="N25" i="3"/>
  <c r="M25" i="3"/>
  <c r="L25" i="3"/>
  <c r="K25" i="3"/>
  <c r="J25" i="3"/>
  <c r="I25" i="3"/>
  <c r="G25" i="3"/>
  <c r="E25" i="3"/>
  <c r="D25" i="3"/>
  <c r="C25" i="3"/>
  <c r="B25" i="3"/>
  <c r="A25" i="3"/>
  <c r="AJ24" i="3"/>
  <c r="AI24" i="3"/>
  <c r="AH24" i="3"/>
  <c r="AG24" i="3"/>
  <c r="AF24" i="3"/>
  <c r="AE24" i="3"/>
  <c r="AB24" i="3"/>
  <c r="Z24" i="3"/>
  <c r="Y24" i="3"/>
  <c r="X24" i="3"/>
  <c r="W24" i="3"/>
  <c r="V24" i="3"/>
  <c r="U24" i="3"/>
  <c r="T24" i="3"/>
  <c r="R24" i="3"/>
  <c r="Q24" i="3"/>
  <c r="P24" i="3"/>
  <c r="O24" i="3"/>
  <c r="N24" i="3"/>
  <c r="M24" i="3"/>
  <c r="L24" i="3"/>
  <c r="K24" i="3"/>
  <c r="J24" i="3"/>
  <c r="I24" i="3"/>
  <c r="G24" i="3"/>
  <c r="E24" i="3"/>
  <c r="D24" i="3"/>
  <c r="C24" i="3"/>
  <c r="B24" i="3"/>
  <c r="A24" i="3"/>
  <c r="AJ23" i="3"/>
  <c r="AI23" i="3"/>
  <c r="AH23" i="3"/>
  <c r="AG23" i="3"/>
  <c r="AF23" i="3"/>
  <c r="AE23" i="3"/>
  <c r="AB23" i="3"/>
  <c r="Z23" i="3"/>
  <c r="Y23" i="3"/>
  <c r="X23" i="3"/>
  <c r="W23" i="3"/>
  <c r="V23" i="3"/>
  <c r="U23" i="3"/>
  <c r="T23" i="3"/>
  <c r="R23" i="3"/>
  <c r="Q23" i="3"/>
  <c r="P23" i="3"/>
  <c r="O23" i="3"/>
  <c r="N23" i="3"/>
  <c r="M23" i="3"/>
  <c r="L23" i="3"/>
  <c r="K23" i="3"/>
  <c r="J23" i="3"/>
  <c r="I23" i="3"/>
  <c r="G23" i="3"/>
  <c r="E23" i="3"/>
  <c r="D23" i="3"/>
  <c r="C23" i="3"/>
  <c r="B23" i="3"/>
  <c r="A23" i="3"/>
  <c r="AJ22" i="3"/>
  <c r="AI22" i="3"/>
  <c r="AH22" i="3"/>
  <c r="AG22" i="3"/>
  <c r="AF22" i="3"/>
  <c r="AE22" i="3"/>
  <c r="AB22" i="3"/>
  <c r="Z22" i="3"/>
  <c r="Y22" i="3"/>
  <c r="X22" i="3"/>
  <c r="W22" i="3"/>
  <c r="V22" i="3"/>
  <c r="U22" i="3"/>
  <c r="T22" i="3"/>
  <c r="R22" i="3"/>
  <c r="Q22" i="3"/>
  <c r="P22" i="3"/>
  <c r="O22" i="3"/>
  <c r="N22" i="3"/>
  <c r="M22" i="3"/>
  <c r="L22" i="3"/>
  <c r="K22" i="3"/>
  <c r="J22" i="3"/>
  <c r="I22" i="3"/>
  <c r="G22" i="3"/>
  <c r="E22" i="3"/>
  <c r="D22" i="3"/>
  <c r="C22" i="3"/>
  <c r="B22" i="3"/>
  <c r="A22" i="3"/>
  <c r="AJ21" i="3"/>
  <c r="AI21" i="3"/>
  <c r="AH21" i="3"/>
  <c r="AG21" i="3"/>
  <c r="AF21" i="3"/>
  <c r="AE21" i="3"/>
  <c r="AB21" i="3"/>
  <c r="Z21" i="3"/>
  <c r="Y21" i="3"/>
  <c r="X21" i="3"/>
  <c r="W21" i="3"/>
  <c r="V21" i="3"/>
  <c r="U21" i="3"/>
  <c r="T21" i="3"/>
  <c r="R21" i="3"/>
  <c r="Q21" i="3"/>
  <c r="P21" i="3"/>
  <c r="O21" i="3"/>
  <c r="N21" i="3"/>
  <c r="M21" i="3"/>
  <c r="L21" i="3"/>
  <c r="K21" i="3"/>
  <c r="J21" i="3"/>
  <c r="I21" i="3"/>
  <c r="G21" i="3"/>
  <c r="E21" i="3"/>
  <c r="D21" i="3"/>
  <c r="C21" i="3"/>
  <c r="B21" i="3"/>
  <c r="A21" i="3"/>
  <c r="AJ20" i="3"/>
  <c r="AI20" i="3"/>
  <c r="AH20" i="3"/>
  <c r="AG20" i="3"/>
  <c r="AF20" i="3"/>
  <c r="AE20" i="3"/>
  <c r="AB20" i="3"/>
  <c r="Z20" i="3"/>
  <c r="Y20" i="3"/>
  <c r="X20" i="3"/>
  <c r="W20" i="3"/>
  <c r="V20" i="3"/>
  <c r="U20" i="3"/>
  <c r="T20" i="3"/>
  <c r="R20" i="3"/>
  <c r="Q20" i="3"/>
  <c r="P20" i="3"/>
  <c r="O20" i="3"/>
  <c r="N20" i="3"/>
  <c r="M20" i="3"/>
  <c r="L20" i="3"/>
  <c r="K20" i="3"/>
  <c r="J20" i="3"/>
  <c r="I20" i="3"/>
  <c r="G20" i="3"/>
  <c r="E20" i="3"/>
  <c r="D20" i="3"/>
  <c r="C20" i="3"/>
  <c r="B20" i="3"/>
  <c r="A20" i="3"/>
  <c r="AJ19" i="3"/>
  <c r="AI19" i="3"/>
  <c r="AH19" i="3"/>
  <c r="AG19" i="3"/>
  <c r="AF19" i="3"/>
  <c r="AE19" i="3"/>
  <c r="AB19" i="3"/>
  <c r="Z19" i="3"/>
  <c r="Y19" i="3"/>
  <c r="X19" i="3"/>
  <c r="W19" i="3"/>
  <c r="V19" i="3"/>
  <c r="U19" i="3"/>
  <c r="T19" i="3"/>
  <c r="R19" i="3"/>
  <c r="Q19" i="3"/>
  <c r="P19" i="3"/>
  <c r="O19" i="3"/>
  <c r="N19" i="3"/>
  <c r="M19" i="3"/>
  <c r="L19" i="3"/>
  <c r="K19" i="3"/>
  <c r="J19" i="3"/>
  <c r="I19" i="3"/>
  <c r="G19" i="3"/>
  <c r="E19" i="3"/>
  <c r="D19" i="3"/>
  <c r="C19" i="3"/>
  <c r="B19" i="3"/>
  <c r="A19" i="3"/>
  <c r="AJ18" i="3"/>
  <c r="AI18" i="3"/>
  <c r="AH18" i="3"/>
  <c r="AG18" i="3"/>
  <c r="AF18" i="3"/>
  <c r="AE18" i="3"/>
  <c r="AB18" i="3"/>
  <c r="Z18" i="3"/>
  <c r="Y18" i="3"/>
  <c r="X18" i="3"/>
  <c r="W18" i="3"/>
  <c r="V18" i="3"/>
  <c r="U18" i="3"/>
  <c r="T18" i="3"/>
  <c r="R18" i="3"/>
  <c r="Q18" i="3"/>
  <c r="P18" i="3"/>
  <c r="O18" i="3"/>
  <c r="N18" i="3"/>
  <c r="M18" i="3"/>
  <c r="L18" i="3"/>
  <c r="K18" i="3"/>
  <c r="J18" i="3"/>
  <c r="I18" i="3"/>
  <c r="G18" i="3"/>
  <c r="E18" i="3"/>
  <c r="D18" i="3"/>
  <c r="C18" i="3"/>
  <c r="B18" i="3"/>
  <c r="A18" i="3"/>
  <c r="AJ17" i="3"/>
  <c r="AI17" i="3"/>
  <c r="AH17" i="3"/>
  <c r="AG17" i="3"/>
  <c r="AF17" i="3"/>
  <c r="AE17" i="3"/>
  <c r="AB17" i="3"/>
  <c r="Z17" i="3"/>
  <c r="Y17" i="3"/>
  <c r="X17" i="3"/>
  <c r="W17" i="3"/>
  <c r="V17" i="3"/>
  <c r="U17" i="3"/>
  <c r="T17" i="3"/>
  <c r="R17" i="3"/>
  <c r="Q17" i="3"/>
  <c r="P17" i="3"/>
  <c r="O17" i="3"/>
  <c r="N17" i="3"/>
  <c r="M17" i="3"/>
  <c r="L17" i="3"/>
  <c r="K17" i="3"/>
  <c r="J17" i="3"/>
  <c r="I17" i="3"/>
  <c r="G17" i="3"/>
  <c r="E17" i="3"/>
  <c r="D17" i="3"/>
  <c r="C17" i="3"/>
  <c r="B17" i="3"/>
  <c r="A17" i="3"/>
  <c r="AJ16" i="3"/>
  <c r="AI16" i="3"/>
  <c r="AH16" i="3"/>
  <c r="AG16" i="3"/>
  <c r="AF16" i="3"/>
  <c r="AE16" i="3"/>
  <c r="AB16" i="3"/>
  <c r="Z16" i="3"/>
  <c r="Y16" i="3"/>
  <c r="X16" i="3"/>
  <c r="W16" i="3"/>
  <c r="V16" i="3"/>
  <c r="U16" i="3"/>
  <c r="T16" i="3"/>
  <c r="R16" i="3"/>
  <c r="Q16" i="3"/>
  <c r="P16" i="3"/>
  <c r="O16" i="3"/>
  <c r="N16" i="3"/>
  <c r="M16" i="3"/>
  <c r="L16" i="3"/>
  <c r="K16" i="3"/>
  <c r="J16" i="3"/>
  <c r="I16" i="3"/>
  <c r="G16" i="3"/>
  <c r="E16" i="3"/>
  <c r="D16" i="3"/>
  <c r="C16" i="3"/>
  <c r="B16" i="3"/>
  <c r="A16" i="3"/>
  <c r="AJ15" i="3"/>
  <c r="AI15" i="3"/>
  <c r="AH15" i="3"/>
  <c r="AG15" i="3"/>
  <c r="AF15" i="3"/>
  <c r="AE15" i="3"/>
  <c r="AB15" i="3"/>
  <c r="Z15" i="3"/>
  <c r="Y15" i="3"/>
  <c r="X15" i="3"/>
  <c r="W15" i="3"/>
  <c r="V15" i="3"/>
  <c r="U15" i="3"/>
  <c r="T15" i="3"/>
  <c r="R15" i="3"/>
  <c r="Q15" i="3"/>
  <c r="P15" i="3"/>
  <c r="O15" i="3"/>
  <c r="N15" i="3"/>
  <c r="M15" i="3"/>
  <c r="L15" i="3"/>
  <c r="K15" i="3"/>
  <c r="J15" i="3"/>
  <c r="I15" i="3"/>
  <c r="G15" i="3"/>
  <c r="E15" i="3"/>
  <c r="D15" i="3"/>
  <c r="C15" i="3"/>
  <c r="B15" i="3"/>
  <c r="A15" i="3"/>
  <c r="AJ14" i="3"/>
  <c r="AI14" i="3"/>
  <c r="AH14" i="3"/>
  <c r="AG14" i="3"/>
  <c r="AF14" i="3"/>
  <c r="AE14" i="3"/>
  <c r="AB14" i="3"/>
  <c r="Z14" i="3"/>
  <c r="Y14" i="3"/>
  <c r="X14" i="3"/>
  <c r="W14" i="3"/>
  <c r="V14" i="3"/>
  <c r="U14" i="3"/>
  <c r="T14" i="3"/>
  <c r="R14" i="3"/>
  <c r="Q14" i="3"/>
  <c r="P14" i="3"/>
  <c r="O14" i="3"/>
  <c r="N14" i="3"/>
  <c r="M14" i="3"/>
  <c r="L14" i="3"/>
  <c r="K14" i="3"/>
  <c r="J14" i="3"/>
  <c r="I14" i="3"/>
  <c r="G14" i="3"/>
  <c r="E14" i="3"/>
  <c r="D14" i="3"/>
  <c r="C14" i="3"/>
  <c r="B14" i="3"/>
  <c r="A14" i="3"/>
  <c r="AJ13" i="3"/>
  <c r="AI13" i="3"/>
  <c r="AH13" i="3"/>
  <c r="AG13" i="3"/>
  <c r="AF13" i="3"/>
  <c r="AE13" i="3"/>
  <c r="AB13" i="3"/>
  <c r="Z13" i="3"/>
  <c r="Y13" i="3"/>
  <c r="X13" i="3"/>
  <c r="W13" i="3"/>
  <c r="V13" i="3"/>
  <c r="U13" i="3"/>
  <c r="T13" i="3"/>
  <c r="R13" i="3"/>
  <c r="Q13" i="3"/>
  <c r="P13" i="3"/>
  <c r="O13" i="3"/>
  <c r="N13" i="3"/>
  <c r="M13" i="3"/>
  <c r="L13" i="3"/>
  <c r="K13" i="3"/>
  <c r="J13" i="3"/>
  <c r="I13" i="3"/>
  <c r="G13" i="3"/>
  <c r="E13" i="3"/>
  <c r="D13" i="3"/>
  <c r="C13" i="3"/>
  <c r="B13" i="3"/>
  <c r="A13" i="3"/>
  <c r="AJ12" i="3"/>
  <c r="AI12" i="3"/>
  <c r="AH12" i="3"/>
  <c r="AG12" i="3"/>
  <c r="AF12" i="3"/>
  <c r="AE12" i="3"/>
  <c r="AB12" i="3"/>
  <c r="Z12" i="3"/>
  <c r="Y12" i="3"/>
  <c r="X12" i="3"/>
  <c r="W12" i="3"/>
  <c r="V12" i="3"/>
  <c r="U12" i="3"/>
  <c r="T12" i="3"/>
  <c r="R12" i="3"/>
  <c r="Q12" i="3"/>
  <c r="P12" i="3"/>
  <c r="O12" i="3"/>
  <c r="N12" i="3"/>
  <c r="M12" i="3"/>
  <c r="L12" i="3"/>
  <c r="K12" i="3"/>
  <c r="J12" i="3"/>
  <c r="I12" i="3"/>
  <c r="G12" i="3"/>
  <c r="E12" i="3"/>
  <c r="D12" i="3"/>
  <c r="C12" i="3"/>
  <c r="B12" i="3"/>
  <c r="A12" i="3"/>
  <c r="AJ11" i="3"/>
  <c r="AI11" i="3"/>
  <c r="AH11" i="3"/>
  <c r="AG11" i="3"/>
  <c r="AF11" i="3"/>
  <c r="AE11" i="3"/>
  <c r="AB11" i="3"/>
  <c r="Z11" i="3"/>
  <c r="Y11" i="3"/>
  <c r="X11" i="3"/>
  <c r="W11" i="3"/>
  <c r="V11" i="3"/>
  <c r="U11" i="3"/>
  <c r="T11" i="3"/>
  <c r="R11" i="3"/>
  <c r="Q11" i="3"/>
  <c r="P11" i="3"/>
  <c r="O11" i="3"/>
  <c r="N11" i="3"/>
  <c r="M11" i="3"/>
  <c r="L11" i="3"/>
  <c r="K11" i="3"/>
  <c r="J11" i="3"/>
  <c r="I11" i="3"/>
  <c r="G11" i="3"/>
  <c r="E11" i="3"/>
  <c r="D11" i="3"/>
  <c r="C11" i="3"/>
  <c r="B11" i="3"/>
  <c r="A11" i="3"/>
  <c r="AJ10" i="3"/>
  <c r="AI10" i="3"/>
  <c r="AH10" i="3"/>
  <c r="AG10" i="3"/>
  <c r="AF10" i="3"/>
  <c r="AE10" i="3"/>
  <c r="AB10" i="3"/>
  <c r="Z10" i="3"/>
  <c r="Y10" i="3"/>
  <c r="X10" i="3"/>
  <c r="W10" i="3"/>
  <c r="V10" i="3"/>
  <c r="U10" i="3"/>
  <c r="T10" i="3"/>
  <c r="R10" i="3"/>
  <c r="Q10" i="3"/>
  <c r="P10" i="3"/>
  <c r="O10" i="3"/>
  <c r="N10" i="3"/>
  <c r="M10" i="3"/>
  <c r="L10" i="3"/>
  <c r="K10" i="3"/>
  <c r="J10" i="3"/>
  <c r="I10" i="3"/>
  <c r="G10" i="3"/>
  <c r="E10" i="3"/>
  <c r="D10" i="3"/>
  <c r="C10" i="3"/>
  <c r="B10" i="3"/>
  <c r="A10" i="3"/>
  <c r="AJ9" i="3"/>
  <c r="AI9" i="3"/>
  <c r="AH9" i="3"/>
  <c r="AG9" i="3"/>
  <c r="AF9" i="3"/>
  <c r="AE9" i="3"/>
  <c r="AB9" i="3"/>
  <c r="Z9" i="3"/>
  <c r="Y9" i="3"/>
  <c r="X9" i="3"/>
  <c r="W9" i="3"/>
  <c r="V9" i="3"/>
  <c r="U9" i="3"/>
  <c r="T9" i="3"/>
  <c r="R9" i="3"/>
  <c r="Q9" i="3"/>
  <c r="P9" i="3"/>
  <c r="O9" i="3"/>
  <c r="N9" i="3"/>
  <c r="M9" i="3"/>
  <c r="L9" i="3"/>
  <c r="K9" i="3"/>
  <c r="J9" i="3"/>
  <c r="I9" i="3"/>
  <c r="G9" i="3"/>
  <c r="E9" i="3"/>
  <c r="D9" i="3"/>
  <c r="C9" i="3"/>
  <c r="B9" i="3"/>
  <c r="A9" i="3"/>
  <c r="AJ8" i="3"/>
  <c r="AI8" i="3"/>
  <c r="AH8" i="3"/>
  <c r="AG8" i="3"/>
  <c r="AF8" i="3"/>
  <c r="AE8" i="3"/>
  <c r="AB8" i="3"/>
  <c r="Z8" i="3"/>
  <c r="Y8" i="3"/>
  <c r="X8" i="3"/>
  <c r="W8" i="3"/>
  <c r="V8" i="3"/>
  <c r="U8" i="3"/>
  <c r="T8" i="3"/>
  <c r="R8" i="3"/>
  <c r="Q8" i="3"/>
  <c r="P8" i="3"/>
  <c r="O8" i="3"/>
  <c r="N8" i="3"/>
  <c r="M8" i="3"/>
  <c r="L8" i="3"/>
  <c r="K8" i="3"/>
  <c r="J8" i="3"/>
  <c r="I8" i="3"/>
  <c r="G8" i="3"/>
  <c r="E8" i="3"/>
  <c r="D8" i="3"/>
  <c r="C8" i="3"/>
  <c r="B8" i="3"/>
  <c r="A8" i="3"/>
  <c r="AJ7" i="3"/>
  <c r="AI7" i="3"/>
  <c r="AH7" i="3"/>
  <c r="AG7" i="3"/>
  <c r="AF7" i="3"/>
  <c r="AE7" i="3"/>
  <c r="AB7" i="3"/>
  <c r="Z7" i="3"/>
  <c r="Y7" i="3"/>
  <c r="X7" i="3"/>
  <c r="W7" i="3"/>
  <c r="V7" i="3"/>
  <c r="U7" i="3"/>
  <c r="T7" i="3"/>
  <c r="R7" i="3"/>
  <c r="Q7" i="3"/>
  <c r="P7" i="3"/>
  <c r="O7" i="3"/>
  <c r="N7" i="3"/>
  <c r="M7" i="3"/>
  <c r="L7" i="3"/>
  <c r="K7" i="3"/>
  <c r="J7" i="3"/>
  <c r="I7" i="3"/>
  <c r="G7" i="3"/>
  <c r="E7" i="3"/>
  <c r="D7" i="3"/>
  <c r="C7" i="3"/>
  <c r="B7" i="3"/>
  <c r="A7" i="3"/>
  <c r="AJ6" i="3"/>
  <c r="AI6" i="3"/>
  <c r="AH6" i="3"/>
  <c r="AG6" i="3"/>
  <c r="AF6" i="3"/>
  <c r="AE6" i="3"/>
  <c r="AB6" i="3"/>
  <c r="Z6" i="3"/>
  <c r="Y6" i="3"/>
  <c r="X6" i="3"/>
  <c r="W6" i="3"/>
  <c r="V6" i="3"/>
  <c r="U6" i="3"/>
  <c r="T6" i="3"/>
  <c r="R6" i="3"/>
  <c r="Q6" i="3"/>
  <c r="P6" i="3"/>
  <c r="O6" i="3"/>
  <c r="N6" i="3"/>
  <c r="M6" i="3"/>
  <c r="L6" i="3"/>
  <c r="K6" i="3"/>
  <c r="J6" i="3"/>
  <c r="I6" i="3"/>
  <c r="G6" i="3"/>
  <c r="E6" i="3"/>
  <c r="D6" i="3"/>
  <c r="C6" i="3"/>
  <c r="B6" i="3"/>
  <c r="A6" i="3"/>
  <c r="AJ5" i="3"/>
  <c r="AI5" i="3"/>
  <c r="AH5" i="3"/>
  <c r="AG5" i="3"/>
  <c r="AF5" i="3"/>
  <c r="AE5" i="3"/>
  <c r="AB5" i="3"/>
  <c r="Z5" i="3"/>
  <c r="Y5" i="3"/>
  <c r="X5" i="3"/>
  <c r="W5" i="3"/>
  <c r="V5" i="3"/>
  <c r="U5" i="3"/>
  <c r="T5" i="3"/>
  <c r="R5" i="3"/>
  <c r="Q5" i="3"/>
  <c r="P5" i="3"/>
  <c r="O5" i="3"/>
  <c r="N5" i="3"/>
  <c r="M5" i="3"/>
  <c r="L5" i="3"/>
  <c r="K5" i="3"/>
  <c r="J5" i="3"/>
  <c r="I5" i="3"/>
  <c r="G5" i="3"/>
  <c r="E5" i="3"/>
  <c r="D5" i="3"/>
  <c r="C5" i="3"/>
  <c r="B5" i="3"/>
  <c r="A5" i="3"/>
  <c r="AJ4" i="3"/>
  <c r="AI4" i="3"/>
  <c r="AH4" i="3"/>
  <c r="AG4" i="3"/>
  <c r="AF4" i="3"/>
  <c r="AE4" i="3"/>
  <c r="AB4" i="3"/>
  <c r="Z4" i="3"/>
  <c r="Y4" i="3"/>
  <c r="X4" i="3"/>
  <c r="W4" i="3"/>
  <c r="V4" i="3"/>
  <c r="U4" i="3"/>
  <c r="T4" i="3"/>
  <c r="R4" i="3"/>
  <c r="Q4" i="3"/>
  <c r="P4" i="3"/>
  <c r="O4" i="3"/>
  <c r="N4" i="3"/>
  <c r="M4" i="3"/>
  <c r="L4" i="3"/>
  <c r="K4" i="3"/>
  <c r="J4" i="3"/>
  <c r="I4" i="3"/>
  <c r="G4" i="3"/>
  <c r="E4" i="3"/>
  <c r="D4" i="3"/>
  <c r="C4" i="3"/>
  <c r="B4" i="3"/>
  <c r="A4" i="3"/>
  <c r="AJ3" i="3"/>
  <c r="AI3" i="3"/>
  <c r="AH3" i="3"/>
  <c r="AG3" i="3"/>
  <c r="AF3" i="3"/>
  <c r="AE3" i="3"/>
  <c r="AB3" i="3"/>
  <c r="Z3" i="3"/>
  <c r="Y3" i="3"/>
  <c r="X3" i="3"/>
  <c r="W3" i="3"/>
  <c r="V3" i="3"/>
  <c r="U3" i="3"/>
  <c r="T3" i="3"/>
  <c r="R3" i="3"/>
  <c r="Q3" i="3"/>
  <c r="P3" i="3"/>
  <c r="O3" i="3"/>
  <c r="N3" i="3"/>
  <c r="M3" i="3"/>
  <c r="L3" i="3"/>
  <c r="K3" i="3"/>
  <c r="J3" i="3"/>
  <c r="I3" i="3"/>
  <c r="G3" i="3"/>
  <c r="E3" i="3"/>
  <c r="D3" i="3"/>
  <c r="C3" i="3"/>
  <c r="B3" i="3"/>
  <c r="A3" i="3"/>
  <c r="AJ2" i="3"/>
  <c r="AI2" i="3"/>
  <c r="AH2" i="3"/>
  <c r="AG2" i="3"/>
  <c r="AF2" i="3"/>
  <c r="AE2" i="3"/>
  <c r="AB2" i="3"/>
  <c r="Z2" i="3"/>
  <c r="Y2" i="3"/>
  <c r="X2" i="3"/>
  <c r="W2" i="3"/>
  <c r="V2" i="3"/>
  <c r="U2" i="3"/>
  <c r="T2" i="3"/>
  <c r="R2" i="3"/>
  <c r="Q2" i="3"/>
  <c r="P2" i="3"/>
  <c r="O2" i="3"/>
  <c r="N2" i="3"/>
  <c r="M2" i="3"/>
  <c r="L2" i="3"/>
  <c r="K2" i="3"/>
  <c r="J2" i="3"/>
  <c r="I2" i="3"/>
  <c r="G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<sst xmlns="http://schemas.openxmlformats.org/spreadsheetml/2006/main" count="318" uniqueCount="129">
  <si>
    <t>string[64]</t>
  </si>
  <si>
    <t>dword</t>
  </si>
  <si>
    <t>float</t>
  </si>
  <si>
    <t>END</t>
  </si>
  <si>
    <t>Code</t>
  </si>
  <si>
    <t>IsExist</t>
  </si>
  <si>
    <t>Model</t>
  </si>
  <si>
    <t>Mesh</t>
  </si>
  <si>
    <t>Name</t>
  </si>
  <si>
    <t>Civil</t>
  </si>
  <si>
    <t>LvLim</t>
  </si>
  <si>
    <t>UpLvLim</t>
  </si>
  <si>
    <t>ExpTime</t>
  </si>
  <si>
    <t>Icon</t>
  </si>
  <si>
    <t>Level</t>
  </si>
  <si>
    <t>Height</t>
  </si>
  <si>
    <t>Width</t>
  </si>
  <si>
    <t>DefSklUnit</t>
  </si>
  <si>
    <t>DefFc</t>
  </si>
  <si>
    <t>DefGap</t>
  </si>
  <si>
    <t>DefFacing</t>
  </si>
  <si>
    <t>Fire</t>
  </si>
  <si>
    <t>Water</t>
  </si>
  <si>
    <t>Soil</t>
  </si>
  <si>
    <t>Wind</t>
  </si>
  <si>
    <t>MaxHp</t>
  </si>
  <si>
    <t>Money</t>
  </si>
  <si>
    <t>StdPrice</t>
  </si>
  <si>
    <t>StdPoint</t>
  </si>
  <si>
    <t>GoldPoint</t>
  </si>
  <si>
    <t>KillPoint</t>
  </si>
  <si>
    <t>ProcPoint</t>
  </si>
  <si>
    <t>StorePrice</t>
  </si>
  <si>
    <t>IsSell</t>
  </si>
  <si>
    <t>IsExchange</t>
  </si>
  <si>
    <t>IsGround</t>
  </si>
  <si>
    <t>IsStore</t>
  </si>
  <si>
    <t>IsNormAcc</t>
  </si>
  <si>
    <t>IsUpgrade</t>
  </si>
  <si>
    <t>ToolTip</t>
  </si>
  <si>
    <t>DefEffType</t>
  </si>
  <si>
    <t>IsCash</t>
  </si>
  <si>
    <t>IsTime</t>
  </si>
  <si>
    <t>unbb000</t>
  </si>
  <si>
    <t>731200</t>
  </si>
  <si>
    <t>11000</t>
  </si>
  <si>
    <t>tunbb000</t>
  </si>
  <si>
    <t>unbb001</t>
  </si>
  <si>
    <t>tunbb001</t>
  </si>
  <si>
    <t>uncc000</t>
  </si>
  <si>
    <t>831200</t>
  </si>
  <si>
    <t>00110</t>
  </si>
  <si>
    <t>tuncc000</t>
  </si>
  <si>
    <t>uncc001</t>
  </si>
  <si>
    <t>tuncc001</t>
  </si>
  <si>
    <t>unaa000</t>
  </si>
  <si>
    <t>431200</t>
  </si>
  <si>
    <t>00001</t>
  </si>
  <si>
    <t>tunaa000</t>
  </si>
  <si>
    <t>unaa001</t>
  </si>
  <si>
    <t>tunaa001</t>
  </si>
  <si>
    <t>unbb002</t>
  </si>
  <si>
    <t>tunbb002</t>
  </si>
  <si>
    <t>uncc002</t>
  </si>
  <si>
    <t>tuncc002</t>
  </si>
  <si>
    <t>unaa002</t>
  </si>
  <si>
    <t>tunaa002</t>
  </si>
  <si>
    <t>unbb003</t>
  </si>
  <si>
    <t>tunbb003</t>
  </si>
  <si>
    <t>uncc003</t>
  </si>
  <si>
    <t>tuncc003</t>
  </si>
  <si>
    <t>unaa003</t>
  </si>
  <si>
    <t>tunaa003</t>
  </si>
  <si>
    <t>uncsa01</t>
  </si>
  <si>
    <t>tuncsa01</t>
  </si>
  <si>
    <t>uncsa02</t>
  </si>
  <si>
    <t>tuncsa02</t>
  </si>
  <si>
    <t>uncsa03</t>
  </si>
  <si>
    <t>tuncsa03</t>
  </si>
  <si>
    <t>uncsa04</t>
  </si>
  <si>
    <t>tuncsa04</t>
  </si>
  <si>
    <t>uncsa05</t>
  </si>
  <si>
    <t>tuncsa05</t>
  </si>
  <si>
    <t>uncsa06</t>
  </si>
  <si>
    <t>tuncsa06</t>
  </si>
  <si>
    <t>uncsa07</t>
  </si>
  <si>
    <t>tuncsa07</t>
  </si>
  <si>
    <t>uncsa08</t>
  </si>
  <si>
    <t>tuncsa08</t>
  </si>
  <si>
    <t>uncsa09</t>
  </si>
  <si>
    <t>tuncsa09</t>
  </si>
  <si>
    <t>uncsa10</t>
  </si>
  <si>
    <t>tuncsa10</t>
  </si>
  <si>
    <t>uncsa11</t>
  </si>
  <si>
    <t>tuncsa11</t>
  </si>
  <si>
    <t>uncsa12</t>
  </si>
  <si>
    <t>tuncsa12</t>
  </si>
  <si>
    <t>unbpc01</t>
  </si>
  <si>
    <t>tunbpc01</t>
  </si>
  <si>
    <t>uncpc01</t>
  </si>
  <si>
    <t>tuncpc01</t>
  </si>
  <si>
    <t>unapc01</t>
  </si>
  <si>
    <t>tunapc01</t>
  </si>
  <si>
    <t>clcode</t>
  </si>
  <si>
    <t>xeh</t>
  </si>
  <si>
    <t>stb</t>
  </si>
  <si>
    <t>byte</t>
  </si>
  <si>
    <t>word</t>
  </si>
  <si>
    <t>Count</t>
  </si>
  <si>
    <t>ListID</t>
  </si>
  <si>
    <t>none</t>
  </si>
  <si>
    <t>Descript</t>
  </si>
  <si>
    <t>hz</t>
  </si>
  <si>
    <t>text</t>
  </si>
  <si>
    <t>Desc</t>
  </si>
  <si>
    <t>7200</t>
  </si>
  <si>
    <t>8200</t>
  </si>
  <si>
    <t>4200</t>
  </si>
  <si>
    <t>Advanced UnmannedMiningTool</t>
  </si>
  <si>
    <t>Normal UnmannedMiningTool</t>
  </si>
  <si>
    <t>Light UnmannedMiningTool</t>
  </si>
  <si>
    <t>Advanced Un-manned MineTool</t>
  </si>
  <si>
    <t>Normal Un-manned MineTool</t>
  </si>
  <si>
    <t>Light Un-manned MineTool</t>
  </si>
  <si>
    <t>Cafe Only Advanced UMT</t>
  </si>
  <si>
    <t>Advanced Unmanned mining tool that automatically helps you mine.</t>
  </si>
  <si>
    <t>Normal Unmanned mining tool that automatically helps you mine.</t>
  </si>
  <si>
    <t>Light Unmanned mining tool that automatically helps you mine.</t>
  </si>
  <si>
    <t xml:space="preserve">Advanced Unmanned Mining Tool for premium PC room users. You need battery to operate this.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</si>
</sst>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4" width="9.42578125" bestFit="1" customWidth="1"/>
    <col min="5" max="5" width="46.28515625" bestFit="1" customWidth="1"/>
    <col min="6" max="6" width="9.42578125" bestFit="1" customWidth="1"/>
    <col min="7" max="7" width="6.7109375" bestFit="1" customWidth="1"/>
    <col min="8" max="8" width="8.42578125" bestFit="1" customWidth="1"/>
    <col min="9" max="9" width="8.5703125" bestFit="1" customWidth="1"/>
    <col min="10" max="11" width="6.7109375" bestFit="1" customWidth="1"/>
    <col min="12" max="12" width="6.85546875" bestFit="1" customWidth="1"/>
    <col min="13" max="13" width="6.7109375" bestFit="1" customWidth="1"/>
    <col min="14" max="14" width="10.42578125" bestFit="1" customWidth="1"/>
    <col min="15" max="15" width="6.7109375" bestFit="1" customWidth="1"/>
    <col min="16" max="16" width="7.5703125" bestFit="1" customWidth="1"/>
    <col min="17" max="17" width="9.7109375" bestFit="1" customWidth="1"/>
    <col min="18" max="21" width="6.7109375" bestFit="1" customWidth="1"/>
    <col min="22" max="23" width="7.140625" bestFit="1" customWidth="1"/>
    <col min="24" max="24" width="8.28515625" bestFit="1" customWidth="1"/>
    <col min="25" max="25" width="8.5703125" bestFit="1" customWidth="1"/>
    <col min="26" max="26" width="9.85546875" bestFit="1" customWidth="1"/>
    <col min="27" max="27" width="8.5703125" bestFit="1" customWidth="1"/>
    <col min="28" max="28" width="9.5703125" bestFit="1" customWidth="1"/>
    <col min="29" max="29" width="10.140625" bestFit="1" customWidth="1"/>
    <col min="30" max="30" width="6.7109375" bestFit="1" customWidth="1"/>
    <col min="31" max="31" width="10.7109375" bestFit="1" customWidth="1"/>
    <col min="32" max="32" width="9" bestFit="1" customWidth="1"/>
    <col min="33" max="33" width="7.140625" bestFit="1" customWidth="1"/>
    <col min="34" max="34" width="10.42578125" bestFit="1" customWidth="1"/>
    <col min="35" max="35" width="9.85546875" bestFit="1" customWidth="1"/>
    <col min="36" max="36" width="9.42578125" bestFit="1" customWidth="1"/>
    <col min="37" max="37" width="10.85546875" bestFit="1" customWidth="1"/>
    <col min="38" max="38" width="6.7109375" bestFit="1" customWidth="1"/>
    <col min="39" max="39" width="6.85546875" bestFit="1" customWidth="1"/>
    <col min="40" max="40" width="4.7109375" bestFit="1" customWidth="1"/>
  </cols>
  <sheetData>
    <row r="1" spans="1:40" x14ac:dyDescent="0.25">
      <c r="A1" s="2" t="s">
        <v>0</v>
      </c>
      <c r="B1" s="2" t="s">
        <v>1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2</v>
      </c>
      <c r="Q1" s="2" t="s">
        <v>2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0</v>
      </c>
      <c r="AK1" s="2" t="s">
        <v>1</v>
      </c>
      <c r="AL1" s="2" t="s">
        <v>1</v>
      </c>
      <c r="AM1" s="2" t="s">
        <v>1</v>
      </c>
      <c r="AN1" s="2" t="s">
        <v>3</v>
      </c>
    </row>
    <row r="2" spans="1:40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35</v>
      </c>
      <c r="AG2" s="2" t="s">
        <v>36</v>
      </c>
      <c r="AH2" s="2" t="s">
        <v>37</v>
      </c>
      <c r="AI2" s="2" t="s">
        <v>38</v>
      </c>
      <c r="AJ2" s="2" t="s">
        <v>39</v>
      </c>
      <c r="AK2" s="2" t="s">
        <v>40</v>
      </c>
      <c r="AL2" s="2" t="s">
        <v>41</v>
      </c>
      <c r="AM2" s="2" t="s">
        <v>42</v>
      </c>
      <c r="AN2" s="2"/>
    </row>
    <row r="3" spans="1:40" x14ac:dyDescent="0.25">
      <c r="A3" s="2" t="s">
        <v>43</v>
      </c>
      <c r="B3" s="2">
        <v>1</v>
      </c>
      <c r="C3" s="2" t="s">
        <v>44</v>
      </c>
      <c r="D3" s="2" t="s">
        <v>115</v>
      </c>
      <c r="E3" s="2" t="s">
        <v>118</v>
      </c>
      <c r="F3" s="2" t="s">
        <v>45</v>
      </c>
      <c r="G3" s="2">
        <v>45</v>
      </c>
      <c r="H3" s="2">
        <v>-1</v>
      </c>
      <c r="I3" s="2">
        <v>180</v>
      </c>
      <c r="J3" s="2">
        <v>1</v>
      </c>
      <c r="K3" s="2">
        <v>50</v>
      </c>
      <c r="L3" s="2">
        <v>30</v>
      </c>
      <c r="M3" s="2">
        <v>20</v>
      </c>
      <c r="N3" s="2">
        <v>99</v>
      </c>
      <c r="O3" s="2">
        <v>2333</v>
      </c>
      <c r="P3" s="2">
        <v>0.5</v>
      </c>
      <c r="Q3" s="2">
        <v>8.5083000361919403E-2</v>
      </c>
      <c r="R3" s="2">
        <v>20</v>
      </c>
      <c r="S3" s="2">
        <v>20</v>
      </c>
      <c r="T3" s="2">
        <v>20</v>
      </c>
      <c r="U3" s="2">
        <v>20</v>
      </c>
      <c r="V3" s="2">
        <v>300000</v>
      </c>
      <c r="W3" s="2">
        <v>0</v>
      </c>
      <c r="X3" s="2">
        <v>2000000</v>
      </c>
      <c r="Y3" s="2">
        <v>0</v>
      </c>
      <c r="Z3" s="2">
        <v>0</v>
      </c>
      <c r="AA3" s="2">
        <v>0</v>
      </c>
      <c r="AB3" s="2">
        <v>0</v>
      </c>
      <c r="AC3" s="2">
        <v>100000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0</v>
      </c>
      <c r="AJ3" s="2" t="s">
        <v>46</v>
      </c>
      <c r="AK3" s="2">
        <v>2</v>
      </c>
      <c r="AL3" s="2">
        <v>0</v>
      </c>
      <c r="AM3" s="2">
        <v>0</v>
      </c>
      <c r="AN3" s="2"/>
    </row>
    <row r="4" spans="1:40" x14ac:dyDescent="0.25">
      <c r="A4" s="2" t="s">
        <v>47</v>
      </c>
      <c r="B4" s="2">
        <v>1</v>
      </c>
      <c r="C4" s="2" t="s">
        <v>44</v>
      </c>
      <c r="D4" s="2" t="s">
        <v>115</v>
      </c>
      <c r="E4" s="2" t="s">
        <v>118</v>
      </c>
      <c r="F4" s="2" t="s">
        <v>45</v>
      </c>
      <c r="G4" s="2">
        <v>45</v>
      </c>
      <c r="H4" s="2">
        <v>-1</v>
      </c>
      <c r="I4" s="2">
        <v>180</v>
      </c>
      <c r="J4" s="2">
        <v>1</v>
      </c>
      <c r="K4" s="2">
        <v>50</v>
      </c>
      <c r="L4" s="2">
        <v>30</v>
      </c>
      <c r="M4" s="2">
        <v>20</v>
      </c>
      <c r="N4" s="2">
        <v>99</v>
      </c>
      <c r="O4" s="2">
        <v>2333</v>
      </c>
      <c r="P4" s="2">
        <v>0.5</v>
      </c>
      <c r="Q4" s="2">
        <v>8.5083000361919403E-2</v>
      </c>
      <c r="R4" s="2">
        <v>20</v>
      </c>
      <c r="S4" s="2">
        <v>20</v>
      </c>
      <c r="T4" s="2">
        <v>20</v>
      </c>
      <c r="U4" s="2">
        <v>20</v>
      </c>
      <c r="V4" s="2">
        <v>300000</v>
      </c>
      <c r="W4" s="2">
        <v>0</v>
      </c>
      <c r="X4" s="2">
        <v>2000000</v>
      </c>
      <c r="Y4" s="2">
        <v>0</v>
      </c>
      <c r="Z4" s="2">
        <v>0</v>
      </c>
      <c r="AA4" s="2">
        <v>0</v>
      </c>
      <c r="AB4" s="2">
        <v>0</v>
      </c>
      <c r="AC4" s="2">
        <v>100000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0</v>
      </c>
      <c r="AJ4" s="2" t="s">
        <v>48</v>
      </c>
      <c r="AK4" s="2">
        <v>2</v>
      </c>
      <c r="AL4" s="2">
        <v>0</v>
      </c>
      <c r="AM4" s="2">
        <v>0</v>
      </c>
      <c r="AN4" s="2"/>
    </row>
    <row r="5" spans="1:40" x14ac:dyDescent="0.25">
      <c r="A5" s="2" t="s">
        <v>49</v>
      </c>
      <c r="B5" s="2">
        <v>1</v>
      </c>
      <c r="C5" s="2" t="s">
        <v>50</v>
      </c>
      <c r="D5" s="2" t="s">
        <v>116</v>
      </c>
      <c r="E5" s="2" t="s">
        <v>118</v>
      </c>
      <c r="F5" s="2" t="s">
        <v>51</v>
      </c>
      <c r="G5" s="2">
        <v>45</v>
      </c>
      <c r="H5" s="2">
        <v>-1</v>
      </c>
      <c r="I5" s="2">
        <v>180</v>
      </c>
      <c r="J5" s="2">
        <v>2</v>
      </c>
      <c r="K5" s="2">
        <v>50</v>
      </c>
      <c r="L5" s="2">
        <v>30</v>
      </c>
      <c r="M5" s="2">
        <v>20</v>
      </c>
      <c r="N5" s="2">
        <v>99</v>
      </c>
      <c r="O5" s="2">
        <v>2333</v>
      </c>
      <c r="P5" s="2">
        <v>0.5</v>
      </c>
      <c r="Q5" s="2">
        <v>8.5083000361919403E-2</v>
      </c>
      <c r="R5" s="2">
        <v>20</v>
      </c>
      <c r="S5" s="2">
        <v>20</v>
      </c>
      <c r="T5" s="2">
        <v>20</v>
      </c>
      <c r="U5" s="2">
        <v>20</v>
      </c>
      <c r="V5" s="2">
        <v>300000</v>
      </c>
      <c r="W5" s="2">
        <v>0</v>
      </c>
      <c r="X5" s="2">
        <v>2000000</v>
      </c>
      <c r="Y5" s="2">
        <v>0</v>
      </c>
      <c r="Z5" s="2">
        <v>0</v>
      </c>
      <c r="AA5" s="2">
        <v>0</v>
      </c>
      <c r="AB5" s="2">
        <v>0</v>
      </c>
      <c r="AC5" s="2">
        <v>100000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0</v>
      </c>
      <c r="AJ5" s="2" t="s">
        <v>52</v>
      </c>
      <c r="AK5" s="2">
        <v>2</v>
      </c>
      <c r="AL5" s="2">
        <v>0</v>
      </c>
      <c r="AM5" s="2">
        <v>0</v>
      </c>
      <c r="AN5" s="2"/>
    </row>
    <row r="6" spans="1:40" x14ac:dyDescent="0.25">
      <c r="A6" s="2" t="s">
        <v>53</v>
      </c>
      <c r="B6" s="2">
        <v>1</v>
      </c>
      <c r="C6" s="2" t="s">
        <v>50</v>
      </c>
      <c r="D6" s="2" t="s">
        <v>116</v>
      </c>
      <c r="E6" s="2" t="s">
        <v>118</v>
      </c>
      <c r="F6" s="2" t="s">
        <v>51</v>
      </c>
      <c r="G6" s="2">
        <v>45</v>
      </c>
      <c r="H6" s="2">
        <v>-1</v>
      </c>
      <c r="I6" s="2">
        <v>180</v>
      </c>
      <c r="J6" s="2">
        <v>2</v>
      </c>
      <c r="K6" s="2">
        <v>50</v>
      </c>
      <c r="L6" s="2">
        <v>30</v>
      </c>
      <c r="M6" s="2">
        <v>20</v>
      </c>
      <c r="N6" s="2">
        <v>99</v>
      </c>
      <c r="O6" s="2">
        <v>2333</v>
      </c>
      <c r="P6" s="2">
        <v>0.5</v>
      </c>
      <c r="Q6" s="2">
        <v>8.5083000361919403E-2</v>
      </c>
      <c r="R6" s="2">
        <v>20</v>
      </c>
      <c r="S6" s="2">
        <v>20</v>
      </c>
      <c r="T6" s="2">
        <v>20</v>
      </c>
      <c r="U6" s="2">
        <v>20</v>
      </c>
      <c r="V6" s="2">
        <v>300000</v>
      </c>
      <c r="W6" s="2">
        <v>0</v>
      </c>
      <c r="X6" s="2">
        <v>2000000</v>
      </c>
      <c r="Y6" s="2">
        <v>0</v>
      </c>
      <c r="Z6" s="2">
        <v>0</v>
      </c>
      <c r="AA6" s="2">
        <v>0</v>
      </c>
      <c r="AB6" s="2">
        <v>0</v>
      </c>
      <c r="AC6" s="2">
        <v>100000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0</v>
      </c>
      <c r="AJ6" s="2" t="s">
        <v>54</v>
      </c>
      <c r="AK6" s="2">
        <v>2</v>
      </c>
      <c r="AL6" s="2">
        <v>0</v>
      </c>
      <c r="AM6" s="2">
        <v>0</v>
      </c>
      <c r="AN6" s="2"/>
    </row>
    <row r="7" spans="1:40" x14ac:dyDescent="0.25">
      <c r="A7" s="2" t="s">
        <v>55</v>
      </c>
      <c r="B7" s="2">
        <v>1</v>
      </c>
      <c r="C7" s="2" t="s">
        <v>56</v>
      </c>
      <c r="D7" s="2" t="s">
        <v>117</v>
      </c>
      <c r="E7" s="2" t="s">
        <v>118</v>
      </c>
      <c r="F7" s="2" t="s">
        <v>57</v>
      </c>
      <c r="G7" s="2">
        <v>45</v>
      </c>
      <c r="H7" s="2">
        <v>-1</v>
      </c>
      <c r="I7" s="2">
        <v>180</v>
      </c>
      <c r="J7" s="2">
        <v>3</v>
      </c>
      <c r="K7" s="2">
        <v>50</v>
      </c>
      <c r="L7" s="2">
        <v>30</v>
      </c>
      <c r="M7" s="2">
        <v>20</v>
      </c>
      <c r="N7" s="2">
        <v>99</v>
      </c>
      <c r="O7" s="2">
        <v>2333</v>
      </c>
      <c r="P7" s="2">
        <v>0.5</v>
      </c>
      <c r="Q7" s="2">
        <v>8.5083000361919403E-2</v>
      </c>
      <c r="R7" s="2">
        <v>20</v>
      </c>
      <c r="S7" s="2">
        <v>20</v>
      </c>
      <c r="T7" s="2">
        <v>20</v>
      </c>
      <c r="U7" s="2">
        <v>20</v>
      </c>
      <c r="V7" s="2">
        <v>300000</v>
      </c>
      <c r="W7" s="2">
        <v>0</v>
      </c>
      <c r="X7" s="2">
        <v>2000000</v>
      </c>
      <c r="Y7" s="2">
        <v>0</v>
      </c>
      <c r="Z7" s="2">
        <v>0</v>
      </c>
      <c r="AA7" s="2">
        <v>0</v>
      </c>
      <c r="AB7" s="2">
        <v>0</v>
      </c>
      <c r="AC7" s="2">
        <v>100000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0</v>
      </c>
      <c r="AJ7" s="2" t="s">
        <v>58</v>
      </c>
      <c r="AK7" s="2">
        <v>2</v>
      </c>
      <c r="AL7" s="2">
        <v>0</v>
      </c>
      <c r="AM7" s="2">
        <v>0</v>
      </c>
      <c r="AN7" s="2"/>
    </row>
    <row r="8" spans="1:40" x14ac:dyDescent="0.25">
      <c r="A8" s="2" t="s">
        <v>59</v>
      </c>
      <c r="B8" s="2">
        <v>1</v>
      </c>
      <c r="C8" s="2" t="s">
        <v>56</v>
      </c>
      <c r="D8" s="2" t="s">
        <v>117</v>
      </c>
      <c r="E8" s="2" t="s">
        <v>118</v>
      </c>
      <c r="F8" s="2" t="s">
        <v>57</v>
      </c>
      <c r="G8" s="2">
        <v>45</v>
      </c>
      <c r="H8" s="2">
        <v>-1</v>
      </c>
      <c r="I8" s="2">
        <v>180</v>
      </c>
      <c r="J8" s="2">
        <v>3</v>
      </c>
      <c r="K8" s="2">
        <v>50</v>
      </c>
      <c r="L8" s="2">
        <v>30</v>
      </c>
      <c r="M8" s="2">
        <v>20</v>
      </c>
      <c r="N8" s="2">
        <v>99</v>
      </c>
      <c r="O8" s="2">
        <v>2333</v>
      </c>
      <c r="P8" s="2">
        <v>0.5</v>
      </c>
      <c r="Q8" s="2">
        <v>8.5083000361919403E-2</v>
      </c>
      <c r="R8" s="2">
        <v>20</v>
      </c>
      <c r="S8" s="2">
        <v>20</v>
      </c>
      <c r="T8" s="2">
        <v>20</v>
      </c>
      <c r="U8" s="2">
        <v>20</v>
      </c>
      <c r="V8" s="2">
        <v>300000</v>
      </c>
      <c r="W8" s="2">
        <v>0</v>
      </c>
      <c r="X8" s="2">
        <v>2000000</v>
      </c>
      <c r="Y8" s="2">
        <v>0</v>
      </c>
      <c r="Z8" s="2">
        <v>0</v>
      </c>
      <c r="AA8" s="2">
        <v>0</v>
      </c>
      <c r="AB8" s="2">
        <v>0</v>
      </c>
      <c r="AC8" s="2">
        <v>100000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0</v>
      </c>
      <c r="AJ8" s="2" t="s">
        <v>60</v>
      </c>
      <c r="AK8" s="2">
        <v>2</v>
      </c>
      <c r="AL8" s="2">
        <v>0</v>
      </c>
      <c r="AM8" s="2">
        <v>0</v>
      </c>
      <c r="AN8" s="2"/>
    </row>
    <row r="9" spans="1:40" x14ac:dyDescent="0.25">
      <c r="A9" s="2" t="s">
        <v>61</v>
      </c>
      <c r="B9" s="2">
        <v>1</v>
      </c>
      <c r="C9" s="2" t="s">
        <v>44</v>
      </c>
      <c r="D9" s="2" t="s">
        <v>115</v>
      </c>
      <c r="E9" s="2" t="s">
        <v>119</v>
      </c>
      <c r="F9" s="2" t="s">
        <v>45</v>
      </c>
      <c r="G9" s="2">
        <v>35</v>
      </c>
      <c r="H9" s="2">
        <v>-1</v>
      </c>
      <c r="I9" s="2">
        <v>180</v>
      </c>
      <c r="J9" s="2">
        <v>1</v>
      </c>
      <c r="K9" s="2">
        <v>40</v>
      </c>
      <c r="L9" s="2">
        <v>30</v>
      </c>
      <c r="M9" s="2">
        <v>20</v>
      </c>
      <c r="N9" s="2">
        <v>99</v>
      </c>
      <c r="O9" s="2">
        <v>1289</v>
      </c>
      <c r="P9" s="2">
        <v>0.5</v>
      </c>
      <c r="Q9" s="2">
        <v>8.5083000361919403E-2</v>
      </c>
      <c r="R9" s="2">
        <v>20</v>
      </c>
      <c r="S9" s="2">
        <v>20</v>
      </c>
      <c r="T9" s="2">
        <v>20</v>
      </c>
      <c r="U9" s="2">
        <v>20</v>
      </c>
      <c r="V9" s="2">
        <v>150000</v>
      </c>
      <c r="W9" s="2">
        <v>0</v>
      </c>
      <c r="X9" s="2">
        <v>1000000</v>
      </c>
      <c r="Y9" s="2">
        <v>0</v>
      </c>
      <c r="Z9" s="2">
        <v>0</v>
      </c>
      <c r="AA9" s="2">
        <v>0</v>
      </c>
      <c r="AB9" s="2">
        <v>0</v>
      </c>
      <c r="AC9" s="2">
        <v>50000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0</v>
      </c>
      <c r="AJ9" s="2" t="s">
        <v>62</v>
      </c>
      <c r="AK9" s="2">
        <v>2</v>
      </c>
      <c r="AL9" s="2">
        <v>0</v>
      </c>
      <c r="AM9" s="2">
        <v>0</v>
      </c>
      <c r="AN9" s="2"/>
    </row>
    <row r="10" spans="1:40" x14ac:dyDescent="0.25">
      <c r="A10" s="2" t="s">
        <v>63</v>
      </c>
      <c r="B10" s="2">
        <v>1</v>
      </c>
      <c r="C10" s="2" t="s">
        <v>50</v>
      </c>
      <c r="D10" s="2" t="s">
        <v>116</v>
      </c>
      <c r="E10" s="2" t="s">
        <v>119</v>
      </c>
      <c r="F10" s="2" t="s">
        <v>51</v>
      </c>
      <c r="G10" s="2">
        <v>35</v>
      </c>
      <c r="H10" s="2">
        <v>-1</v>
      </c>
      <c r="I10" s="2">
        <v>180</v>
      </c>
      <c r="J10" s="2">
        <v>2</v>
      </c>
      <c r="K10" s="2">
        <v>40</v>
      </c>
      <c r="L10" s="2">
        <v>30</v>
      </c>
      <c r="M10" s="2">
        <v>20</v>
      </c>
      <c r="N10" s="2">
        <v>99</v>
      </c>
      <c r="O10" s="2">
        <v>1289</v>
      </c>
      <c r="P10" s="2">
        <v>0.5</v>
      </c>
      <c r="Q10" s="2">
        <v>8.5083000361919403E-2</v>
      </c>
      <c r="R10" s="2">
        <v>20</v>
      </c>
      <c r="S10" s="2">
        <v>20</v>
      </c>
      <c r="T10" s="2">
        <v>20</v>
      </c>
      <c r="U10" s="2">
        <v>20</v>
      </c>
      <c r="V10" s="2">
        <v>150000</v>
      </c>
      <c r="W10" s="2">
        <v>0</v>
      </c>
      <c r="X10" s="2">
        <v>1000000</v>
      </c>
      <c r="Y10" s="2">
        <v>0</v>
      </c>
      <c r="Z10" s="2">
        <v>0</v>
      </c>
      <c r="AA10" s="2">
        <v>0</v>
      </c>
      <c r="AB10" s="2">
        <v>0</v>
      </c>
      <c r="AC10" s="2">
        <v>50000</v>
      </c>
      <c r="AD10" s="2">
        <v>1</v>
      </c>
      <c r="AE10" s="2">
        <v>1</v>
      </c>
      <c r="AF10" s="2">
        <v>1</v>
      </c>
      <c r="AG10" s="2">
        <v>1</v>
      </c>
      <c r="AH10" s="2">
        <v>1</v>
      </c>
      <c r="AI10" s="2">
        <v>0</v>
      </c>
      <c r="AJ10" s="2" t="s">
        <v>64</v>
      </c>
      <c r="AK10" s="2">
        <v>2</v>
      </c>
      <c r="AL10" s="2">
        <v>0</v>
      </c>
      <c r="AM10" s="2">
        <v>0</v>
      </c>
      <c r="AN10" s="2"/>
    </row>
    <row r="11" spans="1:40" x14ac:dyDescent="0.25">
      <c r="A11" s="2" t="s">
        <v>65</v>
      </c>
      <c r="B11" s="2">
        <v>1</v>
      </c>
      <c r="C11" s="2" t="s">
        <v>56</v>
      </c>
      <c r="D11" s="2" t="s">
        <v>117</v>
      </c>
      <c r="E11" s="2" t="s">
        <v>119</v>
      </c>
      <c r="F11" s="2" t="s">
        <v>57</v>
      </c>
      <c r="G11" s="2">
        <v>35</v>
      </c>
      <c r="H11" s="2">
        <v>-1</v>
      </c>
      <c r="I11" s="2">
        <v>180</v>
      </c>
      <c r="J11" s="2">
        <v>3</v>
      </c>
      <c r="K11" s="2">
        <v>40</v>
      </c>
      <c r="L11" s="2">
        <v>30</v>
      </c>
      <c r="M11" s="2">
        <v>20</v>
      </c>
      <c r="N11" s="2">
        <v>99</v>
      </c>
      <c r="O11" s="2">
        <v>1289</v>
      </c>
      <c r="P11" s="2">
        <v>0.5</v>
      </c>
      <c r="Q11" s="2">
        <v>8.5083000361919403E-2</v>
      </c>
      <c r="R11" s="2">
        <v>20</v>
      </c>
      <c r="S11" s="2">
        <v>20</v>
      </c>
      <c r="T11" s="2">
        <v>20</v>
      </c>
      <c r="U11" s="2">
        <v>20</v>
      </c>
      <c r="V11" s="2">
        <v>150000</v>
      </c>
      <c r="W11" s="2">
        <v>0</v>
      </c>
      <c r="X11" s="2">
        <v>1000000</v>
      </c>
      <c r="Y11" s="2">
        <v>0</v>
      </c>
      <c r="Z11" s="2">
        <v>0</v>
      </c>
      <c r="AA11" s="2">
        <v>0</v>
      </c>
      <c r="AB11" s="2">
        <v>0</v>
      </c>
      <c r="AC11" s="2">
        <v>50000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0</v>
      </c>
      <c r="AJ11" s="2" t="s">
        <v>66</v>
      </c>
      <c r="AK11" s="2">
        <v>2</v>
      </c>
      <c r="AL11" s="2">
        <v>0</v>
      </c>
      <c r="AM11" s="2">
        <v>0</v>
      </c>
      <c r="AN11" s="2"/>
    </row>
    <row r="12" spans="1:40" x14ac:dyDescent="0.25">
      <c r="A12" s="2" t="s">
        <v>67</v>
      </c>
      <c r="B12" s="2">
        <v>1</v>
      </c>
      <c r="C12" s="2" t="s">
        <v>44</v>
      </c>
      <c r="D12" s="2" t="s">
        <v>115</v>
      </c>
      <c r="E12" s="2" t="s">
        <v>120</v>
      </c>
      <c r="F12" s="2" t="s">
        <v>45</v>
      </c>
      <c r="G12" s="2">
        <v>25</v>
      </c>
      <c r="H12" s="2">
        <v>-1</v>
      </c>
      <c r="I12" s="2">
        <v>180</v>
      </c>
      <c r="J12" s="2">
        <v>1</v>
      </c>
      <c r="K12" s="2">
        <v>30</v>
      </c>
      <c r="L12" s="2">
        <v>30</v>
      </c>
      <c r="M12" s="2">
        <v>20</v>
      </c>
      <c r="N12" s="2">
        <v>99</v>
      </c>
      <c r="O12" s="2">
        <v>671</v>
      </c>
      <c r="P12" s="2">
        <v>0.5</v>
      </c>
      <c r="Q12" s="2">
        <v>8.5083000361919403E-2</v>
      </c>
      <c r="R12" s="2">
        <v>20</v>
      </c>
      <c r="S12" s="2">
        <v>20</v>
      </c>
      <c r="T12" s="2">
        <v>20</v>
      </c>
      <c r="U12" s="2">
        <v>20</v>
      </c>
      <c r="V12" s="2">
        <v>50000</v>
      </c>
      <c r="W12" s="2">
        <v>0</v>
      </c>
      <c r="X12" s="2">
        <v>300000</v>
      </c>
      <c r="Y12" s="2">
        <v>0</v>
      </c>
      <c r="Z12" s="2">
        <v>0</v>
      </c>
      <c r="AA12" s="2">
        <v>0</v>
      </c>
      <c r="AB12" s="2">
        <v>0</v>
      </c>
      <c r="AC12" s="2">
        <v>15000</v>
      </c>
      <c r="AD12" s="2">
        <v>1</v>
      </c>
      <c r="AE12" s="2">
        <v>1</v>
      </c>
      <c r="AF12" s="2">
        <v>1</v>
      </c>
      <c r="AG12" s="2">
        <v>1</v>
      </c>
      <c r="AH12" s="2">
        <v>1</v>
      </c>
      <c r="AI12" s="2">
        <v>0</v>
      </c>
      <c r="AJ12" s="2" t="s">
        <v>68</v>
      </c>
      <c r="AK12" s="2">
        <v>2</v>
      </c>
      <c r="AL12" s="2">
        <v>0</v>
      </c>
      <c r="AM12" s="2">
        <v>0</v>
      </c>
      <c r="AN12" s="2"/>
    </row>
    <row r="13" spans="1:40" x14ac:dyDescent="0.25">
      <c r="A13" s="2" t="s">
        <v>69</v>
      </c>
      <c r="B13" s="2">
        <v>1</v>
      </c>
      <c r="C13" s="2" t="s">
        <v>50</v>
      </c>
      <c r="D13" s="2" t="s">
        <v>116</v>
      </c>
      <c r="E13" s="2" t="s">
        <v>120</v>
      </c>
      <c r="F13" s="2" t="s">
        <v>51</v>
      </c>
      <c r="G13" s="2">
        <v>25</v>
      </c>
      <c r="H13" s="2">
        <v>-1</v>
      </c>
      <c r="I13" s="2">
        <v>180</v>
      </c>
      <c r="J13" s="2">
        <v>2</v>
      </c>
      <c r="K13" s="2">
        <v>30</v>
      </c>
      <c r="L13" s="2">
        <v>30</v>
      </c>
      <c r="M13" s="2">
        <v>20</v>
      </c>
      <c r="N13" s="2">
        <v>99</v>
      </c>
      <c r="O13" s="2">
        <v>671</v>
      </c>
      <c r="P13" s="2">
        <v>0.5</v>
      </c>
      <c r="Q13" s="2">
        <v>8.5083000361919403E-2</v>
      </c>
      <c r="R13" s="2">
        <v>20</v>
      </c>
      <c r="S13" s="2">
        <v>20</v>
      </c>
      <c r="T13" s="2">
        <v>20</v>
      </c>
      <c r="U13" s="2">
        <v>20</v>
      </c>
      <c r="V13" s="2">
        <v>50000</v>
      </c>
      <c r="W13" s="2">
        <v>0</v>
      </c>
      <c r="X13" s="2">
        <v>300000</v>
      </c>
      <c r="Y13" s="2">
        <v>0</v>
      </c>
      <c r="Z13" s="2">
        <v>0</v>
      </c>
      <c r="AA13" s="2">
        <v>0</v>
      </c>
      <c r="AB13" s="2">
        <v>0</v>
      </c>
      <c r="AC13" s="2">
        <v>15000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0</v>
      </c>
      <c r="AJ13" s="2" t="s">
        <v>70</v>
      </c>
      <c r="AK13" s="2">
        <v>2</v>
      </c>
      <c r="AL13" s="2">
        <v>0</v>
      </c>
      <c r="AM13" s="2">
        <v>0</v>
      </c>
      <c r="AN13" s="2"/>
    </row>
    <row r="14" spans="1:40" x14ac:dyDescent="0.25">
      <c r="A14" s="2" t="s">
        <v>71</v>
      </c>
      <c r="B14" s="2">
        <v>1</v>
      </c>
      <c r="C14" s="2" t="s">
        <v>56</v>
      </c>
      <c r="D14" s="2" t="s">
        <v>117</v>
      </c>
      <c r="E14" s="2" t="s">
        <v>120</v>
      </c>
      <c r="F14" s="2" t="s">
        <v>57</v>
      </c>
      <c r="G14" s="2">
        <v>25</v>
      </c>
      <c r="H14" s="2">
        <v>-1</v>
      </c>
      <c r="I14" s="2">
        <v>180</v>
      </c>
      <c r="J14" s="2">
        <v>3</v>
      </c>
      <c r="K14" s="2">
        <v>30</v>
      </c>
      <c r="L14" s="2">
        <v>30</v>
      </c>
      <c r="M14" s="2">
        <v>20</v>
      </c>
      <c r="N14" s="2">
        <v>99</v>
      </c>
      <c r="O14" s="2">
        <v>671</v>
      </c>
      <c r="P14" s="2">
        <v>0.5</v>
      </c>
      <c r="Q14" s="2">
        <v>8.5083000361919403E-2</v>
      </c>
      <c r="R14" s="2">
        <v>20</v>
      </c>
      <c r="S14" s="2">
        <v>20</v>
      </c>
      <c r="T14" s="2">
        <v>20</v>
      </c>
      <c r="U14" s="2">
        <v>20</v>
      </c>
      <c r="V14" s="2">
        <v>50000</v>
      </c>
      <c r="W14" s="2">
        <v>0</v>
      </c>
      <c r="X14" s="2">
        <v>300000</v>
      </c>
      <c r="Y14" s="2">
        <v>0</v>
      </c>
      <c r="Z14" s="2">
        <v>0</v>
      </c>
      <c r="AA14" s="2">
        <v>0</v>
      </c>
      <c r="AB14" s="2">
        <v>0</v>
      </c>
      <c r="AC14" s="2">
        <v>15000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0</v>
      </c>
      <c r="AJ14" s="2" t="s">
        <v>72</v>
      </c>
      <c r="AK14" s="2">
        <v>2</v>
      </c>
      <c r="AL14" s="2">
        <v>0</v>
      </c>
      <c r="AM14" s="2">
        <v>0</v>
      </c>
      <c r="AN14" s="2"/>
    </row>
    <row r="15" spans="1:40" x14ac:dyDescent="0.25">
      <c r="A15" s="2" t="s">
        <v>73</v>
      </c>
      <c r="B15" s="2">
        <v>1</v>
      </c>
      <c r="C15" s="2" t="s">
        <v>44</v>
      </c>
      <c r="D15" s="2" t="s">
        <v>115</v>
      </c>
      <c r="E15" s="2" t="s">
        <v>121</v>
      </c>
      <c r="F15" s="2" t="s">
        <v>45</v>
      </c>
      <c r="G15" s="2">
        <v>45</v>
      </c>
      <c r="H15" s="2">
        <v>-1</v>
      </c>
      <c r="I15" s="2">
        <v>180</v>
      </c>
      <c r="J15" s="2">
        <v>4</v>
      </c>
      <c r="K15" s="2">
        <v>50</v>
      </c>
      <c r="L15" s="2">
        <v>30</v>
      </c>
      <c r="M15" s="2">
        <v>20</v>
      </c>
      <c r="N15" s="2">
        <v>99</v>
      </c>
      <c r="O15" s="2">
        <v>2333</v>
      </c>
      <c r="P15" s="2">
        <v>0.5</v>
      </c>
      <c r="Q15" s="2">
        <v>8.5083000361919403E-2</v>
      </c>
      <c r="R15" s="2">
        <v>20</v>
      </c>
      <c r="S15" s="2">
        <v>20</v>
      </c>
      <c r="T15" s="2">
        <v>20</v>
      </c>
      <c r="U15" s="2">
        <v>20</v>
      </c>
      <c r="V15" s="2">
        <v>300000</v>
      </c>
      <c r="W15" s="2">
        <v>0</v>
      </c>
      <c r="X15" s="2">
        <v>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1</v>
      </c>
      <c r="AE15" s="2">
        <v>0</v>
      </c>
      <c r="AF15" s="2">
        <v>0</v>
      </c>
      <c r="AG15" s="2">
        <v>1</v>
      </c>
      <c r="AH15" s="2">
        <v>1</v>
      </c>
      <c r="AI15" s="2">
        <v>0</v>
      </c>
      <c r="AJ15" s="2" t="s">
        <v>74</v>
      </c>
      <c r="AK15" s="2">
        <v>2</v>
      </c>
      <c r="AL15" s="2">
        <v>1</v>
      </c>
      <c r="AM15" s="2">
        <v>0</v>
      </c>
      <c r="AN15" s="2"/>
    </row>
    <row r="16" spans="1:40" x14ac:dyDescent="0.25">
      <c r="A16" s="2" t="s">
        <v>75</v>
      </c>
      <c r="B16" s="2">
        <v>1</v>
      </c>
      <c r="C16" s="2" t="s">
        <v>44</v>
      </c>
      <c r="D16" s="2" t="s">
        <v>115</v>
      </c>
      <c r="E16" s="2" t="s">
        <v>121</v>
      </c>
      <c r="F16" s="2" t="s">
        <v>45</v>
      </c>
      <c r="G16" s="2">
        <v>45</v>
      </c>
      <c r="H16" s="2">
        <v>-1</v>
      </c>
      <c r="I16" s="2">
        <v>180</v>
      </c>
      <c r="J16" s="2">
        <v>7</v>
      </c>
      <c r="K16" s="2">
        <v>50</v>
      </c>
      <c r="L16" s="2">
        <v>30</v>
      </c>
      <c r="M16" s="2">
        <v>20</v>
      </c>
      <c r="N16" s="2">
        <v>99</v>
      </c>
      <c r="O16" s="2">
        <v>2333</v>
      </c>
      <c r="P16" s="2">
        <v>0.5</v>
      </c>
      <c r="Q16" s="2">
        <v>8.5083000361919403E-2</v>
      </c>
      <c r="R16" s="2">
        <v>20</v>
      </c>
      <c r="S16" s="2">
        <v>20</v>
      </c>
      <c r="T16" s="2">
        <v>20</v>
      </c>
      <c r="U16" s="2">
        <v>20</v>
      </c>
      <c r="V16" s="2">
        <v>300000</v>
      </c>
      <c r="W16" s="2">
        <v>0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</v>
      </c>
      <c r="AE16" s="2">
        <v>0</v>
      </c>
      <c r="AF16" s="2">
        <v>0</v>
      </c>
      <c r="AG16" s="2">
        <v>1</v>
      </c>
      <c r="AH16" s="2">
        <v>1</v>
      </c>
      <c r="AI16" s="2">
        <v>0</v>
      </c>
      <c r="AJ16" s="2" t="s">
        <v>76</v>
      </c>
      <c r="AK16" s="2">
        <v>2</v>
      </c>
      <c r="AL16" s="2">
        <v>0</v>
      </c>
      <c r="AM16" s="2">
        <v>0</v>
      </c>
      <c r="AN16" s="2"/>
    </row>
    <row r="17" spans="1:40" x14ac:dyDescent="0.25">
      <c r="A17" s="2" t="s">
        <v>77</v>
      </c>
      <c r="B17" s="2">
        <v>1</v>
      </c>
      <c r="C17" s="2" t="s">
        <v>50</v>
      </c>
      <c r="D17" s="2" t="s">
        <v>116</v>
      </c>
      <c r="E17" s="2" t="s">
        <v>121</v>
      </c>
      <c r="F17" s="2" t="s">
        <v>51</v>
      </c>
      <c r="G17" s="2">
        <v>45</v>
      </c>
      <c r="H17" s="2">
        <v>-1</v>
      </c>
      <c r="I17" s="2">
        <v>180</v>
      </c>
      <c r="J17" s="2">
        <v>5</v>
      </c>
      <c r="K17" s="2">
        <v>50</v>
      </c>
      <c r="L17" s="2">
        <v>30</v>
      </c>
      <c r="M17" s="2">
        <v>20</v>
      </c>
      <c r="N17" s="2">
        <v>99</v>
      </c>
      <c r="O17" s="2">
        <v>2333</v>
      </c>
      <c r="P17" s="2">
        <v>0.5</v>
      </c>
      <c r="Q17" s="2">
        <v>8.5083000361919403E-2</v>
      </c>
      <c r="R17" s="2">
        <v>20</v>
      </c>
      <c r="S17" s="2">
        <v>20</v>
      </c>
      <c r="T17" s="2">
        <v>20</v>
      </c>
      <c r="U17" s="2">
        <v>20</v>
      </c>
      <c r="V17" s="2">
        <v>300000</v>
      </c>
      <c r="W17" s="2">
        <v>0</v>
      </c>
      <c r="X17" s="2">
        <v>1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</v>
      </c>
      <c r="AE17" s="2">
        <v>0</v>
      </c>
      <c r="AF17" s="2">
        <v>0</v>
      </c>
      <c r="AG17" s="2">
        <v>1</v>
      </c>
      <c r="AH17" s="2">
        <v>1</v>
      </c>
      <c r="AI17" s="2">
        <v>0</v>
      </c>
      <c r="AJ17" s="2" t="s">
        <v>78</v>
      </c>
      <c r="AK17" s="2">
        <v>2</v>
      </c>
      <c r="AL17" s="2">
        <v>1</v>
      </c>
      <c r="AM17" s="2">
        <v>0</v>
      </c>
      <c r="AN17" s="2"/>
    </row>
    <row r="18" spans="1:40" x14ac:dyDescent="0.25">
      <c r="A18" s="2" t="s">
        <v>79</v>
      </c>
      <c r="B18" s="2">
        <v>1</v>
      </c>
      <c r="C18" s="2" t="s">
        <v>50</v>
      </c>
      <c r="D18" s="2" t="s">
        <v>116</v>
      </c>
      <c r="E18" s="2" t="s">
        <v>121</v>
      </c>
      <c r="F18" s="2" t="s">
        <v>51</v>
      </c>
      <c r="G18" s="2">
        <v>45</v>
      </c>
      <c r="H18" s="2">
        <v>-1</v>
      </c>
      <c r="I18" s="2">
        <v>180</v>
      </c>
      <c r="J18" s="2">
        <v>8</v>
      </c>
      <c r="K18" s="2">
        <v>50</v>
      </c>
      <c r="L18" s="2">
        <v>30</v>
      </c>
      <c r="M18" s="2">
        <v>20</v>
      </c>
      <c r="N18" s="2">
        <v>99</v>
      </c>
      <c r="O18" s="2">
        <v>2333</v>
      </c>
      <c r="P18" s="2">
        <v>0.5</v>
      </c>
      <c r="Q18" s="2">
        <v>8.5083000361919403E-2</v>
      </c>
      <c r="R18" s="2">
        <v>20</v>
      </c>
      <c r="S18" s="2">
        <v>20</v>
      </c>
      <c r="T18" s="2">
        <v>20</v>
      </c>
      <c r="U18" s="2">
        <v>20</v>
      </c>
      <c r="V18" s="2">
        <v>300000</v>
      </c>
      <c r="W18" s="2">
        <v>0</v>
      </c>
      <c r="X18" s="2">
        <v>1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</v>
      </c>
      <c r="AE18" s="2">
        <v>0</v>
      </c>
      <c r="AF18" s="2">
        <v>0</v>
      </c>
      <c r="AG18" s="2">
        <v>1</v>
      </c>
      <c r="AH18" s="2">
        <v>1</v>
      </c>
      <c r="AI18" s="2">
        <v>0</v>
      </c>
      <c r="AJ18" s="2" t="s">
        <v>80</v>
      </c>
      <c r="AK18" s="2">
        <v>2</v>
      </c>
      <c r="AL18" s="2">
        <v>0</v>
      </c>
      <c r="AM18" s="2">
        <v>0</v>
      </c>
      <c r="AN18" s="2"/>
    </row>
    <row r="19" spans="1:40" x14ac:dyDescent="0.25">
      <c r="A19" s="2" t="s">
        <v>81</v>
      </c>
      <c r="B19" s="2">
        <v>1</v>
      </c>
      <c r="C19" s="2" t="s">
        <v>56</v>
      </c>
      <c r="D19" s="2" t="s">
        <v>117</v>
      </c>
      <c r="E19" s="2" t="s">
        <v>121</v>
      </c>
      <c r="F19" s="2" t="s">
        <v>57</v>
      </c>
      <c r="G19" s="2">
        <v>45</v>
      </c>
      <c r="H19" s="2">
        <v>-1</v>
      </c>
      <c r="I19" s="2">
        <v>180</v>
      </c>
      <c r="J19" s="2">
        <v>6</v>
      </c>
      <c r="K19" s="2">
        <v>50</v>
      </c>
      <c r="L19" s="2">
        <v>30</v>
      </c>
      <c r="M19" s="2">
        <v>20</v>
      </c>
      <c r="N19" s="2">
        <v>99</v>
      </c>
      <c r="O19" s="2">
        <v>2333</v>
      </c>
      <c r="P19" s="2">
        <v>0.5</v>
      </c>
      <c r="Q19" s="2">
        <v>8.5083000361919403E-2</v>
      </c>
      <c r="R19" s="2">
        <v>20</v>
      </c>
      <c r="S19" s="2">
        <v>20</v>
      </c>
      <c r="T19" s="2">
        <v>20</v>
      </c>
      <c r="U19" s="2">
        <v>20</v>
      </c>
      <c r="V19" s="2">
        <v>300000</v>
      </c>
      <c r="W19" s="2">
        <v>0</v>
      </c>
      <c r="X19" s="2">
        <v>1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</v>
      </c>
      <c r="AE19" s="2">
        <v>0</v>
      </c>
      <c r="AF19" s="2">
        <v>0</v>
      </c>
      <c r="AG19" s="2">
        <v>1</v>
      </c>
      <c r="AH19" s="2">
        <v>1</v>
      </c>
      <c r="AI19" s="2">
        <v>0</v>
      </c>
      <c r="AJ19" s="2" t="s">
        <v>82</v>
      </c>
      <c r="AK19" s="2">
        <v>2</v>
      </c>
      <c r="AL19" s="2">
        <v>1</v>
      </c>
      <c r="AM19" s="2">
        <v>0</v>
      </c>
      <c r="AN19" s="2"/>
    </row>
    <row r="20" spans="1:40" x14ac:dyDescent="0.25">
      <c r="A20" s="2" t="s">
        <v>83</v>
      </c>
      <c r="B20" s="2">
        <v>1</v>
      </c>
      <c r="C20" s="2" t="s">
        <v>56</v>
      </c>
      <c r="D20" s="2" t="s">
        <v>117</v>
      </c>
      <c r="E20" s="2" t="s">
        <v>121</v>
      </c>
      <c r="F20" s="2" t="s">
        <v>57</v>
      </c>
      <c r="G20" s="2">
        <v>45</v>
      </c>
      <c r="H20" s="2">
        <v>-1</v>
      </c>
      <c r="I20" s="2">
        <v>180</v>
      </c>
      <c r="J20" s="2">
        <v>9</v>
      </c>
      <c r="K20" s="2">
        <v>50</v>
      </c>
      <c r="L20" s="2">
        <v>30</v>
      </c>
      <c r="M20" s="2">
        <v>20</v>
      </c>
      <c r="N20" s="2">
        <v>99</v>
      </c>
      <c r="O20" s="2">
        <v>2333</v>
      </c>
      <c r="P20" s="2">
        <v>0.5</v>
      </c>
      <c r="Q20" s="2">
        <v>8.5083000361919403E-2</v>
      </c>
      <c r="R20" s="2">
        <v>20</v>
      </c>
      <c r="S20" s="2">
        <v>20</v>
      </c>
      <c r="T20" s="2">
        <v>20</v>
      </c>
      <c r="U20" s="2">
        <v>20</v>
      </c>
      <c r="V20" s="2">
        <v>300000</v>
      </c>
      <c r="W20" s="2">
        <v>0</v>
      </c>
      <c r="X20" s="2">
        <v>1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</v>
      </c>
      <c r="AE20" s="2">
        <v>0</v>
      </c>
      <c r="AF20" s="2">
        <v>0</v>
      </c>
      <c r="AG20" s="2">
        <v>1</v>
      </c>
      <c r="AH20" s="2">
        <v>1</v>
      </c>
      <c r="AI20" s="2">
        <v>0</v>
      </c>
      <c r="AJ20" s="2" t="s">
        <v>84</v>
      </c>
      <c r="AK20" s="2">
        <v>2</v>
      </c>
      <c r="AL20" s="2">
        <v>0</v>
      </c>
      <c r="AM20" s="2">
        <v>0</v>
      </c>
      <c r="AN20" s="2"/>
    </row>
    <row r="21" spans="1:40" x14ac:dyDescent="0.25">
      <c r="A21" s="2" t="s">
        <v>85</v>
      </c>
      <c r="B21" s="2">
        <v>1</v>
      </c>
      <c r="C21" s="2" t="s">
        <v>44</v>
      </c>
      <c r="D21" s="2" t="s">
        <v>115</v>
      </c>
      <c r="E21" s="2" t="s">
        <v>122</v>
      </c>
      <c r="F21" s="2" t="s">
        <v>45</v>
      </c>
      <c r="G21" s="2">
        <v>35</v>
      </c>
      <c r="H21" s="2">
        <v>-1</v>
      </c>
      <c r="I21" s="2">
        <v>180</v>
      </c>
      <c r="J21" s="2">
        <v>4</v>
      </c>
      <c r="K21" s="2">
        <v>40</v>
      </c>
      <c r="L21" s="2">
        <v>30</v>
      </c>
      <c r="M21" s="2">
        <v>20</v>
      </c>
      <c r="N21" s="2">
        <v>99</v>
      </c>
      <c r="O21" s="2">
        <v>1289</v>
      </c>
      <c r="P21" s="2">
        <v>0.5</v>
      </c>
      <c r="Q21" s="2">
        <v>8.5083000361919403E-2</v>
      </c>
      <c r="R21" s="2">
        <v>20</v>
      </c>
      <c r="S21" s="2">
        <v>20</v>
      </c>
      <c r="T21" s="2">
        <v>20</v>
      </c>
      <c r="U21" s="2">
        <v>20</v>
      </c>
      <c r="V21" s="2">
        <v>150000</v>
      </c>
      <c r="W21" s="2">
        <v>0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</v>
      </c>
      <c r="AE21" s="2">
        <v>0</v>
      </c>
      <c r="AF21" s="2">
        <v>0</v>
      </c>
      <c r="AG21" s="2">
        <v>1</v>
      </c>
      <c r="AH21" s="2">
        <v>1</v>
      </c>
      <c r="AI21" s="2">
        <v>0</v>
      </c>
      <c r="AJ21" s="2" t="s">
        <v>86</v>
      </c>
      <c r="AK21" s="2">
        <v>2</v>
      </c>
      <c r="AL21" s="2">
        <v>1</v>
      </c>
      <c r="AM21" s="2">
        <v>0</v>
      </c>
      <c r="AN21" s="2"/>
    </row>
    <row r="22" spans="1:40" x14ac:dyDescent="0.25">
      <c r="A22" s="2" t="s">
        <v>87</v>
      </c>
      <c r="B22" s="2">
        <v>1</v>
      </c>
      <c r="C22" s="2" t="s">
        <v>50</v>
      </c>
      <c r="D22" s="2" t="s">
        <v>116</v>
      </c>
      <c r="E22" s="2" t="s">
        <v>122</v>
      </c>
      <c r="F22" s="2" t="s">
        <v>51</v>
      </c>
      <c r="G22" s="2">
        <v>35</v>
      </c>
      <c r="H22" s="2">
        <v>-1</v>
      </c>
      <c r="I22" s="2">
        <v>180</v>
      </c>
      <c r="J22" s="2">
        <v>5</v>
      </c>
      <c r="K22" s="2">
        <v>40</v>
      </c>
      <c r="L22" s="2">
        <v>30</v>
      </c>
      <c r="M22" s="2">
        <v>20</v>
      </c>
      <c r="N22" s="2">
        <v>99</v>
      </c>
      <c r="O22" s="2">
        <v>1289</v>
      </c>
      <c r="P22" s="2">
        <v>0.5</v>
      </c>
      <c r="Q22" s="2">
        <v>8.5083000361919403E-2</v>
      </c>
      <c r="R22" s="2">
        <v>20</v>
      </c>
      <c r="S22" s="2">
        <v>20</v>
      </c>
      <c r="T22" s="2">
        <v>20</v>
      </c>
      <c r="U22" s="2">
        <v>20</v>
      </c>
      <c r="V22" s="2">
        <v>150000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</v>
      </c>
      <c r="AE22" s="2">
        <v>0</v>
      </c>
      <c r="AF22" s="2">
        <v>0</v>
      </c>
      <c r="AG22" s="2">
        <v>1</v>
      </c>
      <c r="AH22" s="2">
        <v>1</v>
      </c>
      <c r="AI22" s="2">
        <v>0</v>
      </c>
      <c r="AJ22" s="2" t="s">
        <v>88</v>
      </c>
      <c r="AK22" s="2">
        <v>2</v>
      </c>
      <c r="AL22" s="2">
        <v>1</v>
      </c>
      <c r="AM22" s="2">
        <v>0</v>
      </c>
      <c r="AN22" s="2"/>
    </row>
    <row r="23" spans="1:40" x14ac:dyDescent="0.25">
      <c r="A23" s="2" t="s">
        <v>89</v>
      </c>
      <c r="B23" s="2">
        <v>1</v>
      </c>
      <c r="C23" s="2" t="s">
        <v>56</v>
      </c>
      <c r="D23" s="2" t="s">
        <v>117</v>
      </c>
      <c r="E23" s="2" t="s">
        <v>122</v>
      </c>
      <c r="F23" s="2" t="s">
        <v>57</v>
      </c>
      <c r="G23" s="2">
        <v>35</v>
      </c>
      <c r="H23" s="2">
        <v>-1</v>
      </c>
      <c r="I23" s="2">
        <v>180</v>
      </c>
      <c r="J23" s="2">
        <v>6</v>
      </c>
      <c r="K23" s="2">
        <v>40</v>
      </c>
      <c r="L23" s="2">
        <v>30</v>
      </c>
      <c r="M23" s="2">
        <v>20</v>
      </c>
      <c r="N23" s="2">
        <v>99</v>
      </c>
      <c r="O23" s="2">
        <v>1289</v>
      </c>
      <c r="P23" s="2">
        <v>0.5</v>
      </c>
      <c r="Q23" s="2">
        <v>8.5083000361919403E-2</v>
      </c>
      <c r="R23" s="2">
        <v>20</v>
      </c>
      <c r="S23" s="2">
        <v>20</v>
      </c>
      <c r="T23" s="2">
        <v>20</v>
      </c>
      <c r="U23" s="2">
        <v>20</v>
      </c>
      <c r="V23" s="2">
        <v>150000</v>
      </c>
      <c r="W23" s="2">
        <v>0</v>
      </c>
      <c r="X23" s="2">
        <v>1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1</v>
      </c>
      <c r="AE23" s="2">
        <v>0</v>
      </c>
      <c r="AF23" s="2">
        <v>0</v>
      </c>
      <c r="AG23" s="2">
        <v>1</v>
      </c>
      <c r="AH23" s="2">
        <v>1</v>
      </c>
      <c r="AI23" s="2">
        <v>0</v>
      </c>
      <c r="AJ23" s="2" t="s">
        <v>90</v>
      </c>
      <c r="AK23" s="2">
        <v>2</v>
      </c>
      <c r="AL23" s="2">
        <v>1</v>
      </c>
      <c r="AM23" s="2">
        <v>0</v>
      </c>
      <c r="AN23" s="2"/>
    </row>
    <row r="24" spans="1:40" x14ac:dyDescent="0.25">
      <c r="A24" s="2" t="s">
        <v>91</v>
      </c>
      <c r="B24" s="2">
        <v>1</v>
      </c>
      <c r="C24" s="2" t="s">
        <v>44</v>
      </c>
      <c r="D24" s="2" t="s">
        <v>115</v>
      </c>
      <c r="E24" s="2" t="s">
        <v>123</v>
      </c>
      <c r="F24" s="2" t="s">
        <v>45</v>
      </c>
      <c r="G24" s="2">
        <v>25</v>
      </c>
      <c r="H24" s="2">
        <v>-1</v>
      </c>
      <c r="I24" s="2">
        <v>180</v>
      </c>
      <c r="J24" s="2">
        <v>4</v>
      </c>
      <c r="K24" s="2">
        <v>30</v>
      </c>
      <c r="L24" s="2">
        <v>30</v>
      </c>
      <c r="M24" s="2">
        <v>20</v>
      </c>
      <c r="N24" s="2">
        <v>99</v>
      </c>
      <c r="O24" s="2">
        <v>671</v>
      </c>
      <c r="P24" s="2">
        <v>0.5</v>
      </c>
      <c r="Q24" s="2">
        <v>8.5083000361919403E-2</v>
      </c>
      <c r="R24" s="2">
        <v>20</v>
      </c>
      <c r="S24" s="2">
        <v>20</v>
      </c>
      <c r="T24" s="2">
        <v>20</v>
      </c>
      <c r="U24" s="2">
        <v>20</v>
      </c>
      <c r="V24" s="2">
        <v>50000</v>
      </c>
      <c r="W24" s="2">
        <v>0</v>
      </c>
      <c r="X24" s="2">
        <v>1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0</v>
      </c>
      <c r="AG24" s="2">
        <v>1</v>
      </c>
      <c r="AH24" s="2">
        <v>1</v>
      </c>
      <c r="AI24" s="2">
        <v>0</v>
      </c>
      <c r="AJ24" s="2" t="s">
        <v>92</v>
      </c>
      <c r="AK24" s="2">
        <v>2</v>
      </c>
      <c r="AL24" s="2">
        <v>1</v>
      </c>
      <c r="AM24" s="2">
        <v>0</v>
      </c>
      <c r="AN24" s="2"/>
    </row>
    <row r="25" spans="1:40" x14ac:dyDescent="0.25">
      <c r="A25" s="2" t="s">
        <v>93</v>
      </c>
      <c r="B25" s="2">
        <v>1</v>
      </c>
      <c r="C25" s="2" t="s">
        <v>50</v>
      </c>
      <c r="D25" s="2" t="s">
        <v>116</v>
      </c>
      <c r="E25" s="2" t="s">
        <v>123</v>
      </c>
      <c r="F25" s="2" t="s">
        <v>51</v>
      </c>
      <c r="G25" s="2">
        <v>25</v>
      </c>
      <c r="H25" s="2">
        <v>-1</v>
      </c>
      <c r="I25" s="2">
        <v>180</v>
      </c>
      <c r="J25" s="2">
        <v>5</v>
      </c>
      <c r="K25" s="2">
        <v>30</v>
      </c>
      <c r="L25" s="2">
        <v>30</v>
      </c>
      <c r="M25" s="2">
        <v>20</v>
      </c>
      <c r="N25" s="2">
        <v>99</v>
      </c>
      <c r="O25" s="2">
        <v>671</v>
      </c>
      <c r="P25" s="2">
        <v>0.5</v>
      </c>
      <c r="Q25" s="2">
        <v>8.5083000361919403E-2</v>
      </c>
      <c r="R25" s="2">
        <v>20</v>
      </c>
      <c r="S25" s="2">
        <v>20</v>
      </c>
      <c r="T25" s="2">
        <v>20</v>
      </c>
      <c r="U25" s="2">
        <v>20</v>
      </c>
      <c r="V25" s="2">
        <v>50000</v>
      </c>
      <c r="W25" s="2">
        <v>0</v>
      </c>
      <c r="X25" s="2">
        <v>1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</v>
      </c>
      <c r="AE25" s="2">
        <v>0</v>
      </c>
      <c r="AF25" s="2">
        <v>0</v>
      </c>
      <c r="AG25" s="2">
        <v>1</v>
      </c>
      <c r="AH25" s="2">
        <v>1</v>
      </c>
      <c r="AI25" s="2">
        <v>0</v>
      </c>
      <c r="AJ25" s="2" t="s">
        <v>94</v>
      </c>
      <c r="AK25" s="2">
        <v>2</v>
      </c>
      <c r="AL25" s="2">
        <v>1</v>
      </c>
      <c r="AM25" s="2">
        <v>0</v>
      </c>
      <c r="AN25" s="2"/>
    </row>
    <row r="26" spans="1:40" x14ac:dyDescent="0.25">
      <c r="A26" s="2" t="s">
        <v>95</v>
      </c>
      <c r="B26" s="2">
        <v>1</v>
      </c>
      <c r="C26" s="2" t="s">
        <v>56</v>
      </c>
      <c r="D26" s="2" t="s">
        <v>117</v>
      </c>
      <c r="E26" s="2" t="s">
        <v>123</v>
      </c>
      <c r="F26" s="2" t="s">
        <v>57</v>
      </c>
      <c r="G26" s="2">
        <v>25</v>
      </c>
      <c r="H26" s="2">
        <v>-1</v>
      </c>
      <c r="I26" s="2">
        <v>180</v>
      </c>
      <c r="J26" s="2">
        <v>6</v>
      </c>
      <c r="K26" s="2">
        <v>30</v>
      </c>
      <c r="L26" s="2">
        <v>30</v>
      </c>
      <c r="M26" s="2">
        <v>20</v>
      </c>
      <c r="N26" s="2">
        <v>99</v>
      </c>
      <c r="O26" s="2">
        <v>671</v>
      </c>
      <c r="P26" s="2">
        <v>0.5</v>
      </c>
      <c r="Q26" s="2">
        <v>8.5083000361919403E-2</v>
      </c>
      <c r="R26" s="2">
        <v>20</v>
      </c>
      <c r="S26" s="2">
        <v>20</v>
      </c>
      <c r="T26" s="2">
        <v>20</v>
      </c>
      <c r="U26" s="2">
        <v>20</v>
      </c>
      <c r="V26" s="2">
        <v>50000</v>
      </c>
      <c r="W26" s="2">
        <v>0</v>
      </c>
      <c r="X26" s="2">
        <v>1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1</v>
      </c>
      <c r="AE26" s="2">
        <v>0</v>
      </c>
      <c r="AF26" s="2">
        <v>0</v>
      </c>
      <c r="AG26" s="2">
        <v>1</v>
      </c>
      <c r="AH26" s="2">
        <v>1</v>
      </c>
      <c r="AI26" s="2">
        <v>0</v>
      </c>
      <c r="AJ26" s="2" t="s">
        <v>96</v>
      </c>
      <c r="AK26" s="2">
        <v>2</v>
      </c>
      <c r="AL26" s="2">
        <v>1</v>
      </c>
      <c r="AM26" s="2">
        <v>0</v>
      </c>
      <c r="AN26" s="2"/>
    </row>
    <row r="27" spans="1:40" x14ac:dyDescent="0.25">
      <c r="A27" s="2" t="s">
        <v>97</v>
      </c>
      <c r="B27" s="2">
        <v>1</v>
      </c>
      <c r="C27" s="2" t="s">
        <v>44</v>
      </c>
      <c r="D27" s="2" t="s">
        <v>115</v>
      </c>
      <c r="E27" s="2" t="s">
        <v>124</v>
      </c>
      <c r="F27" s="2" t="s">
        <v>45</v>
      </c>
      <c r="G27" s="2">
        <v>25</v>
      </c>
      <c r="H27" s="2">
        <v>-1</v>
      </c>
      <c r="I27" s="2">
        <v>180</v>
      </c>
      <c r="J27" s="2">
        <v>7</v>
      </c>
      <c r="K27" s="2">
        <v>50</v>
      </c>
      <c r="L27" s="2">
        <v>30</v>
      </c>
      <c r="M27" s="2">
        <v>20</v>
      </c>
      <c r="N27" s="2">
        <v>99</v>
      </c>
      <c r="O27" s="2">
        <v>2333</v>
      </c>
      <c r="P27" s="2">
        <v>0.5</v>
      </c>
      <c r="Q27" s="2">
        <v>8.5083000361919403E-2</v>
      </c>
      <c r="R27" s="2">
        <v>20</v>
      </c>
      <c r="S27" s="2">
        <v>20</v>
      </c>
      <c r="T27" s="2">
        <v>20</v>
      </c>
      <c r="U27" s="2">
        <v>20</v>
      </c>
      <c r="V27" s="2">
        <v>300000</v>
      </c>
      <c r="W27" s="2">
        <v>0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1</v>
      </c>
      <c r="AE27" s="2">
        <v>0</v>
      </c>
      <c r="AF27" s="2">
        <v>0</v>
      </c>
      <c r="AG27" s="2">
        <v>1</v>
      </c>
      <c r="AH27" s="2">
        <v>1</v>
      </c>
      <c r="AI27" s="2">
        <v>0</v>
      </c>
      <c r="AJ27" s="2" t="s">
        <v>98</v>
      </c>
      <c r="AK27" s="2">
        <v>2</v>
      </c>
      <c r="AL27" s="2">
        <v>0</v>
      </c>
      <c r="AM27" s="2">
        <v>0</v>
      </c>
      <c r="AN27" s="2"/>
    </row>
    <row r="28" spans="1:40" x14ac:dyDescent="0.25">
      <c r="A28" s="2" t="s">
        <v>99</v>
      </c>
      <c r="B28" s="2">
        <v>1</v>
      </c>
      <c r="C28" s="2" t="s">
        <v>50</v>
      </c>
      <c r="D28" s="2" t="s">
        <v>116</v>
      </c>
      <c r="E28" s="2" t="s">
        <v>124</v>
      </c>
      <c r="F28" s="2" t="s">
        <v>51</v>
      </c>
      <c r="G28" s="2">
        <v>25</v>
      </c>
      <c r="H28" s="2">
        <v>-1</v>
      </c>
      <c r="I28" s="2">
        <v>180</v>
      </c>
      <c r="J28" s="2">
        <v>8</v>
      </c>
      <c r="K28" s="2">
        <v>50</v>
      </c>
      <c r="L28" s="2">
        <v>30</v>
      </c>
      <c r="M28" s="2">
        <v>20</v>
      </c>
      <c r="N28" s="2">
        <v>99</v>
      </c>
      <c r="O28" s="2">
        <v>2333</v>
      </c>
      <c r="P28" s="2">
        <v>0.5</v>
      </c>
      <c r="Q28" s="2">
        <v>8.5083000361919403E-2</v>
      </c>
      <c r="R28" s="2">
        <v>20</v>
      </c>
      <c r="S28" s="2">
        <v>20</v>
      </c>
      <c r="T28" s="2">
        <v>20</v>
      </c>
      <c r="U28" s="2">
        <v>20</v>
      </c>
      <c r="V28" s="2">
        <v>300000</v>
      </c>
      <c r="W28" s="2">
        <v>0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1</v>
      </c>
      <c r="AE28" s="2">
        <v>0</v>
      </c>
      <c r="AF28" s="2">
        <v>0</v>
      </c>
      <c r="AG28" s="2">
        <v>1</v>
      </c>
      <c r="AH28" s="2">
        <v>1</v>
      </c>
      <c r="AI28" s="2">
        <v>0</v>
      </c>
      <c r="AJ28" s="2" t="s">
        <v>100</v>
      </c>
      <c r="AK28" s="2">
        <v>2</v>
      </c>
      <c r="AL28" s="2">
        <v>0</v>
      </c>
      <c r="AM28" s="2">
        <v>0</v>
      </c>
      <c r="AN28" s="2"/>
    </row>
    <row r="29" spans="1:40" x14ac:dyDescent="0.25">
      <c r="A29" s="2" t="s">
        <v>101</v>
      </c>
      <c r="B29" s="2">
        <v>1</v>
      </c>
      <c r="C29" s="2" t="s">
        <v>56</v>
      </c>
      <c r="D29" s="2" t="s">
        <v>117</v>
      </c>
      <c r="E29" s="2" t="s">
        <v>124</v>
      </c>
      <c r="F29" s="2" t="s">
        <v>57</v>
      </c>
      <c r="G29" s="2">
        <v>25</v>
      </c>
      <c r="H29" s="2">
        <v>-1</v>
      </c>
      <c r="I29" s="2">
        <v>180</v>
      </c>
      <c r="J29" s="2">
        <v>9</v>
      </c>
      <c r="K29" s="2">
        <v>50</v>
      </c>
      <c r="L29" s="2">
        <v>30</v>
      </c>
      <c r="M29" s="2">
        <v>20</v>
      </c>
      <c r="N29" s="2">
        <v>99</v>
      </c>
      <c r="O29" s="2">
        <v>2333</v>
      </c>
      <c r="P29" s="2">
        <v>0.5</v>
      </c>
      <c r="Q29" s="2">
        <v>8.5083000361919403E-2</v>
      </c>
      <c r="R29" s="2">
        <v>20</v>
      </c>
      <c r="S29" s="2">
        <v>20</v>
      </c>
      <c r="T29" s="2">
        <v>20</v>
      </c>
      <c r="U29" s="2">
        <v>20</v>
      </c>
      <c r="V29" s="2">
        <v>300000</v>
      </c>
      <c r="W29" s="2">
        <v>0</v>
      </c>
      <c r="X29" s="2">
        <v>1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1</v>
      </c>
      <c r="AE29" s="2">
        <v>0</v>
      </c>
      <c r="AF29" s="2">
        <v>0</v>
      </c>
      <c r="AG29" s="2">
        <v>1</v>
      </c>
      <c r="AH29" s="2">
        <v>1</v>
      </c>
      <c r="AI29" s="2">
        <v>0</v>
      </c>
      <c r="AJ29" s="2" t="s">
        <v>102</v>
      </c>
      <c r="AK29" s="2">
        <v>2</v>
      </c>
      <c r="AL29" s="2">
        <v>0</v>
      </c>
      <c r="AM29" s="2">
        <v>0</v>
      </c>
      <c r="AN29" s="2"/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8.5703125" bestFit="1" customWidth="1"/>
    <col min="2" max="2" width="46.28515625" bestFit="1" customWidth="1"/>
    <col min="3" max="3" width="7" bestFit="1" customWidth="1"/>
    <col min="4" max="4" width="6.7109375" bestFit="1" customWidth="1"/>
    <col min="5" max="5" width="6" bestFit="1" customWidth="1"/>
    <col min="6" max="6" width="5.85546875" bestFit="1" customWidth="1"/>
    <col min="7" max="7" width="7.140625" bestFit="1" customWidth="1"/>
    <col min="8" max="8" width="5.5703125" bestFit="1" customWidth="1"/>
    <col min="9" max="9" width="8.28515625" bestFit="1" customWidth="1"/>
    <col min="10" max="10" width="8.5703125" bestFit="1" customWidth="1"/>
    <col min="11" max="11" width="9.85546875" bestFit="1" customWidth="1"/>
    <col min="12" max="12" width="9.5703125" bestFit="1" customWidth="1"/>
    <col min="13" max="13" width="8.5703125" bestFit="1" customWidth="1"/>
    <col min="14" max="14" width="10.140625" bestFit="1" customWidth="1"/>
    <col min="15" max="15" width="10.7109375" bestFit="1" customWidth="1"/>
    <col min="16" max="16" width="6.7109375" bestFit="1" customWidth="1"/>
    <col min="17" max="17" width="9" bestFit="1" customWidth="1"/>
    <col min="18" max="18" width="7.140625" bestFit="1" customWidth="1"/>
    <col min="19" max="19" width="8.28515625" bestFit="1" customWidth="1"/>
    <col min="20" max="21" width="6.7109375" bestFit="1" customWidth="1"/>
    <col min="22" max="22" width="6.85546875" bestFit="1" customWidth="1"/>
    <col min="23" max="23" width="8.42578125" bestFit="1" customWidth="1"/>
    <col min="24" max="24" width="5.85546875" bestFit="1" customWidth="1"/>
    <col min="25" max="25" width="5.7109375" bestFit="1" customWidth="1"/>
    <col min="26" max="26" width="6" bestFit="1" customWidth="1"/>
    <col min="27" max="27" width="5.5703125" bestFit="1" customWidth="1"/>
    <col min="28" max="28" width="7.140625" bestFit="1" customWidth="1"/>
    <col min="29" max="31" width="6.7109375" bestFit="1" customWidth="1"/>
    <col min="32" max="32" width="5" bestFit="1" customWidth="1"/>
    <col min="33" max="33" width="6.42578125" bestFit="1" customWidth="1"/>
    <col min="34" max="34" width="5" bestFit="1" customWidth="1"/>
    <col min="35" max="35" width="5.7109375" bestFit="1" customWidth="1"/>
    <col min="36" max="36" width="10.85546875" bestFit="1" customWidth="1"/>
    <col min="37" max="37" width="6.7109375" bestFit="1" customWidth="1"/>
    <col min="38" max="38" width="4.7109375" bestFit="1" customWidth="1"/>
  </cols>
  <sheetData>
    <row r="1" spans="1:38" x14ac:dyDescent="0.25">
      <c r="A1" t="s">
        <v>103</v>
      </c>
      <c r="B1" t="s">
        <v>0</v>
      </c>
      <c r="C1" t="s">
        <v>104</v>
      </c>
      <c r="D1" t="s">
        <v>1</v>
      </c>
      <c r="E1" t="s">
        <v>105</v>
      </c>
      <c r="F1" t="s">
        <v>106</v>
      </c>
      <c r="G1" t="s">
        <v>106</v>
      </c>
      <c r="H1" t="s">
        <v>107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  <c r="X1" t="s">
        <v>104</v>
      </c>
      <c r="Y1" t="s">
        <v>106</v>
      </c>
      <c r="Z1" t="s">
        <v>106</v>
      </c>
      <c r="AA1" t="s">
        <v>107</v>
      </c>
      <c r="AB1" t="s">
        <v>1</v>
      </c>
      <c r="AC1" t="s">
        <v>1</v>
      </c>
      <c r="AD1" t="s">
        <v>1</v>
      </c>
      <c r="AE1" t="s">
        <v>1</v>
      </c>
      <c r="AF1" t="s">
        <v>106</v>
      </c>
      <c r="AG1" t="s">
        <v>106</v>
      </c>
      <c r="AH1" t="s">
        <v>106</v>
      </c>
      <c r="AI1" t="s">
        <v>106</v>
      </c>
      <c r="AJ1" t="s">
        <v>1</v>
      </c>
      <c r="AK1" t="s">
        <v>1</v>
      </c>
      <c r="AL1" t="s">
        <v>3</v>
      </c>
    </row>
    <row r="2" spans="1:38" x14ac:dyDescent="0.25">
      <c r="A2" t="str">
        <f>UNmannedminer!A2</f>
        <v>Code</v>
      </c>
      <c r="B2" t="str">
        <f>UNmannedminer!E2</f>
        <v>Name</v>
      </c>
      <c r="C2" s="1" t="str">
        <f>UNmannedminer!C2</f>
        <v>Model</v>
      </c>
      <c r="D2" t="str">
        <f>UNmannedminer!J2</f>
        <v>Icon</v>
      </c>
      <c r="E2" s="1" t="str">
        <f>UNmannedminer!F2</f>
        <v>Civil</v>
      </c>
      <c r="F2" t="s">
        <v>109</v>
      </c>
      <c r="G2" t="str">
        <f>UNmannedminer!W2</f>
        <v>Money</v>
      </c>
      <c r="H2" t="s">
        <v>110</v>
      </c>
      <c r="I2" t="str">
        <f>UNmannedminer!X2</f>
        <v>StdPrice</v>
      </c>
      <c r="J2" t="str">
        <f>UNmannedminer!Y2</f>
        <v>StdPoint</v>
      </c>
      <c r="K2" t="str">
        <f>UNmannedminer!Z2</f>
        <v>GoldPoint</v>
      </c>
      <c r="L2" t="str">
        <f>UNmannedminer!AB2</f>
        <v>ProcPoint</v>
      </c>
      <c r="M2" t="str">
        <f>UNmannedminer!AA2</f>
        <v>KillPoint</v>
      </c>
      <c r="N2" t="str">
        <f>UNmannedminer!AC2</f>
        <v>StorePrice</v>
      </c>
      <c r="O2" t="str">
        <f>UNmannedminer!AE2</f>
        <v>IsExchange</v>
      </c>
      <c r="P2" t="str">
        <f>UNmannedminer!AD2</f>
        <v>IsSell</v>
      </c>
      <c r="Q2" t="str">
        <f>UNmannedminer!AF2</f>
        <v>IsGround</v>
      </c>
      <c r="R2" t="str">
        <f>UNmannedminer!AG2</f>
        <v>IsStore</v>
      </c>
      <c r="S2" t="s">
        <v>111</v>
      </c>
      <c r="T2" t="str">
        <f>UNmannedminer!B2</f>
        <v>IsExist</v>
      </c>
      <c r="U2" t="str">
        <f>UNmannedminer!AL2</f>
        <v>IsCash</v>
      </c>
      <c r="V2" t="str">
        <f>UNmannedminer!AM2</f>
        <v>IsTime</v>
      </c>
      <c r="W2" t="str">
        <f>UNmannedminer!H2</f>
        <v>UpLvLim</v>
      </c>
      <c r="X2" t="str">
        <f>UNmannedminer!D2</f>
        <v>Mesh</v>
      </c>
      <c r="Y2" t="str">
        <f>UNmannedminer!K2</f>
        <v>Level</v>
      </c>
      <c r="Z2" t="str">
        <f>UNmannedminer!G2</f>
        <v>LvLim</v>
      </c>
      <c r="AA2" t="s">
        <v>110</v>
      </c>
      <c r="AB2" t="str">
        <f>UNmannedminer!V2</f>
        <v>MaxHp</v>
      </c>
      <c r="AC2" t="s">
        <v>112</v>
      </c>
      <c r="AD2" t="s">
        <v>112</v>
      </c>
      <c r="AE2" t="str">
        <f>UNmannedminer!O2</f>
        <v>DefFc</v>
      </c>
      <c r="AF2" t="str">
        <f>UNmannedminer!R2</f>
        <v>Fire</v>
      </c>
      <c r="AG2" t="str">
        <f>UNmannedminer!S2</f>
        <v>Water</v>
      </c>
      <c r="AH2" t="str">
        <f>UNmannedminer!T2</f>
        <v>Soil</v>
      </c>
      <c r="AI2" t="str">
        <f>UNmannedminer!U2</f>
        <v>Wind</v>
      </c>
      <c r="AJ2" t="str">
        <f>UNmannedminer!AK2</f>
        <v>DefEffType</v>
      </c>
      <c r="AK2" t="s">
        <v>112</v>
      </c>
    </row>
    <row r="3" spans="1:38" x14ac:dyDescent="0.25">
      <c r="A3" t="str">
        <f>UNmannedminer!A3</f>
        <v>unbb000</v>
      </c>
      <c r="B3" t="str">
        <f>UNmannedminer!E3</f>
        <v>Advanced UnmannedMiningTool</v>
      </c>
      <c r="C3" s="1" t="str">
        <f>UNmannedminer!C3</f>
        <v>731200</v>
      </c>
      <c r="D3">
        <f>UNmannedminer!J3</f>
        <v>1</v>
      </c>
      <c r="E3" s="1" t="str">
        <f>UNmannedminer!F3</f>
        <v>11000</v>
      </c>
      <c r="F3">
        <v>33</v>
      </c>
      <c r="G3">
        <f>UNmannedminer!W3</f>
        <v>0</v>
      </c>
      <c r="H3">
        <v>0</v>
      </c>
      <c r="I3">
        <f>UNmannedminer!X3</f>
        <v>2000000</v>
      </c>
      <c r="J3">
        <f>UNmannedminer!Y3</f>
        <v>0</v>
      </c>
      <c r="K3">
        <f>UNmannedminer!Z3</f>
        <v>0</v>
      </c>
      <c r="L3">
        <f>UNmannedminer!AB3</f>
        <v>0</v>
      </c>
      <c r="M3">
        <f>UNmannedminer!AA3</f>
        <v>0</v>
      </c>
      <c r="N3">
        <f>UNmannedminer!AC3</f>
        <v>100000</v>
      </c>
      <c r="O3">
        <f>UNmannedminer!AE3</f>
        <v>1</v>
      </c>
      <c r="P3">
        <f>UNmannedminer!AD3</f>
        <v>1</v>
      </c>
      <c r="Q3">
        <f>UNmannedminer!AF3</f>
        <v>1</v>
      </c>
      <c r="R3">
        <f>UNmannedminer!AG3</f>
        <v>1</v>
      </c>
      <c r="S3">
        <v>0</v>
      </c>
      <c r="T3">
        <f>UNmannedminer!B3</f>
        <v>1</v>
      </c>
      <c r="U3">
        <f>UNmannedminer!AL3</f>
        <v>0</v>
      </c>
      <c r="V3">
        <f>UNmannedminer!AM3</f>
        <v>0</v>
      </c>
      <c r="W3">
        <f>UNmannedminer!H3</f>
        <v>-1</v>
      </c>
      <c r="X3" t="str">
        <f>UNmannedminer!D3</f>
        <v>7200</v>
      </c>
      <c r="Y3">
        <f>UNmannedminer!K3</f>
        <v>50</v>
      </c>
      <c r="Z3">
        <f>UNmannedminer!G3</f>
        <v>45</v>
      </c>
      <c r="AA3">
        <v>0</v>
      </c>
      <c r="AB3">
        <f>UNmannedminer!V3</f>
        <v>300000</v>
      </c>
      <c r="AC3">
        <v>3000</v>
      </c>
      <c r="AD3">
        <v>1</v>
      </c>
      <c r="AE3">
        <f>UNmannedminer!O3</f>
        <v>2333</v>
      </c>
      <c r="AF3">
        <f>UNmannedminer!R3</f>
        <v>20</v>
      </c>
      <c r="AG3">
        <f>UNmannedminer!S3</f>
        <v>20</v>
      </c>
      <c r="AH3">
        <f>UNmannedminer!T3</f>
        <v>20</v>
      </c>
      <c r="AI3">
        <f>UNmannedminer!U3</f>
        <v>20</v>
      </c>
      <c r="AJ3">
        <f>UNmannedminer!AK3</f>
        <v>2</v>
      </c>
      <c r="AK3">
        <v>0</v>
      </c>
    </row>
    <row r="4" spans="1:38" x14ac:dyDescent="0.25">
      <c r="A4" t="str">
        <f>UNmannedminer!A4</f>
        <v>unbb001</v>
      </c>
      <c r="B4" t="str">
        <f>UNmannedminer!E4</f>
        <v>Advanced UnmannedMiningTool</v>
      </c>
      <c r="C4" s="1" t="str">
        <f>UNmannedminer!C4</f>
        <v>731200</v>
      </c>
      <c r="D4">
        <f>UNmannedminer!J4</f>
        <v>1</v>
      </c>
      <c r="E4" s="1" t="str">
        <f>UNmannedminer!F4</f>
        <v>11000</v>
      </c>
      <c r="F4">
        <v>33</v>
      </c>
      <c r="G4">
        <f>UNmannedminer!W4</f>
        <v>0</v>
      </c>
      <c r="H4">
        <v>0</v>
      </c>
      <c r="I4">
        <f>UNmannedminer!X4</f>
        <v>2000000</v>
      </c>
      <c r="J4">
        <f>UNmannedminer!Y4</f>
        <v>0</v>
      </c>
      <c r="K4">
        <f>UNmannedminer!Z4</f>
        <v>0</v>
      </c>
      <c r="L4">
        <f>UNmannedminer!AB4</f>
        <v>0</v>
      </c>
      <c r="M4">
        <f>UNmannedminer!AA4</f>
        <v>0</v>
      </c>
      <c r="N4">
        <f>UNmannedminer!AC4</f>
        <v>100000</v>
      </c>
      <c r="O4">
        <f>UNmannedminer!AE4</f>
        <v>1</v>
      </c>
      <c r="P4">
        <f>UNmannedminer!AD4</f>
        <v>1</v>
      </c>
      <c r="Q4">
        <f>UNmannedminer!AF4</f>
        <v>1</v>
      </c>
      <c r="R4">
        <f>UNmannedminer!AG4</f>
        <v>1</v>
      </c>
      <c r="S4">
        <v>1</v>
      </c>
      <c r="T4">
        <f>UNmannedminer!B4</f>
        <v>1</v>
      </c>
      <c r="U4">
        <f>UNmannedminer!AL4</f>
        <v>0</v>
      </c>
      <c r="V4">
        <f>UNmannedminer!AM4</f>
        <v>0</v>
      </c>
      <c r="W4">
        <f>UNmannedminer!H4</f>
        <v>-1</v>
      </c>
      <c r="X4" t="str">
        <f>UNmannedminer!D4</f>
        <v>7200</v>
      </c>
      <c r="Y4">
        <f>UNmannedminer!K4</f>
        <v>50</v>
      </c>
      <c r="Z4">
        <f>UNmannedminer!G4</f>
        <v>45</v>
      </c>
      <c r="AA4">
        <v>0</v>
      </c>
      <c r="AB4">
        <f>UNmannedminer!V4</f>
        <v>300000</v>
      </c>
      <c r="AC4">
        <v>3000</v>
      </c>
      <c r="AD4">
        <v>1</v>
      </c>
      <c r="AE4">
        <f>UNmannedminer!O4</f>
        <v>2333</v>
      </c>
      <c r="AF4">
        <f>UNmannedminer!R4</f>
        <v>20</v>
      </c>
      <c r="AG4">
        <f>UNmannedminer!S4</f>
        <v>20</v>
      </c>
      <c r="AH4">
        <f>UNmannedminer!T4</f>
        <v>20</v>
      </c>
      <c r="AI4">
        <f>UNmannedminer!U4</f>
        <v>20</v>
      </c>
      <c r="AJ4">
        <f>UNmannedminer!AK4</f>
        <v>2</v>
      </c>
      <c r="AK4">
        <v>0</v>
      </c>
    </row>
    <row r="5" spans="1:38" x14ac:dyDescent="0.25">
      <c r="A5" t="str">
        <f>UNmannedminer!A5</f>
        <v>uncc000</v>
      </c>
      <c r="B5" t="str">
        <f>UNmannedminer!E5</f>
        <v>Advanced UnmannedMiningTool</v>
      </c>
      <c r="C5" s="1" t="str">
        <f>UNmannedminer!C5</f>
        <v>831200</v>
      </c>
      <c r="D5">
        <f>UNmannedminer!J5</f>
        <v>2</v>
      </c>
      <c r="E5" s="1" t="str">
        <f>UNmannedminer!F5</f>
        <v>00110</v>
      </c>
      <c r="F5">
        <v>33</v>
      </c>
      <c r="G5">
        <f>UNmannedminer!W5</f>
        <v>0</v>
      </c>
      <c r="H5">
        <v>0</v>
      </c>
      <c r="I5">
        <f>UNmannedminer!X5</f>
        <v>2000000</v>
      </c>
      <c r="J5">
        <f>UNmannedminer!Y5</f>
        <v>0</v>
      </c>
      <c r="K5">
        <f>UNmannedminer!Z5</f>
        <v>0</v>
      </c>
      <c r="L5">
        <f>UNmannedminer!AB5</f>
        <v>0</v>
      </c>
      <c r="M5">
        <f>UNmannedminer!AA5</f>
        <v>0</v>
      </c>
      <c r="N5">
        <f>UNmannedminer!AC5</f>
        <v>100000</v>
      </c>
      <c r="O5">
        <f>UNmannedminer!AE5</f>
        <v>1</v>
      </c>
      <c r="P5">
        <f>UNmannedminer!AD5</f>
        <v>1</v>
      </c>
      <c r="Q5">
        <f>UNmannedminer!AF5</f>
        <v>1</v>
      </c>
      <c r="R5">
        <f>UNmannedminer!AG5</f>
        <v>1</v>
      </c>
      <c r="S5">
        <v>2</v>
      </c>
      <c r="T5">
        <f>UNmannedminer!B5</f>
        <v>1</v>
      </c>
      <c r="U5">
        <f>UNmannedminer!AL5</f>
        <v>0</v>
      </c>
      <c r="V5">
        <f>UNmannedminer!AM5</f>
        <v>0</v>
      </c>
      <c r="W5">
        <f>UNmannedminer!H5</f>
        <v>-1</v>
      </c>
      <c r="X5" t="str">
        <f>UNmannedminer!D5</f>
        <v>8200</v>
      </c>
      <c r="Y5">
        <f>UNmannedminer!K5</f>
        <v>50</v>
      </c>
      <c r="Z5">
        <f>UNmannedminer!G5</f>
        <v>45</v>
      </c>
      <c r="AA5">
        <v>0</v>
      </c>
      <c r="AB5">
        <f>UNmannedminer!V5</f>
        <v>300000</v>
      </c>
      <c r="AC5">
        <v>3000</v>
      </c>
      <c r="AD5">
        <v>1</v>
      </c>
      <c r="AE5">
        <f>UNmannedminer!O5</f>
        <v>2333</v>
      </c>
      <c r="AF5">
        <f>UNmannedminer!R5</f>
        <v>20</v>
      </c>
      <c r="AG5">
        <f>UNmannedminer!S5</f>
        <v>20</v>
      </c>
      <c r="AH5">
        <f>UNmannedminer!T5</f>
        <v>20</v>
      </c>
      <c r="AI5">
        <f>UNmannedminer!U5</f>
        <v>20</v>
      </c>
      <c r="AJ5">
        <f>UNmannedminer!AK5</f>
        <v>2</v>
      </c>
      <c r="AK5">
        <v>0</v>
      </c>
    </row>
    <row r="6" spans="1:38" x14ac:dyDescent="0.25">
      <c r="A6" t="str">
        <f>UNmannedminer!A6</f>
        <v>uncc001</v>
      </c>
      <c r="B6" t="str">
        <f>UNmannedminer!E6</f>
        <v>Advanced UnmannedMiningTool</v>
      </c>
      <c r="C6" s="1" t="str">
        <f>UNmannedminer!C6</f>
        <v>831200</v>
      </c>
      <c r="D6">
        <f>UNmannedminer!J6</f>
        <v>2</v>
      </c>
      <c r="E6" s="1" t="str">
        <f>UNmannedminer!F6</f>
        <v>00110</v>
      </c>
      <c r="F6">
        <v>33</v>
      </c>
      <c r="G6">
        <f>UNmannedminer!W6</f>
        <v>0</v>
      </c>
      <c r="H6">
        <v>0</v>
      </c>
      <c r="I6">
        <f>UNmannedminer!X6</f>
        <v>2000000</v>
      </c>
      <c r="J6">
        <f>UNmannedminer!Y6</f>
        <v>0</v>
      </c>
      <c r="K6">
        <f>UNmannedminer!Z6</f>
        <v>0</v>
      </c>
      <c r="L6">
        <f>UNmannedminer!AB6</f>
        <v>0</v>
      </c>
      <c r="M6">
        <f>UNmannedminer!AA6</f>
        <v>0</v>
      </c>
      <c r="N6">
        <f>UNmannedminer!AC6</f>
        <v>100000</v>
      </c>
      <c r="O6">
        <f>UNmannedminer!AE6</f>
        <v>1</v>
      </c>
      <c r="P6">
        <f>UNmannedminer!AD6</f>
        <v>1</v>
      </c>
      <c r="Q6">
        <f>UNmannedminer!AF6</f>
        <v>1</v>
      </c>
      <c r="R6">
        <f>UNmannedminer!AG6</f>
        <v>1</v>
      </c>
      <c r="S6">
        <v>3</v>
      </c>
      <c r="T6">
        <f>UNmannedminer!B6</f>
        <v>1</v>
      </c>
      <c r="U6">
        <f>UNmannedminer!AL6</f>
        <v>0</v>
      </c>
      <c r="V6">
        <f>UNmannedminer!AM6</f>
        <v>0</v>
      </c>
      <c r="W6">
        <f>UNmannedminer!H6</f>
        <v>-1</v>
      </c>
      <c r="X6" t="str">
        <f>UNmannedminer!D6</f>
        <v>8200</v>
      </c>
      <c r="Y6">
        <f>UNmannedminer!K6</f>
        <v>50</v>
      </c>
      <c r="Z6">
        <f>UNmannedminer!G6</f>
        <v>45</v>
      </c>
      <c r="AA6">
        <v>0</v>
      </c>
      <c r="AB6">
        <f>UNmannedminer!V6</f>
        <v>300000</v>
      </c>
      <c r="AC6">
        <v>3000</v>
      </c>
      <c r="AD6">
        <v>1</v>
      </c>
      <c r="AE6">
        <f>UNmannedminer!O6</f>
        <v>2333</v>
      </c>
      <c r="AF6">
        <f>UNmannedminer!R6</f>
        <v>20</v>
      </c>
      <c r="AG6">
        <f>UNmannedminer!S6</f>
        <v>20</v>
      </c>
      <c r="AH6">
        <f>UNmannedminer!T6</f>
        <v>20</v>
      </c>
      <c r="AI6">
        <f>UNmannedminer!U6</f>
        <v>20</v>
      </c>
      <c r="AJ6">
        <f>UNmannedminer!AK6</f>
        <v>2</v>
      </c>
      <c r="AK6">
        <v>0</v>
      </c>
    </row>
    <row r="7" spans="1:38" x14ac:dyDescent="0.25">
      <c r="A7" t="str">
        <f>UNmannedminer!A7</f>
        <v>unaa000</v>
      </c>
      <c r="B7" t="str">
        <f>UNmannedminer!E7</f>
        <v>Advanced UnmannedMiningTool</v>
      </c>
      <c r="C7" s="1" t="str">
        <f>UNmannedminer!C7</f>
        <v>431200</v>
      </c>
      <c r="D7">
        <f>UNmannedminer!J7</f>
        <v>3</v>
      </c>
      <c r="E7" s="1" t="str">
        <f>UNmannedminer!F7</f>
        <v>00001</v>
      </c>
      <c r="F7">
        <v>33</v>
      </c>
      <c r="G7">
        <f>UNmannedminer!W7</f>
        <v>0</v>
      </c>
      <c r="H7">
        <v>0</v>
      </c>
      <c r="I7">
        <f>UNmannedminer!X7</f>
        <v>2000000</v>
      </c>
      <c r="J7">
        <f>UNmannedminer!Y7</f>
        <v>0</v>
      </c>
      <c r="K7">
        <f>UNmannedminer!Z7</f>
        <v>0</v>
      </c>
      <c r="L7">
        <f>UNmannedminer!AB7</f>
        <v>0</v>
      </c>
      <c r="M7">
        <f>UNmannedminer!AA7</f>
        <v>0</v>
      </c>
      <c r="N7">
        <f>UNmannedminer!AC7</f>
        <v>100000</v>
      </c>
      <c r="O7">
        <f>UNmannedminer!AE7</f>
        <v>1</v>
      </c>
      <c r="P7">
        <f>UNmannedminer!AD7</f>
        <v>1</v>
      </c>
      <c r="Q7">
        <f>UNmannedminer!AF7</f>
        <v>1</v>
      </c>
      <c r="R7">
        <f>UNmannedminer!AG7</f>
        <v>1</v>
      </c>
      <c r="S7">
        <v>4</v>
      </c>
      <c r="T7">
        <f>UNmannedminer!B7</f>
        <v>1</v>
      </c>
      <c r="U7">
        <f>UNmannedminer!AL7</f>
        <v>0</v>
      </c>
      <c r="V7">
        <f>UNmannedminer!AM7</f>
        <v>0</v>
      </c>
      <c r="W7">
        <f>UNmannedminer!H7</f>
        <v>-1</v>
      </c>
      <c r="X7" t="str">
        <f>UNmannedminer!D7</f>
        <v>4200</v>
      </c>
      <c r="Y7">
        <f>UNmannedminer!K7</f>
        <v>50</v>
      </c>
      <c r="Z7">
        <f>UNmannedminer!G7</f>
        <v>45</v>
      </c>
      <c r="AA7">
        <v>0</v>
      </c>
      <c r="AB7">
        <f>UNmannedminer!V7</f>
        <v>300000</v>
      </c>
      <c r="AC7">
        <v>3000</v>
      </c>
      <c r="AD7">
        <v>1</v>
      </c>
      <c r="AE7">
        <f>UNmannedminer!O7</f>
        <v>2333</v>
      </c>
      <c r="AF7">
        <f>UNmannedminer!R7</f>
        <v>20</v>
      </c>
      <c r="AG7">
        <f>UNmannedminer!S7</f>
        <v>20</v>
      </c>
      <c r="AH7">
        <f>UNmannedminer!T7</f>
        <v>20</v>
      </c>
      <c r="AI7">
        <f>UNmannedminer!U7</f>
        <v>20</v>
      </c>
      <c r="AJ7">
        <f>UNmannedminer!AK7</f>
        <v>2</v>
      </c>
      <c r="AK7">
        <v>0</v>
      </c>
    </row>
    <row r="8" spans="1:38" x14ac:dyDescent="0.25">
      <c r="A8" t="str">
        <f>UNmannedminer!A8</f>
        <v>unaa001</v>
      </c>
      <c r="B8" t="str">
        <f>UNmannedminer!E8</f>
        <v>Advanced UnmannedMiningTool</v>
      </c>
      <c r="C8" s="1" t="str">
        <f>UNmannedminer!C8</f>
        <v>431200</v>
      </c>
      <c r="D8">
        <f>UNmannedminer!J8</f>
        <v>3</v>
      </c>
      <c r="E8" s="1" t="str">
        <f>UNmannedminer!F8</f>
        <v>00001</v>
      </c>
      <c r="F8">
        <v>33</v>
      </c>
      <c r="G8">
        <f>UNmannedminer!W8</f>
        <v>0</v>
      </c>
      <c r="H8">
        <v>0</v>
      </c>
      <c r="I8">
        <f>UNmannedminer!X8</f>
        <v>2000000</v>
      </c>
      <c r="J8">
        <f>UNmannedminer!Y8</f>
        <v>0</v>
      </c>
      <c r="K8">
        <f>UNmannedminer!Z8</f>
        <v>0</v>
      </c>
      <c r="L8">
        <f>UNmannedminer!AB8</f>
        <v>0</v>
      </c>
      <c r="M8">
        <f>UNmannedminer!AA8</f>
        <v>0</v>
      </c>
      <c r="N8">
        <f>UNmannedminer!AC8</f>
        <v>100000</v>
      </c>
      <c r="O8">
        <f>UNmannedminer!AE8</f>
        <v>1</v>
      </c>
      <c r="P8">
        <f>UNmannedminer!AD8</f>
        <v>1</v>
      </c>
      <c r="Q8">
        <f>UNmannedminer!AF8</f>
        <v>1</v>
      </c>
      <c r="R8">
        <f>UNmannedminer!AG8</f>
        <v>1</v>
      </c>
      <c r="S8">
        <v>5</v>
      </c>
      <c r="T8">
        <f>UNmannedminer!B8</f>
        <v>1</v>
      </c>
      <c r="U8">
        <f>UNmannedminer!AL8</f>
        <v>0</v>
      </c>
      <c r="V8">
        <f>UNmannedminer!AM8</f>
        <v>0</v>
      </c>
      <c r="W8">
        <f>UNmannedminer!H8</f>
        <v>-1</v>
      </c>
      <c r="X8" t="str">
        <f>UNmannedminer!D8</f>
        <v>4200</v>
      </c>
      <c r="Y8">
        <f>UNmannedminer!K8</f>
        <v>50</v>
      </c>
      <c r="Z8">
        <f>UNmannedminer!G8</f>
        <v>45</v>
      </c>
      <c r="AA8">
        <v>0</v>
      </c>
      <c r="AB8">
        <f>UNmannedminer!V8</f>
        <v>300000</v>
      </c>
      <c r="AC8">
        <v>3000</v>
      </c>
      <c r="AD8">
        <v>1</v>
      </c>
      <c r="AE8">
        <f>UNmannedminer!O8</f>
        <v>2333</v>
      </c>
      <c r="AF8">
        <f>UNmannedminer!R8</f>
        <v>20</v>
      </c>
      <c r="AG8">
        <f>UNmannedminer!S8</f>
        <v>20</v>
      </c>
      <c r="AH8">
        <f>UNmannedminer!T8</f>
        <v>20</v>
      </c>
      <c r="AI8">
        <f>UNmannedminer!U8</f>
        <v>20</v>
      </c>
      <c r="AJ8">
        <f>UNmannedminer!AK8</f>
        <v>2</v>
      </c>
      <c r="AK8">
        <v>0</v>
      </c>
    </row>
    <row r="9" spans="1:38" x14ac:dyDescent="0.25">
      <c r="A9" t="str">
        <f>UNmannedminer!A9</f>
        <v>unbb002</v>
      </c>
      <c r="B9" t="str">
        <f>UNmannedminer!E9</f>
        <v>Normal UnmannedMiningTool</v>
      </c>
      <c r="C9" s="1" t="str">
        <f>UNmannedminer!C9</f>
        <v>731200</v>
      </c>
      <c r="D9">
        <f>UNmannedminer!J9</f>
        <v>1</v>
      </c>
      <c r="E9" s="1" t="str">
        <f>UNmannedminer!F9</f>
        <v>11000</v>
      </c>
      <c r="F9">
        <v>33</v>
      </c>
      <c r="G9">
        <f>UNmannedminer!W9</f>
        <v>0</v>
      </c>
      <c r="H9">
        <v>0</v>
      </c>
      <c r="I9">
        <f>UNmannedminer!X9</f>
        <v>1000000</v>
      </c>
      <c r="J9">
        <f>UNmannedminer!Y9</f>
        <v>0</v>
      </c>
      <c r="K9">
        <f>UNmannedminer!Z9</f>
        <v>0</v>
      </c>
      <c r="L9">
        <f>UNmannedminer!AB9</f>
        <v>0</v>
      </c>
      <c r="M9">
        <f>UNmannedminer!AA9</f>
        <v>0</v>
      </c>
      <c r="N9">
        <f>UNmannedminer!AC9</f>
        <v>50000</v>
      </c>
      <c r="O9">
        <f>UNmannedminer!AE9</f>
        <v>1</v>
      </c>
      <c r="P9">
        <f>UNmannedminer!AD9</f>
        <v>1</v>
      </c>
      <c r="Q9">
        <f>UNmannedminer!AF9</f>
        <v>1</v>
      </c>
      <c r="R9">
        <f>UNmannedminer!AG9</f>
        <v>1</v>
      </c>
      <c r="S9">
        <v>6</v>
      </c>
      <c r="T9">
        <f>UNmannedminer!B9</f>
        <v>1</v>
      </c>
      <c r="U9">
        <f>UNmannedminer!AL9</f>
        <v>0</v>
      </c>
      <c r="V9">
        <f>UNmannedminer!AM9</f>
        <v>0</v>
      </c>
      <c r="W9">
        <f>UNmannedminer!H9</f>
        <v>-1</v>
      </c>
      <c r="X9" t="str">
        <f>UNmannedminer!D9</f>
        <v>7200</v>
      </c>
      <c r="Y9">
        <f>UNmannedminer!K9</f>
        <v>40</v>
      </c>
      <c r="Z9">
        <f>UNmannedminer!G9</f>
        <v>35</v>
      </c>
      <c r="AA9">
        <v>0</v>
      </c>
      <c r="AB9">
        <f>UNmannedminer!V9</f>
        <v>150000</v>
      </c>
      <c r="AC9">
        <v>3000</v>
      </c>
      <c r="AD9">
        <v>1</v>
      </c>
      <c r="AE9">
        <f>UNmannedminer!O9</f>
        <v>1289</v>
      </c>
      <c r="AF9">
        <f>UNmannedminer!R9</f>
        <v>20</v>
      </c>
      <c r="AG9">
        <f>UNmannedminer!S9</f>
        <v>20</v>
      </c>
      <c r="AH9">
        <f>UNmannedminer!T9</f>
        <v>20</v>
      </c>
      <c r="AI9">
        <f>UNmannedminer!U9</f>
        <v>20</v>
      </c>
      <c r="AJ9">
        <f>UNmannedminer!AK9</f>
        <v>2</v>
      </c>
      <c r="AK9">
        <v>0</v>
      </c>
    </row>
    <row r="10" spans="1:38" x14ac:dyDescent="0.25">
      <c r="A10" t="str">
        <f>UNmannedminer!A10</f>
        <v>uncc002</v>
      </c>
      <c r="B10" t="str">
        <f>UNmannedminer!E10</f>
        <v>Normal UnmannedMiningTool</v>
      </c>
      <c r="C10" s="1" t="str">
        <f>UNmannedminer!C10</f>
        <v>831200</v>
      </c>
      <c r="D10">
        <f>UNmannedminer!J10</f>
        <v>2</v>
      </c>
      <c r="E10" s="1" t="str">
        <f>UNmannedminer!F10</f>
        <v>00110</v>
      </c>
      <c r="F10">
        <v>33</v>
      </c>
      <c r="G10">
        <f>UNmannedminer!W10</f>
        <v>0</v>
      </c>
      <c r="H10">
        <v>0</v>
      </c>
      <c r="I10">
        <f>UNmannedminer!X10</f>
        <v>1000000</v>
      </c>
      <c r="J10">
        <f>UNmannedminer!Y10</f>
        <v>0</v>
      </c>
      <c r="K10">
        <f>UNmannedminer!Z10</f>
        <v>0</v>
      </c>
      <c r="L10">
        <f>UNmannedminer!AB10</f>
        <v>0</v>
      </c>
      <c r="M10">
        <f>UNmannedminer!AA10</f>
        <v>0</v>
      </c>
      <c r="N10">
        <f>UNmannedminer!AC10</f>
        <v>50000</v>
      </c>
      <c r="O10">
        <f>UNmannedminer!AE10</f>
        <v>1</v>
      </c>
      <c r="P10">
        <f>UNmannedminer!AD10</f>
        <v>1</v>
      </c>
      <c r="Q10">
        <f>UNmannedminer!AF10</f>
        <v>1</v>
      </c>
      <c r="R10">
        <f>UNmannedminer!AG10</f>
        <v>1</v>
      </c>
      <c r="S10">
        <v>7</v>
      </c>
      <c r="T10">
        <f>UNmannedminer!B10</f>
        <v>1</v>
      </c>
      <c r="U10">
        <f>UNmannedminer!AL10</f>
        <v>0</v>
      </c>
      <c r="V10">
        <f>UNmannedminer!AM10</f>
        <v>0</v>
      </c>
      <c r="W10">
        <f>UNmannedminer!H10</f>
        <v>-1</v>
      </c>
      <c r="X10" t="str">
        <f>UNmannedminer!D10</f>
        <v>8200</v>
      </c>
      <c r="Y10">
        <f>UNmannedminer!K10</f>
        <v>40</v>
      </c>
      <c r="Z10">
        <f>UNmannedminer!G10</f>
        <v>35</v>
      </c>
      <c r="AA10">
        <v>0</v>
      </c>
      <c r="AB10">
        <f>UNmannedminer!V10</f>
        <v>150000</v>
      </c>
      <c r="AC10">
        <v>3000</v>
      </c>
      <c r="AD10">
        <v>1</v>
      </c>
      <c r="AE10">
        <f>UNmannedminer!O10</f>
        <v>1289</v>
      </c>
      <c r="AF10">
        <f>UNmannedminer!R10</f>
        <v>20</v>
      </c>
      <c r="AG10">
        <f>UNmannedminer!S10</f>
        <v>20</v>
      </c>
      <c r="AH10">
        <f>UNmannedminer!T10</f>
        <v>20</v>
      </c>
      <c r="AI10">
        <f>UNmannedminer!U10</f>
        <v>20</v>
      </c>
      <c r="AJ10">
        <f>UNmannedminer!AK10</f>
        <v>2</v>
      </c>
      <c r="AK10">
        <v>0</v>
      </c>
    </row>
    <row r="11" spans="1:38" x14ac:dyDescent="0.25">
      <c r="A11" t="str">
        <f>UNmannedminer!A11</f>
        <v>unaa002</v>
      </c>
      <c r="B11" t="str">
        <f>UNmannedminer!E11</f>
        <v>Normal UnmannedMiningTool</v>
      </c>
      <c r="C11" s="1" t="str">
        <f>UNmannedminer!C11</f>
        <v>431200</v>
      </c>
      <c r="D11">
        <f>UNmannedminer!J11</f>
        <v>3</v>
      </c>
      <c r="E11" s="1" t="str">
        <f>UNmannedminer!F11</f>
        <v>00001</v>
      </c>
      <c r="F11">
        <v>33</v>
      </c>
      <c r="G11">
        <f>UNmannedminer!W11</f>
        <v>0</v>
      </c>
      <c r="H11">
        <v>0</v>
      </c>
      <c r="I11">
        <f>UNmannedminer!X11</f>
        <v>1000000</v>
      </c>
      <c r="J11">
        <f>UNmannedminer!Y11</f>
        <v>0</v>
      </c>
      <c r="K11">
        <f>UNmannedminer!Z11</f>
        <v>0</v>
      </c>
      <c r="L11">
        <f>UNmannedminer!AB11</f>
        <v>0</v>
      </c>
      <c r="M11">
        <f>UNmannedminer!AA11</f>
        <v>0</v>
      </c>
      <c r="N11">
        <f>UNmannedminer!AC11</f>
        <v>50000</v>
      </c>
      <c r="O11">
        <f>UNmannedminer!AE11</f>
        <v>1</v>
      </c>
      <c r="P11">
        <f>UNmannedminer!AD11</f>
        <v>1</v>
      </c>
      <c r="Q11">
        <f>UNmannedminer!AF11</f>
        <v>1</v>
      </c>
      <c r="R11">
        <f>UNmannedminer!AG11</f>
        <v>1</v>
      </c>
      <c r="S11">
        <v>8</v>
      </c>
      <c r="T11">
        <f>UNmannedminer!B11</f>
        <v>1</v>
      </c>
      <c r="U11">
        <f>UNmannedminer!AL11</f>
        <v>0</v>
      </c>
      <c r="V11">
        <f>UNmannedminer!AM11</f>
        <v>0</v>
      </c>
      <c r="W11">
        <f>UNmannedminer!H11</f>
        <v>-1</v>
      </c>
      <c r="X11" t="str">
        <f>UNmannedminer!D11</f>
        <v>4200</v>
      </c>
      <c r="Y11">
        <f>UNmannedminer!K11</f>
        <v>40</v>
      </c>
      <c r="Z11">
        <f>UNmannedminer!G11</f>
        <v>35</v>
      </c>
      <c r="AA11">
        <v>0</v>
      </c>
      <c r="AB11">
        <f>UNmannedminer!V11</f>
        <v>150000</v>
      </c>
      <c r="AC11">
        <v>3000</v>
      </c>
      <c r="AD11">
        <v>1</v>
      </c>
      <c r="AE11">
        <f>UNmannedminer!O11</f>
        <v>1289</v>
      </c>
      <c r="AF11">
        <f>UNmannedminer!R11</f>
        <v>20</v>
      </c>
      <c r="AG11">
        <f>UNmannedminer!S11</f>
        <v>20</v>
      </c>
      <c r="AH11">
        <f>UNmannedminer!T11</f>
        <v>20</v>
      </c>
      <c r="AI11">
        <f>UNmannedminer!U11</f>
        <v>20</v>
      </c>
      <c r="AJ11">
        <f>UNmannedminer!AK11</f>
        <v>2</v>
      </c>
      <c r="AK11">
        <v>0</v>
      </c>
    </row>
    <row r="12" spans="1:38" x14ac:dyDescent="0.25">
      <c r="A12" t="str">
        <f>UNmannedminer!A12</f>
        <v>unbb003</v>
      </c>
      <c r="B12" t="str">
        <f>UNmannedminer!E12</f>
        <v>Light UnmannedMiningTool</v>
      </c>
      <c r="C12" s="1" t="str">
        <f>UNmannedminer!C12</f>
        <v>731200</v>
      </c>
      <c r="D12">
        <f>UNmannedminer!J12</f>
        <v>1</v>
      </c>
      <c r="E12" s="1" t="str">
        <f>UNmannedminer!F12</f>
        <v>11000</v>
      </c>
      <c r="F12">
        <v>33</v>
      </c>
      <c r="G12">
        <f>UNmannedminer!W12</f>
        <v>0</v>
      </c>
      <c r="H12">
        <v>0</v>
      </c>
      <c r="I12">
        <f>UNmannedminer!X12</f>
        <v>300000</v>
      </c>
      <c r="J12">
        <f>UNmannedminer!Y12</f>
        <v>0</v>
      </c>
      <c r="K12">
        <f>UNmannedminer!Z12</f>
        <v>0</v>
      </c>
      <c r="L12">
        <f>UNmannedminer!AB12</f>
        <v>0</v>
      </c>
      <c r="M12">
        <f>UNmannedminer!AA12</f>
        <v>0</v>
      </c>
      <c r="N12">
        <f>UNmannedminer!AC12</f>
        <v>15000</v>
      </c>
      <c r="O12">
        <f>UNmannedminer!AE12</f>
        <v>1</v>
      </c>
      <c r="P12">
        <f>UNmannedminer!AD12</f>
        <v>1</v>
      </c>
      <c r="Q12">
        <f>UNmannedminer!AF12</f>
        <v>1</v>
      </c>
      <c r="R12">
        <f>UNmannedminer!AG12</f>
        <v>1</v>
      </c>
      <c r="S12">
        <v>9</v>
      </c>
      <c r="T12">
        <f>UNmannedminer!B12</f>
        <v>1</v>
      </c>
      <c r="U12">
        <f>UNmannedminer!AL12</f>
        <v>0</v>
      </c>
      <c r="V12">
        <f>UNmannedminer!AM12</f>
        <v>0</v>
      </c>
      <c r="W12">
        <f>UNmannedminer!H12</f>
        <v>-1</v>
      </c>
      <c r="X12" t="str">
        <f>UNmannedminer!D12</f>
        <v>7200</v>
      </c>
      <c r="Y12">
        <f>UNmannedminer!K12</f>
        <v>30</v>
      </c>
      <c r="Z12">
        <f>UNmannedminer!G12</f>
        <v>25</v>
      </c>
      <c r="AA12">
        <v>0</v>
      </c>
      <c r="AB12">
        <f>UNmannedminer!V12</f>
        <v>50000</v>
      </c>
      <c r="AC12">
        <v>3000</v>
      </c>
      <c r="AD12">
        <v>1</v>
      </c>
      <c r="AE12">
        <f>UNmannedminer!O12</f>
        <v>671</v>
      </c>
      <c r="AF12">
        <f>UNmannedminer!R12</f>
        <v>20</v>
      </c>
      <c r="AG12">
        <f>UNmannedminer!S12</f>
        <v>20</v>
      </c>
      <c r="AH12">
        <f>UNmannedminer!T12</f>
        <v>20</v>
      </c>
      <c r="AI12">
        <f>UNmannedminer!U12</f>
        <v>20</v>
      </c>
      <c r="AJ12">
        <f>UNmannedminer!AK12</f>
        <v>2</v>
      </c>
      <c r="AK12">
        <v>0</v>
      </c>
    </row>
    <row r="13" spans="1:38" x14ac:dyDescent="0.25">
      <c r="A13" t="str">
        <f>UNmannedminer!A13</f>
        <v>uncc003</v>
      </c>
      <c r="B13" t="str">
        <f>UNmannedminer!E13</f>
        <v>Light UnmannedMiningTool</v>
      </c>
      <c r="C13" s="1" t="str">
        <f>UNmannedminer!C13</f>
        <v>831200</v>
      </c>
      <c r="D13">
        <f>UNmannedminer!J13</f>
        <v>2</v>
      </c>
      <c r="E13" s="1" t="str">
        <f>UNmannedminer!F13</f>
        <v>00110</v>
      </c>
      <c r="F13">
        <v>33</v>
      </c>
      <c r="G13">
        <f>UNmannedminer!W13</f>
        <v>0</v>
      </c>
      <c r="H13">
        <v>0</v>
      </c>
      <c r="I13">
        <f>UNmannedminer!X13</f>
        <v>300000</v>
      </c>
      <c r="J13">
        <f>UNmannedminer!Y13</f>
        <v>0</v>
      </c>
      <c r="K13">
        <f>UNmannedminer!Z13</f>
        <v>0</v>
      </c>
      <c r="L13">
        <f>UNmannedminer!AB13</f>
        <v>0</v>
      </c>
      <c r="M13">
        <f>UNmannedminer!AA13</f>
        <v>0</v>
      </c>
      <c r="N13">
        <f>UNmannedminer!AC13</f>
        <v>15000</v>
      </c>
      <c r="O13">
        <f>UNmannedminer!AE13</f>
        <v>1</v>
      </c>
      <c r="P13">
        <f>UNmannedminer!AD13</f>
        <v>1</v>
      </c>
      <c r="Q13">
        <f>UNmannedminer!AF13</f>
        <v>1</v>
      </c>
      <c r="R13">
        <f>UNmannedminer!AG13</f>
        <v>1</v>
      </c>
      <c r="S13">
        <v>10</v>
      </c>
      <c r="T13">
        <f>UNmannedminer!B13</f>
        <v>1</v>
      </c>
      <c r="U13">
        <f>UNmannedminer!AL13</f>
        <v>0</v>
      </c>
      <c r="V13">
        <f>UNmannedminer!AM13</f>
        <v>0</v>
      </c>
      <c r="W13">
        <f>UNmannedminer!H13</f>
        <v>-1</v>
      </c>
      <c r="X13" t="str">
        <f>UNmannedminer!D13</f>
        <v>8200</v>
      </c>
      <c r="Y13">
        <f>UNmannedminer!K13</f>
        <v>30</v>
      </c>
      <c r="Z13">
        <f>UNmannedminer!G13</f>
        <v>25</v>
      </c>
      <c r="AA13">
        <v>0</v>
      </c>
      <c r="AB13">
        <f>UNmannedminer!V13</f>
        <v>50000</v>
      </c>
      <c r="AC13">
        <v>3000</v>
      </c>
      <c r="AD13">
        <v>1</v>
      </c>
      <c r="AE13">
        <f>UNmannedminer!O13</f>
        <v>671</v>
      </c>
      <c r="AF13">
        <f>UNmannedminer!R13</f>
        <v>20</v>
      </c>
      <c r="AG13">
        <f>UNmannedminer!S13</f>
        <v>20</v>
      </c>
      <c r="AH13">
        <f>UNmannedminer!T13</f>
        <v>20</v>
      </c>
      <c r="AI13">
        <f>UNmannedminer!U13</f>
        <v>20</v>
      </c>
      <c r="AJ13">
        <f>UNmannedminer!AK13</f>
        <v>2</v>
      </c>
      <c r="AK13">
        <v>0</v>
      </c>
    </row>
    <row r="14" spans="1:38" x14ac:dyDescent="0.25">
      <c r="A14" t="str">
        <f>UNmannedminer!A14</f>
        <v>unaa003</v>
      </c>
      <c r="B14" t="str">
        <f>UNmannedminer!E14</f>
        <v>Light UnmannedMiningTool</v>
      </c>
      <c r="C14" s="1" t="str">
        <f>UNmannedminer!C14</f>
        <v>431200</v>
      </c>
      <c r="D14">
        <f>UNmannedminer!J14</f>
        <v>3</v>
      </c>
      <c r="E14" s="1" t="str">
        <f>UNmannedminer!F14</f>
        <v>00001</v>
      </c>
      <c r="F14">
        <v>33</v>
      </c>
      <c r="G14">
        <f>UNmannedminer!W14</f>
        <v>0</v>
      </c>
      <c r="H14">
        <v>0</v>
      </c>
      <c r="I14">
        <f>UNmannedminer!X14</f>
        <v>300000</v>
      </c>
      <c r="J14">
        <f>UNmannedminer!Y14</f>
        <v>0</v>
      </c>
      <c r="K14">
        <f>UNmannedminer!Z14</f>
        <v>0</v>
      </c>
      <c r="L14">
        <f>UNmannedminer!AB14</f>
        <v>0</v>
      </c>
      <c r="M14">
        <f>UNmannedminer!AA14</f>
        <v>0</v>
      </c>
      <c r="N14">
        <f>UNmannedminer!AC14</f>
        <v>15000</v>
      </c>
      <c r="O14">
        <f>UNmannedminer!AE14</f>
        <v>1</v>
      </c>
      <c r="P14">
        <f>UNmannedminer!AD14</f>
        <v>1</v>
      </c>
      <c r="Q14">
        <f>UNmannedminer!AF14</f>
        <v>1</v>
      </c>
      <c r="R14">
        <f>UNmannedminer!AG14</f>
        <v>1</v>
      </c>
      <c r="S14">
        <v>11</v>
      </c>
      <c r="T14">
        <f>UNmannedminer!B14</f>
        <v>1</v>
      </c>
      <c r="U14">
        <f>UNmannedminer!AL14</f>
        <v>0</v>
      </c>
      <c r="V14">
        <f>UNmannedminer!AM14</f>
        <v>0</v>
      </c>
      <c r="W14">
        <f>UNmannedminer!H14</f>
        <v>-1</v>
      </c>
      <c r="X14" t="str">
        <f>UNmannedminer!D14</f>
        <v>4200</v>
      </c>
      <c r="Y14">
        <f>UNmannedminer!K14</f>
        <v>30</v>
      </c>
      <c r="Z14">
        <f>UNmannedminer!G14</f>
        <v>25</v>
      </c>
      <c r="AA14">
        <v>0</v>
      </c>
      <c r="AB14">
        <f>UNmannedminer!V14</f>
        <v>50000</v>
      </c>
      <c r="AC14">
        <v>3000</v>
      </c>
      <c r="AD14">
        <v>1</v>
      </c>
      <c r="AE14">
        <f>UNmannedminer!O14</f>
        <v>671</v>
      </c>
      <c r="AF14">
        <f>UNmannedminer!R14</f>
        <v>20</v>
      </c>
      <c r="AG14">
        <f>UNmannedminer!S14</f>
        <v>20</v>
      </c>
      <c r="AH14">
        <f>UNmannedminer!T14</f>
        <v>20</v>
      </c>
      <c r="AI14">
        <f>UNmannedminer!U14</f>
        <v>20</v>
      </c>
      <c r="AJ14">
        <f>UNmannedminer!AK14</f>
        <v>2</v>
      </c>
      <c r="AK14">
        <v>0</v>
      </c>
    </row>
    <row r="15" spans="1:38" x14ac:dyDescent="0.25">
      <c r="A15" t="str">
        <f>UNmannedminer!A15</f>
        <v>uncsa01</v>
      </c>
      <c r="B15" t="str">
        <f>UNmannedminer!E15</f>
        <v>Advanced Un-manned MineTool</v>
      </c>
      <c r="C15" s="1" t="str">
        <f>UNmannedminer!C15</f>
        <v>731200</v>
      </c>
      <c r="D15">
        <f>UNmannedminer!J15</f>
        <v>4</v>
      </c>
      <c r="E15" s="1" t="str">
        <f>UNmannedminer!F15</f>
        <v>11000</v>
      </c>
      <c r="F15">
        <v>33</v>
      </c>
      <c r="G15">
        <f>UNmannedminer!W15</f>
        <v>0</v>
      </c>
      <c r="H15">
        <v>0</v>
      </c>
      <c r="I15">
        <f>UNmannedminer!X15</f>
        <v>1</v>
      </c>
      <c r="J15">
        <f>UNmannedminer!Y15</f>
        <v>0</v>
      </c>
      <c r="K15">
        <f>UNmannedminer!Z15</f>
        <v>0</v>
      </c>
      <c r="L15">
        <f>UNmannedminer!AB15</f>
        <v>0</v>
      </c>
      <c r="M15">
        <f>UNmannedminer!AA15</f>
        <v>0</v>
      </c>
      <c r="N15">
        <f>UNmannedminer!AC15</f>
        <v>0</v>
      </c>
      <c r="O15">
        <f>UNmannedminer!AE15</f>
        <v>0</v>
      </c>
      <c r="P15">
        <f>UNmannedminer!AD15</f>
        <v>1</v>
      </c>
      <c r="Q15">
        <f>UNmannedminer!AF15</f>
        <v>0</v>
      </c>
      <c r="R15">
        <f>UNmannedminer!AG15</f>
        <v>1</v>
      </c>
      <c r="S15">
        <v>12</v>
      </c>
      <c r="T15">
        <f>UNmannedminer!B15</f>
        <v>1</v>
      </c>
      <c r="U15">
        <f>UNmannedminer!AL15</f>
        <v>1</v>
      </c>
      <c r="V15">
        <f>UNmannedminer!AM15</f>
        <v>0</v>
      </c>
      <c r="W15">
        <f>UNmannedminer!H15</f>
        <v>-1</v>
      </c>
      <c r="X15" t="str">
        <f>UNmannedminer!D15</f>
        <v>7200</v>
      </c>
      <c r="Y15">
        <f>UNmannedminer!K15</f>
        <v>50</v>
      </c>
      <c r="Z15">
        <f>UNmannedminer!G15</f>
        <v>45</v>
      </c>
      <c r="AA15">
        <v>0</v>
      </c>
      <c r="AB15">
        <f>UNmannedminer!V15</f>
        <v>300000</v>
      </c>
      <c r="AC15">
        <v>3000</v>
      </c>
      <c r="AD15">
        <v>1</v>
      </c>
      <c r="AE15">
        <f>UNmannedminer!O15</f>
        <v>2333</v>
      </c>
      <c r="AF15">
        <f>UNmannedminer!R15</f>
        <v>20</v>
      </c>
      <c r="AG15">
        <f>UNmannedminer!S15</f>
        <v>20</v>
      </c>
      <c r="AH15">
        <f>UNmannedminer!T15</f>
        <v>20</v>
      </c>
      <c r="AI15">
        <f>UNmannedminer!U15</f>
        <v>20</v>
      </c>
      <c r="AJ15">
        <f>UNmannedminer!AK15</f>
        <v>2</v>
      </c>
      <c r="AK15">
        <v>0</v>
      </c>
    </row>
    <row r="16" spans="1:38" x14ac:dyDescent="0.25">
      <c r="A16" t="str">
        <f>UNmannedminer!A16</f>
        <v>uncsa02</v>
      </c>
      <c r="B16" t="str">
        <f>UNmannedminer!E16</f>
        <v>Advanced Un-manned MineTool</v>
      </c>
      <c r="C16" s="1" t="str">
        <f>UNmannedminer!C16</f>
        <v>731200</v>
      </c>
      <c r="D16">
        <f>UNmannedminer!J16</f>
        <v>7</v>
      </c>
      <c r="E16" s="1" t="str">
        <f>UNmannedminer!F16</f>
        <v>11000</v>
      </c>
      <c r="F16">
        <v>33</v>
      </c>
      <c r="G16">
        <f>UNmannedminer!W16</f>
        <v>0</v>
      </c>
      <c r="H16">
        <v>0</v>
      </c>
      <c r="I16">
        <f>UNmannedminer!X16</f>
        <v>1</v>
      </c>
      <c r="J16">
        <f>UNmannedminer!Y16</f>
        <v>0</v>
      </c>
      <c r="K16">
        <f>UNmannedminer!Z16</f>
        <v>0</v>
      </c>
      <c r="L16">
        <f>UNmannedminer!AB16</f>
        <v>0</v>
      </c>
      <c r="M16">
        <f>UNmannedminer!AA16</f>
        <v>0</v>
      </c>
      <c r="N16">
        <f>UNmannedminer!AC16</f>
        <v>0</v>
      </c>
      <c r="O16">
        <f>UNmannedminer!AE16</f>
        <v>0</v>
      </c>
      <c r="P16">
        <f>UNmannedminer!AD16</f>
        <v>1</v>
      </c>
      <c r="Q16">
        <f>UNmannedminer!AF16</f>
        <v>0</v>
      </c>
      <c r="R16">
        <f>UNmannedminer!AG16</f>
        <v>1</v>
      </c>
      <c r="S16">
        <v>13</v>
      </c>
      <c r="T16">
        <f>UNmannedminer!B16</f>
        <v>1</v>
      </c>
      <c r="U16">
        <f>UNmannedminer!AL16</f>
        <v>0</v>
      </c>
      <c r="V16">
        <f>UNmannedminer!AM16</f>
        <v>0</v>
      </c>
      <c r="W16">
        <f>UNmannedminer!H16</f>
        <v>-1</v>
      </c>
      <c r="X16" t="str">
        <f>UNmannedminer!D16</f>
        <v>7200</v>
      </c>
      <c r="Y16">
        <f>UNmannedminer!K16</f>
        <v>50</v>
      </c>
      <c r="Z16">
        <f>UNmannedminer!G16</f>
        <v>45</v>
      </c>
      <c r="AA16">
        <v>0</v>
      </c>
      <c r="AB16">
        <f>UNmannedminer!V16</f>
        <v>300000</v>
      </c>
      <c r="AC16">
        <v>3000</v>
      </c>
      <c r="AD16">
        <v>1</v>
      </c>
      <c r="AE16">
        <f>UNmannedminer!O16</f>
        <v>2333</v>
      </c>
      <c r="AF16">
        <f>UNmannedminer!R16</f>
        <v>20</v>
      </c>
      <c r="AG16">
        <f>UNmannedminer!S16</f>
        <v>20</v>
      </c>
      <c r="AH16">
        <f>UNmannedminer!T16</f>
        <v>20</v>
      </c>
      <c r="AI16">
        <f>UNmannedminer!U16</f>
        <v>20</v>
      </c>
      <c r="AJ16">
        <f>UNmannedminer!AK16</f>
        <v>2</v>
      </c>
      <c r="AK16">
        <v>0</v>
      </c>
    </row>
    <row r="17" spans="1:37" x14ac:dyDescent="0.25">
      <c r="A17" t="str">
        <f>UNmannedminer!A17</f>
        <v>uncsa03</v>
      </c>
      <c r="B17" t="str">
        <f>UNmannedminer!E17</f>
        <v>Advanced Un-manned MineTool</v>
      </c>
      <c r="C17" s="1" t="str">
        <f>UNmannedminer!C17</f>
        <v>831200</v>
      </c>
      <c r="D17">
        <f>UNmannedminer!J17</f>
        <v>5</v>
      </c>
      <c r="E17" s="1" t="str">
        <f>UNmannedminer!F17</f>
        <v>00110</v>
      </c>
      <c r="F17">
        <v>33</v>
      </c>
      <c r="G17">
        <f>UNmannedminer!W17</f>
        <v>0</v>
      </c>
      <c r="H17">
        <v>0</v>
      </c>
      <c r="I17">
        <f>UNmannedminer!X17</f>
        <v>1</v>
      </c>
      <c r="J17">
        <f>UNmannedminer!Y17</f>
        <v>0</v>
      </c>
      <c r="K17">
        <f>UNmannedminer!Z17</f>
        <v>0</v>
      </c>
      <c r="L17">
        <f>UNmannedminer!AB17</f>
        <v>0</v>
      </c>
      <c r="M17">
        <f>UNmannedminer!AA17</f>
        <v>0</v>
      </c>
      <c r="N17">
        <f>UNmannedminer!AC17</f>
        <v>0</v>
      </c>
      <c r="O17">
        <f>UNmannedminer!AE17</f>
        <v>0</v>
      </c>
      <c r="P17">
        <f>UNmannedminer!AD17</f>
        <v>1</v>
      </c>
      <c r="Q17">
        <f>UNmannedminer!AF17</f>
        <v>0</v>
      </c>
      <c r="R17">
        <f>UNmannedminer!AG17</f>
        <v>1</v>
      </c>
      <c r="S17">
        <v>14</v>
      </c>
      <c r="T17">
        <f>UNmannedminer!B17</f>
        <v>1</v>
      </c>
      <c r="U17">
        <f>UNmannedminer!AL17</f>
        <v>1</v>
      </c>
      <c r="V17">
        <f>UNmannedminer!AM17</f>
        <v>0</v>
      </c>
      <c r="W17">
        <f>UNmannedminer!H17</f>
        <v>-1</v>
      </c>
      <c r="X17" t="str">
        <f>UNmannedminer!D17</f>
        <v>8200</v>
      </c>
      <c r="Y17">
        <f>UNmannedminer!K17</f>
        <v>50</v>
      </c>
      <c r="Z17">
        <f>UNmannedminer!G17</f>
        <v>45</v>
      </c>
      <c r="AA17">
        <v>0</v>
      </c>
      <c r="AB17">
        <f>UNmannedminer!V17</f>
        <v>300000</v>
      </c>
      <c r="AC17">
        <v>3000</v>
      </c>
      <c r="AD17">
        <v>1</v>
      </c>
      <c r="AE17">
        <f>UNmannedminer!O17</f>
        <v>2333</v>
      </c>
      <c r="AF17">
        <f>UNmannedminer!R17</f>
        <v>20</v>
      </c>
      <c r="AG17">
        <f>UNmannedminer!S17</f>
        <v>20</v>
      </c>
      <c r="AH17">
        <f>UNmannedminer!T17</f>
        <v>20</v>
      </c>
      <c r="AI17">
        <f>UNmannedminer!U17</f>
        <v>20</v>
      </c>
      <c r="AJ17">
        <f>UNmannedminer!AK17</f>
        <v>2</v>
      </c>
      <c r="AK17">
        <v>0</v>
      </c>
    </row>
    <row r="18" spans="1:37" x14ac:dyDescent="0.25">
      <c r="A18" t="str">
        <f>UNmannedminer!A18</f>
        <v>uncsa04</v>
      </c>
      <c r="B18" t="str">
        <f>UNmannedminer!E18</f>
        <v>Advanced Un-manned MineTool</v>
      </c>
      <c r="C18" s="1" t="str">
        <f>UNmannedminer!C18</f>
        <v>831200</v>
      </c>
      <c r="D18">
        <f>UNmannedminer!J18</f>
        <v>8</v>
      </c>
      <c r="E18" s="1" t="str">
        <f>UNmannedminer!F18</f>
        <v>00110</v>
      </c>
      <c r="F18">
        <v>33</v>
      </c>
      <c r="G18">
        <f>UNmannedminer!W18</f>
        <v>0</v>
      </c>
      <c r="H18">
        <v>0</v>
      </c>
      <c r="I18">
        <f>UNmannedminer!X18</f>
        <v>1</v>
      </c>
      <c r="J18">
        <f>UNmannedminer!Y18</f>
        <v>0</v>
      </c>
      <c r="K18">
        <f>UNmannedminer!Z18</f>
        <v>0</v>
      </c>
      <c r="L18">
        <f>UNmannedminer!AB18</f>
        <v>0</v>
      </c>
      <c r="M18">
        <f>UNmannedminer!AA18</f>
        <v>0</v>
      </c>
      <c r="N18">
        <f>UNmannedminer!AC18</f>
        <v>0</v>
      </c>
      <c r="O18">
        <f>UNmannedminer!AE18</f>
        <v>0</v>
      </c>
      <c r="P18">
        <f>UNmannedminer!AD18</f>
        <v>1</v>
      </c>
      <c r="Q18">
        <f>UNmannedminer!AF18</f>
        <v>0</v>
      </c>
      <c r="R18">
        <f>UNmannedminer!AG18</f>
        <v>1</v>
      </c>
      <c r="S18">
        <v>15</v>
      </c>
      <c r="T18">
        <f>UNmannedminer!B18</f>
        <v>1</v>
      </c>
      <c r="U18">
        <f>UNmannedminer!AL18</f>
        <v>0</v>
      </c>
      <c r="V18">
        <f>UNmannedminer!AM18</f>
        <v>0</v>
      </c>
      <c r="W18">
        <f>UNmannedminer!H18</f>
        <v>-1</v>
      </c>
      <c r="X18" t="str">
        <f>UNmannedminer!D18</f>
        <v>8200</v>
      </c>
      <c r="Y18">
        <f>UNmannedminer!K18</f>
        <v>50</v>
      </c>
      <c r="Z18">
        <f>UNmannedminer!G18</f>
        <v>45</v>
      </c>
      <c r="AA18">
        <v>0</v>
      </c>
      <c r="AB18">
        <f>UNmannedminer!V18</f>
        <v>300000</v>
      </c>
      <c r="AC18">
        <v>3000</v>
      </c>
      <c r="AD18">
        <v>1</v>
      </c>
      <c r="AE18">
        <f>UNmannedminer!O18</f>
        <v>2333</v>
      </c>
      <c r="AF18">
        <f>UNmannedminer!R18</f>
        <v>20</v>
      </c>
      <c r="AG18">
        <f>UNmannedminer!S18</f>
        <v>20</v>
      </c>
      <c r="AH18">
        <f>UNmannedminer!T18</f>
        <v>20</v>
      </c>
      <c r="AI18">
        <f>UNmannedminer!U18</f>
        <v>20</v>
      </c>
      <c r="AJ18">
        <f>UNmannedminer!AK18</f>
        <v>2</v>
      </c>
      <c r="AK18">
        <v>0</v>
      </c>
    </row>
    <row r="19" spans="1:37" x14ac:dyDescent="0.25">
      <c r="A19" t="str">
        <f>UNmannedminer!A19</f>
        <v>uncsa05</v>
      </c>
      <c r="B19" t="str">
        <f>UNmannedminer!E19</f>
        <v>Advanced Un-manned MineTool</v>
      </c>
      <c r="C19" s="1" t="str">
        <f>UNmannedminer!C19</f>
        <v>431200</v>
      </c>
      <c r="D19">
        <f>UNmannedminer!J19</f>
        <v>6</v>
      </c>
      <c r="E19" s="1" t="str">
        <f>UNmannedminer!F19</f>
        <v>00001</v>
      </c>
      <c r="F19">
        <v>33</v>
      </c>
      <c r="G19">
        <f>UNmannedminer!W19</f>
        <v>0</v>
      </c>
      <c r="H19">
        <v>0</v>
      </c>
      <c r="I19">
        <f>UNmannedminer!X19</f>
        <v>1</v>
      </c>
      <c r="J19">
        <f>UNmannedminer!Y19</f>
        <v>0</v>
      </c>
      <c r="K19">
        <f>UNmannedminer!Z19</f>
        <v>0</v>
      </c>
      <c r="L19">
        <f>UNmannedminer!AB19</f>
        <v>0</v>
      </c>
      <c r="M19">
        <f>UNmannedminer!AA19</f>
        <v>0</v>
      </c>
      <c r="N19">
        <f>UNmannedminer!AC19</f>
        <v>0</v>
      </c>
      <c r="O19">
        <f>UNmannedminer!AE19</f>
        <v>0</v>
      </c>
      <c r="P19">
        <f>UNmannedminer!AD19</f>
        <v>1</v>
      </c>
      <c r="Q19">
        <f>UNmannedminer!AF19</f>
        <v>0</v>
      </c>
      <c r="R19">
        <f>UNmannedminer!AG19</f>
        <v>1</v>
      </c>
      <c r="S19">
        <v>16</v>
      </c>
      <c r="T19">
        <f>UNmannedminer!B19</f>
        <v>1</v>
      </c>
      <c r="U19">
        <f>UNmannedminer!AL19</f>
        <v>1</v>
      </c>
      <c r="V19">
        <f>UNmannedminer!AM19</f>
        <v>0</v>
      </c>
      <c r="W19">
        <f>UNmannedminer!H19</f>
        <v>-1</v>
      </c>
      <c r="X19" t="str">
        <f>UNmannedminer!D19</f>
        <v>4200</v>
      </c>
      <c r="Y19">
        <f>UNmannedminer!K19</f>
        <v>50</v>
      </c>
      <c r="Z19">
        <f>UNmannedminer!G19</f>
        <v>45</v>
      </c>
      <c r="AA19">
        <v>0</v>
      </c>
      <c r="AB19">
        <f>UNmannedminer!V19</f>
        <v>300000</v>
      </c>
      <c r="AC19">
        <v>3000</v>
      </c>
      <c r="AD19">
        <v>1</v>
      </c>
      <c r="AE19">
        <f>UNmannedminer!O19</f>
        <v>2333</v>
      </c>
      <c r="AF19">
        <f>UNmannedminer!R19</f>
        <v>20</v>
      </c>
      <c r="AG19">
        <f>UNmannedminer!S19</f>
        <v>20</v>
      </c>
      <c r="AH19">
        <f>UNmannedminer!T19</f>
        <v>20</v>
      </c>
      <c r="AI19">
        <f>UNmannedminer!U19</f>
        <v>20</v>
      </c>
      <c r="AJ19">
        <f>UNmannedminer!AK19</f>
        <v>2</v>
      </c>
      <c r="AK19">
        <v>0</v>
      </c>
    </row>
    <row r="20" spans="1:37" x14ac:dyDescent="0.25">
      <c r="A20" t="str">
        <f>UNmannedminer!A20</f>
        <v>uncsa06</v>
      </c>
      <c r="B20" t="str">
        <f>UNmannedminer!E20</f>
        <v>Advanced Un-manned MineTool</v>
      </c>
      <c r="C20" s="1" t="str">
        <f>UNmannedminer!C20</f>
        <v>431200</v>
      </c>
      <c r="D20">
        <f>UNmannedminer!J20</f>
        <v>9</v>
      </c>
      <c r="E20" s="1" t="str">
        <f>UNmannedminer!F20</f>
        <v>00001</v>
      </c>
      <c r="F20">
        <v>33</v>
      </c>
      <c r="G20">
        <f>UNmannedminer!W20</f>
        <v>0</v>
      </c>
      <c r="H20">
        <v>0</v>
      </c>
      <c r="I20">
        <f>UNmannedminer!X20</f>
        <v>1</v>
      </c>
      <c r="J20">
        <f>UNmannedminer!Y20</f>
        <v>0</v>
      </c>
      <c r="K20">
        <f>UNmannedminer!Z20</f>
        <v>0</v>
      </c>
      <c r="L20">
        <f>UNmannedminer!AB20</f>
        <v>0</v>
      </c>
      <c r="M20">
        <f>UNmannedminer!AA20</f>
        <v>0</v>
      </c>
      <c r="N20">
        <f>UNmannedminer!AC20</f>
        <v>0</v>
      </c>
      <c r="O20">
        <f>UNmannedminer!AE20</f>
        <v>0</v>
      </c>
      <c r="P20">
        <f>UNmannedminer!AD20</f>
        <v>1</v>
      </c>
      <c r="Q20">
        <f>UNmannedminer!AF20</f>
        <v>0</v>
      </c>
      <c r="R20">
        <f>UNmannedminer!AG20</f>
        <v>1</v>
      </c>
      <c r="S20">
        <v>17</v>
      </c>
      <c r="T20">
        <f>UNmannedminer!B20</f>
        <v>1</v>
      </c>
      <c r="U20">
        <f>UNmannedminer!AL20</f>
        <v>0</v>
      </c>
      <c r="V20">
        <f>UNmannedminer!AM20</f>
        <v>0</v>
      </c>
      <c r="W20">
        <f>UNmannedminer!H20</f>
        <v>-1</v>
      </c>
      <c r="X20" t="str">
        <f>UNmannedminer!D20</f>
        <v>4200</v>
      </c>
      <c r="Y20">
        <f>UNmannedminer!K20</f>
        <v>50</v>
      </c>
      <c r="Z20">
        <f>UNmannedminer!G20</f>
        <v>45</v>
      </c>
      <c r="AA20">
        <v>0</v>
      </c>
      <c r="AB20">
        <f>UNmannedminer!V20</f>
        <v>300000</v>
      </c>
      <c r="AC20">
        <v>3000</v>
      </c>
      <c r="AD20">
        <v>1</v>
      </c>
      <c r="AE20">
        <f>UNmannedminer!O20</f>
        <v>2333</v>
      </c>
      <c r="AF20">
        <f>UNmannedminer!R20</f>
        <v>20</v>
      </c>
      <c r="AG20">
        <f>UNmannedminer!S20</f>
        <v>20</v>
      </c>
      <c r="AH20">
        <f>UNmannedminer!T20</f>
        <v>20</v>
      </c>
      <c r="AI20">
        <f>UNmannedminer!U20</f>
        <v>20</v>
      </c>
      <c r="AJ20">
        <f>UNmannedminer!AK20</f>
        <v>2</v>
      </c>
      <c r="AK20">
        <v>0</v>
      </c>
    </row>
    <row r="21" spans="1:37" x14ac:dyDescent="0.25">
      <c r="A21" t="str">
        <f>UNmannedminer!A21</f>
        <v>uncsa07</v>
      </c>
      <c r="B21" t="str">
        <f>UNmannedminer!E21</f>
        <v>Normal Un-manned MineTool</v>
      </c>
      <c r="C21" s="1" t="str">
        <f>UNmannedminer!C21</f>
        <v>731200</v>
      </c>
      <c r="D21">
        <f>UNmannedminer!J21</f>
        <v>4</v>
      </c>
      <c r="E21" s="1" t="str">
        <f>UNmannedminer!F21</f>
        <v>11000</v>
      </c>
      <c r="F21">
        <v>33</v>
      </c>
      <c r="G21">
        <f>UNmannedminer!W21</f>
        <v>0</v>
      </c>
      <c r="H21">
        <v>0</v>
      </c>
      <c r="I21">
        <f>UNmannedminer!X21</f>
        <v>1</v>
      </c>
      <c r="J21">
        <f>UNmannedminer!Y21</f>
        <v>0</v>
      </c>
      <c r="K21">
        <f>UNmannedminer!Z21</f>
        <v>0</v>
      </c>
      <c r="L21">
        <f>UNmannedminer!AB21</f>
        <v>0</v>
      </c>
      <c r="M21">
        <f>UNmannedminer!AA21</f>
        <v>0</v>
      </c>
      <c r="N21">
        <f>UNmannedminer!AC21</f>
        <v>0</v>
      </c>
      <c r="O21">
        <f>UNmannedminer!AE21</f>
        <v>0</v>
      </c>
      <c r="P21">
        <f>UNmannedminer!AD21</f>
        <v>1</v>
      </c>
      <c r="Q21">
        <f>UNmannedminer!AF21</f>
        <v>0</v>
      </c>
      <c r="R21">
        <f>UNmannedminer!AG21</f>
        <v>1</v>
      </c>
      <c r="S21">
        <v>18</v>
      </c>
      <c r="T21">
        <f>UNmannedminer!B21</f>
        <v>1</v>
      </c>
      <c r="U21">
        <f>UNmannedminer!AL21</f>
        <v>1</v>
      </c>
      <c r="V21">
        <f>UNmannedminer!AM21</f>
        <v>0</v>
      </c>
      <c r="W21">
        <f>UNmannedminer!H21</f>
        <v>-1</v>
      </c>
      <c r="X21" t="str">
        <f>UNmannedminer!D21</f>
        <v>7200</v>
      </c>
      <c r="Y21">
        <f>UNmannedminer!K21</f>
        <v>40</v>
      </c>
      <c r="Z21">
        <f>UNmannedminer!G21</f>
        <v>35</v>
      </c>
      <c r="AA21">
        <v>0</v>
      </c>
      <c r="AB21">
        <f>UNmannedminer!V21</f>
        <v>150000</v>
      </c>
      <c r="AC21">
        <v>3000</v>
      </c>
      <c r="AD21">
        <v>1</v>
      </c>
      <c r="AE21">
        <f>UNmannedminer!O21</f>
        <v>1289</v>
      </c>
      <c r="AF21">
        <f>UNmannedminer!R21</f>
        <v>20</v>
      </c>
      <c r="AG21">
        <f>UNmannedminer!S21</f>
        <v>20</v>
      </c>
      <c r="AH21">
        <f>UNmannedminer!T21</f>
        <v>20</v>
      </c>
      <c r="AI21">
        <f>UNmannedminer!U21</f>
        <v>20</v>
      </c>
      <c r="AJ21">
        <f>UNmannedminer!AK21</f>
        <v>2</v>
      </c>
      <c r="AK21">
        <v>0</v>
      </c>
    </row>
    <row r="22" spans="1:37" x14ac:dyDescent="0.25">
      <c r="A22" t="str">
        <f>UNmannedminer!A22</f>
        <v>uncsa08</v>
      </c>
      <c r="B22" t="str">
        <f>UNmannedminer!E22</f>
        <v>Normal Un-manned MineTool</v>
      </c>
      <c r="C22" s="1" t="str">
        <f>UNmannedminer!C22</f>
        <v>831200</v>
      </c>
      <c r="D22">
        <f>UNmannedminer!J22</f>
        <v>5</v>
      </c>
      <c r="E22" s="1" t="str">
        <f>UNmannedminer!F22</f>
        <v>00110</v>
      </c>
      <c r="F22">
        <v>33</v>
      </c>
      <c r="G22">
        <f>UNmannedminer!W22</f>
        <v>0</v>
      </c>
      <c r="H22">
        <v>0</v>
      </c>
      <c r="I22">
        <f>UNmannedminer!X22</f>
        <v>1</v>
      </c>
      <c r="J22">
        <f>UNmannedminer!Y22</f>
        <v>0</v>
      </c>
      <c r="K22">
        <f>UNmannedminer!Z22</f>
        <v>0</v>
      </c>
      <c r="L22">
        <f>UNmannedminer!AB22</f>
        <v>0</v>
      </c>
      <c r="M22">
        <f>UNmannedminer!AA22</f>
        <v>0</v>
      </c>
      <c r="N22">
        <f>UNmannedminer!AC22</f>
        <v>0</v>
      </c>
      <c r="O22">
        <f>UNmannedminer!AE22</f>
        <v>0</v>
      </c>
      <c r="P22">
        <f>UNmannedminer!AD22</f>
        <v>1</v>
      </c>
      <c r="Q22">
        <f>UNmannedminer!AF22</f>
        <v>0</v>
      </c>
      <c r="R22">
        <f>UNmannedminer!AG22</f>
        <v>1</v>
      </c>
      <c r="S22">
        <v>19</v>
      </c>
      <c r="T22">
        <f>UNmannedminer!B22</f>
        <v>1</v>
      </c>
      <c r="U22">
        <f>UNmannedminer!AL22</f>
        <v>1</v>
      </c>
      <c r="V22">
        <f>UNmannedminer!AM22</f>
        <v>0</v>
      </c>
      <c r="W22">
        <f>UNmannedminer!H22</f>
        <v>-1</v>
      </c>
      <c r="X22" t="str">
        <f>UNmannedminer!D22</f>
        <v>8200</v>
      </c>
      <c r="Y22">
        <f>UNmannedminer!K22</f>
        <v>40</v>
      </c>
      <c r="Z22">
        <f>UNmannedminer!G22</f>
        <v>35</v>
      </c>
      <c r="AA22">
        <v>0</v>
      </c>
      <c r="AB22">
        <f>UNmannedminer!V22</f>
        <v>150000</v>
      </c>
      <c r="AC22">
        <v>3000</v>
      </c>
      <c r="AD22">
        <v>1</v>
      </c>
      <c r="AE22">
        <f>UNmannedminer!O22</f>
        <v>1289</v>
      </c>
      <c r="AF22">
        <f>UNmannedminer!R22</f>
        <v>20</v>
      </c>
      <c r="AG22">
        <f>UNmannedminer!S22</f>
        <v>20</v>
      </c>
      <c r="AH22">
        <f>UNmannedminer!T22</f>
        <v>20</v>
      </c>
      <c r="AI22">
        <f>UNmannedminer!U22</f>
        <v>20</v>
      </c>
      <c r="AJ22">
        <f>UNmannedminer!AK22</f>
        <v>2</v>
      </c>
      <c r="AK22">
        <v>0</v>
      </c>
    </row>
    <row r="23" spans="1:37" x14ac:dyDescent="0.25">
      <c r="A23" t="str">
        <f>UNmannedminer!A23</f>
        <v>uncsa09</v>
      </c>
      <c r="B23" t="str">
        <f>UNmannedminer!E23</f>
        <v>Normal Un-manned MineTool</v>
      </c>
      <c r="C23" s="1" t="str">
        <f>UNmannedminer!C23</f>
        <v>431200</v>
      </c>
      <c r="D23">
        <f>UNmannedminer!J23</f>
        <v>6</v>
      </c>
      <c r="E23" s="1" t="str">
        <f>UNmannedminer!F23</f>
        <v>00001</v>
      </c>
      <c r="F23">
        <v>33</v>
      </c>
      <c r="G23">
        <f>UNmannedminer!W23</f>
        <v>0</v>
      </c>
      <c r="H23">
        <v>0</v>
      </c>
      <c r="I23">
        <f>UNmannedminer!X23</f>
        <v>1</v>
      </c>
      <c r="J23">
        <f>UNmannedminer!Y23</f>
        <v>0</v>
      </c>
      <c r="K23">
        <f>UNmannedminer!Z23</f>
        <v>0</v>
      </c>
      <c r="L23">
        <f>UNmannedminer!AB23</f>
        <v>0</v>
      </c>
      <c r="M23">
        <f>UNmannedminer!AA23</f>
        <v>0</v>
      </c>
      <c r="N23">
        <f>UNmannedminer!AC23</f>
        <v>0</v>
      </c>
      <c r="O23">
        <f>UNmannedminer!AE23</f>
        <v>0</v>
      </c>
      <c r="P23">
        <f>UNmannedminer!AD23</f>
        <v>1</v>
      </c>
      <c r="Q23">
        <f>UNmannedminer!AF23</f>
        <v>0</v>
      </c>
      <c r="R23">
        <f>UNmannedminer!AG23</f>
        <v>1</v>
      </c>
      <c r="S23">
        <v>20</v>
      </c>
      <c r="T23">
        <f>UNmannedminer!B23</f>
        <v>1</v>
      </c>
      <c r="U23">
        <f>UNmannedminer!AL23</f>
        <v>1</v>
      </c>
      <c r="V23">
        <f>UNmannedminer!AM23</f>
        <v>0</v>
      </c>
      <c r="W23">
        <f>UNmannedminer!H23</f>
        <v>-1</v>
      </c>
      <c r="X23" t="str">
        <f>UNmannedminer!D23</f>
        <v>4200</v>
      </c>
      <c r="Y23">
        <f>UNmannedminer!K23</f>
        <v>40</v>
      </c>
      <c r="Z23">
        <f>UNmannedminer!G23</f>
        <v>35</v>
      </c>
      <c r="AA23">
        <v>0</v>
      </c>
      <c r="AB23">
        <f>UNmannedminer!V23</f>
        <v>150000</v>
      </c>
      <c r="AC23">
        <v>3000</v>
      </c>
      <c r="AD23">
        <v>1</v>
      </c>
      <c r="AE23">
        <f>UNmannedminer!O23</f>
        <v>1289</v>
      </c>
      <c r="AF23">
        <f>UNmannedminer!R23</f>
        <v>20</v>
      </c>
      <c r="AG23">
        <f>UNmannedminer!S23</f>
        <v>20</v>
      </c>
      <c r="AH23">
        <f>UNmannedminer!T23</f>
        <v>20</v>
      </c>
      <c r="AI23">
        <f>UNmannedminer!U23</f>
        <v>20</v>
      </c>
      <c r="AJ23">
        <f>UNmannedminer!AK23</f>
        <v>2</v>
      </c>
      <c r="AK23">
        <v>0</v>
      </c>
    </row>
    <row r="24" spans="1:37" x14ac:dyDescent="0.25">
      <c r="A24" t="str">
        <f>UNmannedminer!A24</f>
        <v>uncsa10</v>
      </c>
      <c r="B24" t="str">
        <f>UNmannedminer!E24</f>
        <v>Light Un-manned MineTool</v>
      </c>
      <c r="C24" s="1" t="str">
        <f>UNmannedminer!C24</f>
        <v>731200</v>
      </c>
      <c r="D24">
        <f>UNmannedminer!J24</f>
        <v>4</v>
      </c>
      <c r="E24" s="1" t="str">
        <f>UNmannedminer!F24</f>
        <v>11000</v>
      </c>
      <c r="F24">
        <v>33</v>
      </c>
      <c r="G24">
        <f>UNmannedminer!W24</f>
        <v>0</v>
      </c>
      <c r="H24">
        <v>0</v>
      </c>
      <c r="I24">
        <f>UNmannedminer!X24</f>
        <v>1</v>
      </c>
      <c r="J24">
        <f>UNmannedminer!Y24</f>
        <v>0</v>
      </c>
      <c r="K24">
        <f>UNmannedminer!Z24</f>
        <v>0</v>
      </c>
      <c r="L24">
        <f>UNmannedminer!AB24</f>
        <v>0</v>
      </c>
      <c r="M24">
        <f>UNmannedminer!AA24</f>
        <v>0</v>
      </c>
      <c r="N24">
        <f>UNmannedminer!AC24</f>
        <v>0</v>
      </c>
      <c r="O24">
        <f>UNmannedminer!AE24</f>
        <v>0</v>
      </c>
      <c r="P24">
        <f>UNmannedminer!AD24</f>
        <v>1</v>
      </c>
      <c r="Q24">
        <f>UNmannedminer!AF24</f>
        <v>0</v>
      </c>
      <c r="R24">
        <f>UNmannedminer!AG24</f>
        <v>1</v>
      </c>
      <c r="S24">
        <v>21</v>
      </c>
      <c r="T24">
        <f>UNmannedminer!B24</f>
        <v>1</v>
      </c>
      <c r="U24">
        <f>UNmannedminer!AL24</f>
        <v>1</v>
      </c>
      <c r="V24">
        <f>UNmannedminer!AM24</f>
        <v>0</v>
      </c>
      <c r="W24">
        <f>UNmannedminer!H24</f>
        <v>-1</v>
      </c>
      <c r="X24" t="str">
        <f>UNmannedminer!D24</f>
        <v>7200</v>
      </c>
      <c r="Y24">
        <f>UNmannedminer!K24</f>
        <v>30</v>
      </c>
      <c r="Z24">
        <f>UNmannedminer!G24</f>
        <v>25</v>
      </c>
      <c r="AA24">
        <v>0</v>
      </c>
      <c r="AB24">
        <f>UNmannedminer!V24</f>
        <v>50000</v>
      </c>
      <c r="AC24">
        <v>3000</v>
      </c>
      <c r="AD24">
        <v>1</v>
      </c>
      <c r="AE24">
        <f>UNmannedminer!O24</f>
        <v>671</v>
      </c>
      <c r="AF24">
        <f>UNmannedminer!R24</f>
        <v>20</v>
      </c>
      <c r="AG24">
        <f>UNmannedminer!S24</f>
        <v>20</v>
      </c>
      <c r="AH24">
        <f>UNmannedminer!T24</f>
        <v>20</v>
      </c>
      <c r="AI24">
        <f>UNmannedminer!U24</f>
        <v>20</v>
      </c>
      <c r="AJ24">
        <f>UNmannedminer!AK24</f>
        <v>2</v>
      </c>
      <c r="AK24">
        <v>0</v>
      </c>
    </row>
    <row r="25" spans="1:37" x14ac:dyDescent="0.25">
      <c r="A25" t="str">
        <f>UNmannedminer!A25</f>
        <v>uncsa11</v>
      </c>
      <c r="B25" t="str">
        <f>UNmannedminer!E25</f>
        <v>Light Un-manned MineTool</v>
      </c>
      <c r="C25" s="1" t="str">
        <f>UNmannedminer!C25</f>
        <v>831200</v>
      </c>
      <c r="D25">
        <f>UNmannedminer!J25</f>
        <v>5</v>
      </c>
      <c r="E25" s="1" t="str">
        <f>UNmannedminer!F25</f>
        <v>00110</v>
      </c>
      <c r="F25">
        <v>33</v>
      </c>
      <c r="G25">
        <f>UNmannedminer!W25</f>
        <v>0</v>
      </c>
      <c r="H25">
        <v>0</v>
      </c>
      <c r="I25">
        <f>UNmannedminer!X25</f>
        <v>1</v>
      </c>
      <c r="J25">
        <f>UNmannedminer!Y25</f>
        <v>0</v>
      </c>
      <c r="K25">
        <f>UNmannedminer!Z25</f>
        <v>0</v>
      </c>
      <c r="L25">
        <f>UNmannedminer!AB25</f>
        <v>0</v>
      </c>
      <c r="M25">
        <f>UNmannedminer!AA25</f>
        <v>0</v>
      </c>
      <c r="N25">
        <f>UNmannedminer!AC25</f>
        <v>0</v>
      </c>
      <c r="O25">
        <f>UNmannedminer!AE25</f>
        <v>0</v>
      </c>
      <c r="P25">
        <f>UNmannedminer!AD25</f>
        <v>1</v>
      </c>
      <c r="Q25">
        <f>UNmannedminer!AF25</f>
        <v>0</v>
      </c>
      <c r="R25">
        <f>UNmannedminer!AG25</f>
        <v>1</v>
      </c>
      <c r="S25">
        <v>22</v>
      </c>
      <c r="T25">
        <f>UNmannedminer!B25</f>
        <v>1</v>
      </c>
      <c r="U25">
        <f>UNmannedminer!AL25</f>
        <v>1</v>
      </c>
      <c r="V25">
        <f>UNmannedminer!AM25</f>
        <v>0</v>
      </c>
      <c r="W25">
        <f>UNmannedminer!H25</f>
        <v>-1</v>
      </c>
      <c r="X25" t="str">
        <f>UNmannedminer!D25</f>
        <v>8200</v>
      </c>
      <c r="Y25">
        <f>UNmannedminer!K25</f>
        <v>30</v>
      </c>
      <c r="Z25">
        <f>UNmannedminer!G25</f>
        <v>25</v>
      </c>
      <c r="AA25">
        <v>0</v>
      </c>
      <c r="AB25">
        <f>UNmannedminer!V25</f>
        <v>50000</v>
      </c>
      <c r="AC25">
        <v>3000</v>
      </c>
      <c r="AD25">
        <v>1</v>
      </c>
      <c r="AE25">
        <f>UNmannedminer!O25</f>
        <v>671</v>
      </c>
      <c r="AF25">
        <f>UNmannedminer!R25</f>
        <v>20</v>
      </c>
      <c r="AG25">
        <f>UNmannedminer!S25</f>
        <v>20</v>
      </c>
      <c r="AH25">
        <f>UNmannedminer!T25</f>
        <v>20</v>
      </c>
      <c r="AI25">
        <f>UNmannedminer!U25</f>
        <v>20</v>
      </c>
      <c r="AJ25">
        <f>UNmannedminer!AK25</f>
        <v>2</v>
      </c>
      <c r="AK25">
        <v>0</v>
      </c>
    </row>
    <row r="26" spans="1:37" x14ac:dyDescent="0.25">
      <c r="A26" t="str">
        <f>UNmannedminer!A26</f>
        <v>uncsa12</v>
      </c>
      <c r="B26" t="str">
        <f>UNmannedminer!E26</f>
        <v>Light Un-manned MineTool</v>
      </c>
      <c r="C26" s="1" t="str">
        <f>UNmannedminer!C26</f>
        <v>431200</v>
      </c>
      <c r="D26">
        <f>UNmannedminer!J26</f>
        <v>6</v>
      </c>
      <c r="E26" s="1" t="str">
        <f>UNmannedminer!F26</f>
        <v>00001</v>
      </c>
      <c r="F26">
        <v>33</v>
      </c>
      <c r="G26">
        <f>UNmannedminer!W26</f>
        <v>0</v>
      </c>
      <c r="H26">
        <v>0</v>
      </c>
      <c r="I26">
        <f>UNmannedminer!X26</f>
        <v>1</v>
      </c>
      <c r="J26">
        <f>UNmannedminer!Y26</f>
        <v>0</v>
      </c>
      <c r="K26">
        <f>UNmannedminer!Z26</f>
        <v>0</v>
      </c>
      <c r="L26">
        <f>UNmannedminer!AB26</f>
        <v>0</v>
      </c>
      <c r="M26">
        <f>UNmannedminer!AA26</f>
        <v>0</v>
      </c>
      <c r="N26">
        <f>UNmannedminer!AC26</f>
        <v>0</v>
      </c>
      <c r="O26">
        <f>UNmannedminer!AE26</f>
        <v>0</v>
      </c>
      <c r="P26">
        <f>UNmannedminer!AD26</f>
        <v>1</v>
      </c>
      <c r="Q26">
        <f>UNmannedminer!AF26</f>
        <v>0</v>
      </c>
      <c r="R26">
        <f>UNmannedminer!AG26</f>
        <v>1</v>
      </c>
      <c r="S26">
        <v>23</v>
      </c>
      <c r="T26">
        <f>UNmannedminer!B26</f>
        <v>1</v>
      </c>
      <c r="U26">
        <f>UNmannedminer!AL26</f>
        <v>1</v>
      </c>
      <c r="V26">
        <f>UNmannedminer!AM26</f>
        <v>0</v>
      </c>
      <c r="W26">
        <f>UNmannedminer!H26</f>
        <v>-1</v>
      </c>
      <c r="X26" t="str">
        <f>UNmannedminer!D26</f>
        <v>4200</v>
      </c>
      <c r="Y26">
        <f>UNmannedminer!K26</f>
        <v>30</v>
      </c>
      <c r="Z26">
        <f>UNmannedminer!G26</f>
        <v>25</v>
      </c>
      <c r="AA26">
        <v>0</v>
      </c>
      <c r="AB26">
        <f>UNmannedminer!V26</f>
        <v>50000</v>
      </c>
      <c r="AC26">
        <v>3000</v>
      </c>
      <c r="AD26">
        <v>1</v>
      </c>
      <c r="AE26">
        <f>UNmannedminer!O26</f>
        <v>671</v>
      </c>
      <c r="AF26">
        <f>UNmannedminer!R26</f>
        <v>20</v>
      </c>
      <c r="AG26">
        <f>UNmannedminer!S26</f>
        <v>20</v>
      </c>
      <c r="AH26">
        <f>UNmannedminer!T26</f>
        <v>20</v>
      </c>
      <c r="AI26">
        <f>UNmannedminer!U26</f>
        <v>20</v>
      </c>
      <c r="AJ26">
        <f>UNmannedminer!AK26</f>
        <v>2</v>
      </c>
      <c r="AK26">
        <v>0</v>
      </c>
    </row>
    <row r="27" spans="1:37" x14ac:dyDescent="0.25">
      <c r="A27" t="str">
        <f>UNmannedminer!A27</f>
        <v>unbpc01</v>
      </c>
      <c r="B27" t="str">
        <f>UNmannedminer!E27</f>
        <v>Cafe Only Advanced UMT</v>
      </c>
      <c r="C27" s="1" t="str">
        <f>UNmannedminer!C27</f>
        <v>731200</v>
      </c>
      <c r="D27">
        <f>UNmannedminer!J27</f>
        <v>7</v>
      </c>
      <c r="E27" s="1" t="str">
        <f>UNmannedminer!F27</f>
        <v>11000</v>
      </c>
      <c r="F27">
        <v>33</v>
      </c>
      <c r="G27">
        <f>UNmannedminer!W27</f>
        <v>0</v>
      </c>
      <c r="H27">
        <v>0</v>
      </c>
      <c r="I27">
        <f>UNmannedminer!X27</f>
        <v>1</v>
      </c>
      <c r="J27">
        <f>UNmannedminer!Y27</f>
        <v>0</v>
      </c>
      <c r="K27">
        <f>UNmannedminer!Z27</f>
        <v>0</v>
      </c>
      <c r="L27">
        <f>UNmannedminer!AB27</f>
        <v>0</v>
      </c>
      <c r="M27">
        <f>UNmannedminer!AA27</f>
        <v>0</v>
      </c>
      <c r="N27">
        <f>UNmannedminer!AC27</f>
        <v>0</v>
      </c>
      <c r="O27">
        <f>UNmannedminer!AE27</f>
        <v>0</v>
      </c>
      <c r="P27">
        <f>UNmannedminer!AD27</f>
        <v>1</v>
      </c>
      <c r="Q27">
        <f>UNmannedminer!AF27</f>
        <v>0</v>
      </c>
      <c r="R27">
        <f>UNmannedminer!AG27</f>
        <v>1</v>
      </c>
      <c r="S27">
        <v>24</v>
      </c>
      <c r="T27">
        <f>UNmannedminer!B27</f>
        <v>1</v>
      </c>
      <c r="U27">
        <f>UNmannedminer!AL27</f>
        <v>0</v>
      </c>
      <c r="V27">
        <f>UNmannedminer!AM27</f>
        <v>0</v>
      </c>
      <c r="W27">
        <f>UNmannedminer!H27</f>
        <v>-1</v>
      </c>
      <c r="X27" t="str">
        <f>UNmannedminer!D27</f>
        <v>7200</v>
      </c>
      <c r="Y27">
        <f>UNmannedminer!K27</f>
        <v>50</v>
      </c>
      <c r="Z27">
        <f>UNmannedminer!G27</f>
        <v>25</v>
      </c>
      <c r="AA27">
        <v>0</v>
      </c>
      <c r="AB27">
        <f>UNmannedminer!V27</f>
        <v>300000</v>
      </c>
      <c r="AC27">
        <v>3000</v>
      </c>
      <c r="AD27">
        <v>1</v>
      </c>
      <c r="AE27">
        <f>UNmannedminer!O27</f>
        <v>2333</v>
      </c>
      <c r="AF27">
        <f>UNmannedminer!R27</f>
        <v>20</v>
      </c>
      <c r="AG27">
        <f>UNmannedminer!S27</f>
        <v>20</v>
      </c>
      <c r="AH27">
        <f>UNmannedminer!T27</f>
        <v>20</v>
      </c>
      <c r="AI27">
        <f>UNmannedminer!U27</f>
        <v>20</v>
      </c>
      <c r="AJ27">
        <f>UNmannedminer!AK27</f>
        <v>2</v>
      </c>
      <c r="AK27">
        <v>0</v>
      </c>
    </row>
    <row r="28" spans="1:37" x14ac:dyDescent="0.25">
      <c r="A28" t="str">
        <f>UNmannedminer!A28</f>
        <v>uncpc01</v>
      </c>
      <c r="B28" t="str">
        <f>UNmannedminer!E28</f>
        <v>Cafe Only Advanced UMT</v>
      </c>
      <c r="C28" s="1" t="str">
        <f>UNmannedminer!C28</f>
        <v>831200</v>
      </c>
      <c r="D28">
        <f>UNmannedminer!J28</f>
        <v>8</v>
      </c>
      <c r="E28" s="1" t="str">
        <f>UNmannedminer!F28</f>
        <v>00110</v>
      </c>
      <c r="F28">
        <v>33</v>
      </c>
      <c r="G28">
        <f>UNmannedminer!W28</f>
        <v>0</v>
      </c>
      <c r="H28">
        <v>0</v>
      </c>
      <c r="I28">
        <f>UNmannedminer!X28</f>
        <v>1</v>
      </c>
      <c r="J28">
        <f>UNmannedminer!Y28</f>
        <v>0</v>
      </c>
      <c r="K28">
        <f>UNmannedminer!Z28</f>
        <v>0</v>
      </c>
      <c r="L28">
        <f>UNmannedminer!AB28</f>
        <v>0</v>
      </c>
      <c r="M28">
        <f>UNmannedminer!AA28</f>
        <v>0</v>
      </c>
      <c r="N28">
        <f>UNmannedminer!AC28</f>
        <v>0</v>
      </c>
      <c r="O28">
        <f>UNmannedminer!AE28</f>
        <v>0</v>
      </c>
      <c r="P28">
        <f>UNmannedminer!AD28</f>
        <v>1</v>
      </c>
      <c r="Q28">
        <f>UNmannedminer!AF28</f>
        <v>0</v>
      </c>
      <c r="R28">
        <f>UNmannedminer!AG28</f>
        <v>1</v>
      </c>
      <c r="S28">
        <v>25</v>
      </c>
      <c r="T28">
        <f>UNmannedminer!B28</f>
        <v>1</v>
      </c>
      <c r="U28">
        <f>UNmannedminer!AL28</f>
        <v>0</v>
      </c>
      <c r="V28">
        <f>UNmannedminer!AM28</f>
        <v>0</v>
      </c>
      <c r="W28">
        <f>UNmannedminer!H28</f>
        <v>-1</v>
      </c>
      <c r="X28" t="str">
        <f>UNmannedminer!D28</f>
        <v>8200</v>
      </c>
      <c r="Y28">
        <f>UNmannedminer!K28</f>
        <v>50</v>
      </c>
      <c r="Z28">
        <f>UNmannedminer!G28</f>
        <v>25</v>
      </c>
      <c r="AA28">
        <v>0</v>
      </c>
      <c r="AB28">
        <f>UNmannedminer!V28</f>
        <v>300000</v>
      </c>
      <c r="AC28">
        <v>3000</v>
      </c>
      <c r="AD28">
        <v>1</v>
      </c>
      <c r="AE28">
        <f>UNmannedminer!O28</f>
        <v>2333</v>
      </c>
      <c r="AF28">
        <f>UNmannedminer!R28</f>
        <v>20</v>
      </c>
      <c r="AG28">
        <f>UNmannedminer!S28</f>
        <v>20</v>
      </c>
      <c r="AH28">
        <f>UNmannedminer!T28</f>
        <v>20</v>
      </c>
      <c r="AI28">
        <f>UNmannedminer!U28</f>
        <v>20</v>
      </c>
      <c r="AJ28">
        <f>UNmannedminer!AK28</f>
        <v>2</v>
      </c>
      <c r="AK28">
        <v>0</v>
      </c>
    </row>
    <row r="29" spans="1:37" x14ac:dyDescent="0.25">
      <c r="A29" t="str">
        <f>UNmannedminer!A29</f>
        <v>unapc01</v>
      </c>
      <c r="B29" t="str">
        <f>UNmannedminer!E29</f>
        <v>Cafe Only Advanced UMT</v>
      </c>
      <c r="C29" s="1" t="str">
        <f>UNmannedminer!C29</f>
        <v>431200</v>
      </c>
      <c r="D29">
        <f>UNmannedminer!J29</f>
        <v>9</v>
      </c>
      <c r="E29" s="1" t="str">
        <f>UNmannedminer!F29</f>
        <v>00001</v>
      </c>
      <c r="F29">
        <v>33</v>
      </c>
      <c r="G29">
        <f>UNmannedminer!W29</f>
        <v>0</v>
      </c>
      <c r="H29">
        <v>0</v>
      </c>
      <c r="I29">
        <f>UNmannedminer!X29</f>
        <v>1</v>
      </c>
      <c r="J29">
        <f>UNmannedminer!Y29</f>
        <v>0</v>
      </c>
      <c r="K29">
        <f>UNmannedminer!Z29</f>
        <v>0</v>
      </c>
      <c r="L29">
        <f>UNmannedminer!AB29</f>
        <v>0</v>
      </c>
      <c r="M29">
        <f>UNmannedminer!AA29</f>
        <v>0</v>
      </c>
      <c r="N29">
        <f>UNmannedminer!AC29</f>
        <v>0</v>
      </c>
      <c r="O29">
        <f>UNmannedminer!AE29</f>
        <v>0</v>
      </c>
      <c r="P29">
        <f>UNmannedminer!AD29</f>
        <v>1</v>
      </c>
      <c r="Q29">
        <f>UNmannedminer!AF29</f>
        <v>0</v>
      </c>
      <c r="R29">
        <f>UNmannedminer!AG29</f>
        <v>1</v>
      </c>
      <c r="S29">
        <v>26</v>
      </c>
      <c r="T29">
        <f>UNmannedminer!B29</f>
        <v>1</v>
      </c>
      <c r="U29">
        <f>UNmannedminer!AL29</f>
        <v>0</v>
      </c>
      <c r="V29">
        <f>UNmannedminer!AM29</f>
        <v>0</v>
      </c>
      <c r="W29">
        <f>UNmannedminer!H29</f>
        <v>-1</v>
      </c>
      <c r="X29" t="str">
        <f>UNmannedminer!D29</f>
        <v>4200</v>
      </c>
      <c r="Y29">
        <f>UNmannedminer!K29</f>
        <v>50</v>
      </c>
      <c r="Z29">
        <f>UNmannedminer!G29</f>
        <v>25</v>
      </c>
      <c r="AA29">
        <v>0</v>
      </c>
      <c r="AB29">
        <f>UNmannedminer!V29</f>
        <v>300000</v>
      </c>
      <c r="AC29">
        <v>3000</v>
      </c>
      <c r="AD29">
        <v>1</v>
      </c>
      <c r="AE29">
        <f>UNmannedminer!O29</f>
        <v>2333</v>
      </c>
      <c r="AF29">
        <f>UNmannedminer!R29</f>
        <v>20</v>
      </c>
      <c r="AG29">
        <f>UNmannedminer!S29</f>
        <v>20</v>
      </c>
      <c r="AH29">
        <f>UNmannedminer!T29</f>
        <v>20</v>
      </c>
      <c r="AI29">
        <f>UNmannedminer!U29</f>
        <v>20</v>
      </c>
      <c r="AJ29">
        <f>UNmannedminer!AK29</f>
        <v>2</v>
      </c>
      <c r="AK29">
        <v>0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9"/>
  <sheetViews>
    <sheetView workbookViewId="0">
      <pane ySplit="2" topLeftCell="A3" activePane="bottomLeft" state="frozen"/>
      <selection pane="bottomLeft"/>
    </sheetView>
  </sheetViews>
  <sheetFormatPr defaultRowHeight="15" x14ac:dyDescent="0.25"/>
  <sheetData>
    <row r="1" spans="1:3" x14ac:dyDescent="0.25">
      <c r="A1" s="2" t="s">
        <v>1</v>
      </c>
      <c r="B1" s="2" t="s">
        <v>113</v>
      </c>
      <c r="C1" s="2" t="s">
        <v>3</v>
      </c>
    </row>
    <row r="2" spans="1:3" x14ac:dyDescent="0.25">
      <c r="A2" s="2" t="s">
        <v>108</v>
      </c>
      <c r="B2" s="2" t="s">
        <v>114</v>
      </c>
      <c r="C2" s="2"/>
    </row>
    <row r="3" spans="1:3" x14ac:dyDescent="0.25">
      <c r="A3" s="2">
        <v>0</v>
      </c>
      <c r="B3" s="2" t="s">
        <v>125</v>
      </c>
      <c r="C3" s="2"/>
    </row>
    <row r="4" spans="1:3" x14ac:dyDescent="0.25">
      <c r="A4" s="2">
        <v>1</v>
      </c>
      <c r="B4" s="2" t="s">
        <v>125</v>
      </c>
      <c r="C4" s="2"/>
    </row>
    <row r="5" spans="1:3" x14ac:dyDescent="0.25">
      <c r="A5" s="2">
        <v>2</v>
      </c>
      <c r="B5" s="2" t="s">
        <v>125</v>
      </c>
      <c r="C5" s="2"/>
    </row>
    <row r="6" spans="1:3" x14ac:dyDescent="0.25">
      <c r="A6" s="2">
        <v>3</v>
      </c>
      <c r="B6" s="2" t="s">
        <v>125</v>
      </c>
      <c r="C6" s="2"/>
    </row>
    <row r="7" spans="1:3" x14ac:dyDescent="0.25">
      <c r="A7" s="2">
        <v>4</v>
      </c>
      <c r="B7" s="2" t="s">
        <v>125</v>
      </c>
      <c r="C7" s="2"/>
    </row>
    <row r="8" spans="1:3" x14ac:dyDescent="0.25">
      <c r="A8" s="2">
        <v>5</v>
      </c>
      <c r="B8" s="2" t="s">
        <v>125</v>
      </c>
      <c r="C8" s="2"/>
    </row>
    <row r="9" spans="1:3" x14ac:dyDescent="0.25">
      <c r="A9" s="2">
        <v>6</v>
      </c>
      <c r="B9" s="2" t="s">
        <v>126</v>
      </c>
      <c r="C9" s="2"/>
    </row>
    <row r="10" spans="1:3" x14ac:dyDescent="0.25">
      <c r="A10" s="2">
        <v>7</v>
      </c>
      <c r="B10" s="2" t="s">
        <v>126</v>
      </c>
      <c r="C10" s="2"/>
    </row>
    <row r="11" spans="1:3" x14ac:dyDescent="0.25">
      <c r="A11" s="2">
        <v>8</v>
      </c>
      <c r="B11" s="2" t="s">
        <v>126</v>
      </c>
      <c r="C11" s="2"/>
    </row>
    <row r="12" spans="1:3" x14ac:dyDescent="0.25">
      <c r="A12" s="2">
        <v>9</v>
      </c>
      <c r="B12" s="2" t="s">
        <v>127</v>
      </c>
      <c r="C12" s="2"/>
    </row>
    <row r="13" spans="1:3" x14ac:dyDescent="0.25">
      <c r="A13" s="2">
        <v>10</v>
      </c>
      <c r="B13" s="2" t="s">
        <v>127</v>
      </c>
      <c r="C13" s="2"/>
    </row>
    <row r="14" spans="1:3" x14ac:dyDescent="0.25">
      <c r="A14" s="2">
        <v>11</v>
      </c>
      <c r="B14" s="2" t="s">
        <v>127</v>
      </c>
      <c r="C14" s="2"/>
    </row>
    <row r="15" spans="1:3" x14ac:dyDescent="0.25">
      <c r="A15" s="2">
        <v>12</v>
      </c>
      <c r="B15" s="2" t="s">
        <v>125</v>
      </c>
      <c r="C15" s="2"/>
    </row>
    <row r="16" spans="1:3" x14ac:dyDescent="0.25">
      <c r="A16" s="2">
        <v>13</v>
      </c>
      <c r="B16" s="2" t="s">
        <v>125</v>
      </c>
      <c r="C16" s="2"/>
    </row>
    <row r="17" spans="1:3" x14ac:dyDescent="0.25">
      <c r="A17" s="2">
        <v>14</v>
      </c>
      <c r="B17" s="2" t="s">
        <v>125</v>
      </c>
      <c r="C17" s="2"/>
    </row>
    <row r="18" spans="1:3" x14ac:dyDescent="0.25">
      <c r="A18" s="2">
        <v>15</v>
      </c>
      <c r="B18" s="2" t="s">
        <v>125</v>
      </c>
      <c r="C18" s="2"/>
    </row>
    <row r="19" spans="1:3" x14ac:dyDescent="0.25">
      <c r="A19" s="2">
        <v>16</v>
      </c>
      <c r="B19" s="2" t="s">
        <v>125</v>
      </c>
      <c r="C19" s="2"/>
    </row>
    <row r="20" spans="1:3" x14ac:dyDescent="0.25">
      <c r="A20" s="2">
        <v>17</v>
      </c>
      <c r="B20" s="2" t="s">
        <v>125</v>
      </c>
      <c r="C20" s="2"/>
    </row>
    <row r="21" spans="1:3" x14ac:dyDescent="0.25">
      <c r="A21" s="2">
        <v>18</v>
      </c>
      <c r="B21" s="2" t="s">
        <v>126</v>
      </c>
      <c r="C21" s="2"/>
    </row>
    <row r="22" spans="1:3" x14ac:dyDescent="0.25">
      <c r="A22" s="2">
        <v>19</v>
      </c>
      <c r="B22" s="2" t="s">
        <v>126</v>
      </c>
      <c r="C22" s="2"/>
    </row>
    <row r="23" spans="1:3" x14ac:dyDescent="0.25">
      <c r="A23" s="2">
        <v>20</v>
      </c>
      <c r="B23" s="2" t="s">
        <v>126</v>
      </c>
      <c r="C23" s="2"/>
    </row>
    <row r="24" spans="1:3" x14ac:dyDescent="0.25">
      <c r="A24" s="2">
        <v>21</v>
      </c>
      <c r="B24" s="2" t="s">
        <v>127</v>
      </c>
      <c r="C24" s="2"/>
    </row>
    <row r="25" spans="1:3" x14ac:dyDescent="0.25">
      <c r="A25" s="2">
        <v>22</v>
      </c>
      <c r="B25" s="2" t="s">
        <v>127</v>
      </c>
      <c r="C25" s="2"/>
    </row>
    <row r="26" spans="1:3" x14ac:dyDescent="0.25">
      <c r="A26" s="2">
        <v>23</v>
      </c>
      <c r="B26" s="2" t="s">
        <v>127</v>
      </c>
      <c r="C26" s="2"/>
    </row>
    <row r="27" spans="1:3" x14ac:dyDescent="0.25">
      <c r="A27" s="2">
        <v>24</v>
      </c>
      <c r="B27" s="2" t="s">
        <v>128</v>
      </c>
      <c r="C27" s="2"/>
    </row>
    <row r="28" spans="1:3" x14ac:dyDescent="0.25">
      <c r="A28" s="2">
        <v>25</v>
      </c>
      <c r="B28" s="2" t="s">
        <v>128</v>
      </c>
      <c r="C28" s="2"/>
    </row>
    <row r="29" spans="1:3" x14ac:dyDescent="0.25">
      <c r="A29" s="2">
        <v>26</v>
      </c>
      <c r="B29" s="2" t="s">
        <v>128</v>
      </c>
      <c r="C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UNmannedminer</vt:lpstr>
      <vt:lpstr>33decrypt</vt:lpstr>
      <vt:lpstr>33desc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2020-07-10T21:14:44Z</dcterms:modified>
</cp:coreProperties>
</file>