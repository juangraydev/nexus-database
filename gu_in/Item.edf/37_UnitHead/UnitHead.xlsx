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A2AF9A1-8127-43E2-BAD2-AC4A5286F23C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Head" sheetId="1" r:id="rId1"/>
    <sheet name="37decrypt" sheetId="3" r:id="rId2"/>
    <sheet name="3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<sst xmlns="http://schemas.openxmlformats.org/spreadsheetml/2006/main" count="670" uniqueCount="264">
  <si>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</si>
  <si>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</si>
  <si>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</si>
  <si>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</si>
  <si>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</si>
  <si>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</si>
  <si>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</si>
  <si>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</si>
  <si>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</si>
  <si>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</si>
  <si>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</si>
  <si>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</si>
  <si>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</si>
  <si>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</si>
  <si>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</si>
  <si>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</si>
  <si>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</si>
  <si>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</si>
  <si>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</si>
  <si>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</si>
  <si>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</si>
  <si>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</si>
  <si>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</si>
  <si>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</si>
  <si>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</si>
  <si>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</si>
  <si>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</si>
  <si>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</si>
  <si>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</si>
  <si>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</si>
  <si>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</si>
  <si>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</si>
  <si>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</si>
  <si>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</si>
  <si>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</si>
  <si>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</si>
  <si>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</si>
  <si>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</si>
  <si>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</si>
  <si>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</si>
  <si>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</si>
  <si>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</si>
  <si>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</si>
  <si>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</si>
  <si>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</si>
  <si>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</si>
  <si>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</si>
  <si>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</si>
  <si>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</si>
  <si>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</si>
  <si>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</si>
  <si>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</si>
  <si>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</si>
  <si>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</si>
  <si>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</si>
  <si>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</si>
  <si>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</si>
  <si>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unhe001</t>
  </si>
  <si>
    <t>00100</t>
  </si>
  <si>
    <t>10000000</t>
  </si>
  <si>
    <t>unhe002</t>
  </si>
  <si>
    <t>unhe003</t>
  </si>
  <si>
    <t>unhe004</t>
  </si>
  <si>
    <t>unhe005</t>
  </si>
  <si>
    <t>unhe006</t>
  </si>
  <si>
    <t>unhe007</t>
  </si>
  <si>
    <t>unhe008</t>
  </si>
  <si>
    <t>00107</t>
  </si>
  <si>
    <t>unhe009</t>
  </si>
  <si>
    <t>00108</t>
  </si>
  <si>
    <t>unhe010</t>
  </si>
  <si>
    <t>00109</t>
  </si>
  <si>
    <t>unhe011</t>
  </si>
  <si>
    <t>unhe012</t>
  </si>
  <si>
    <t>unhe013</t>
  </si>
  <si>
    <t>0010C</t>
  </si>
  <si>
    <t>unhe014</t>
  </si>
  <si>
    <t>unhe015</t>
  </si>
  <si>
    <t>unhe016</t>
  </si>
  <si>
    <t>00112</t>
  </si>
  <si>
    <t>unhe017</t>
  </si>
  <si>
    <t>unhe018</t>
  </si>
  <si>
    <t>unhe019</t>
  </si>
  <si>
    <t>0012D</t>
  </si>
  <si>
    <t>unhe020</t>
  </si>
  <si>
    <t>unhe021</t>
  </si>
  <si>
    <t>10114</t>
  </si>
  <si>
    <t>01000000</t>
  </si>
  <si>
    <t>unhe022</t>
  </si>
  <si>
    <t>unhe023</t>
  </si>
  <si>
    <t>unhe024</t>
  </si>
  <si>
    <t>unhe025</t>
  </si>
  <si>
    <t>unhe026</t>
  </si>
  <si>
    <t>unhe027</t>
  </si>
  <si>
    <t>unhe028</t>
  </si>
  <si>
    <t>1011B</t>
  </si>
  <si>
    <t>unhe029</t>
  </si>
  <si>
    <t>1011C</t>
  </si>
  <si>
    <t>unhe030</t>
  </si>
  <si>
    <t>1011D</t>
  </si>
  <si>
    <t>unhe031</t>
  </si>
  <si>
    <t>unhe032</t>
  </si>
  <si>
    <t>unhe033</t>
  </si>
  <si>
    <t>10120</t>
  </si>
  <si>
    <t>unhe034</t>
  </si>
  <si>
    <t>unhe035</t>
  </si>
  <si>
    <t>unhe036</t>
  </si>
  <si>
    <t>10126</t>
  </si>
  <si>
    <t>unhe037</t>
  </si>
  <si>
    <t>unhe038</t>
  </si>
  <si>
    <t>unhe039</t>
  </si>
  <si>
    <t>1012D</t>
  </si>
  <si>
    <t>unhe040</t>
  </si>
  <si>
    <t>unhe041</t>
  </si>
  <si>
    <t>20128</t>
  </si>
  <si>
    <t>00100000</t>
  </si>
  <si>
    <t>unhe042</t>
  </si>
  <si>
    <t>20129</t>
  </si>
  <si>
    <t>unhe043</t>
  </si>
  <si>
    <t>2012A</t>
  </si>
  <si>
    <t>unhe044</t>
  </si>
  <si>
    <t>2012B</t>
  </si>
  <si>
    <t>unhe045</t>
  </si>
  <si>
    <t>2012C</t>
  </si>
  <si>
    <t>unhe046</t>
  </si>
  <si>
    <t>2012D</t>
  </si>
  <si>
    <t>unhe047</t>
  </si>
  <si>
    <t>2012E</t>
  </si>
  <si>
    <t>unhe048</t>
  </si>
  <si>
    <t>2012F</t>
  </si>
  <si>
    <t>unhe049</t>
  </si>
  <si>
    <t>20130</t>
  </si>
  <si>
    <t>unhe050</t>
  </si>
  <si>
    <t>20131</t>
  </si>
  <si>
    <t>unhe051</t>
  </si>
  <si>
    <t>20132</t>
  </si>
  <si>
    <t>unhe052</t>
  </si>
  <si>
    <t>20133</t>
  </si>
  <si>
    <t>unhe053</t>
  </si>
  <si>
    <t>20134</t>
  </si>
  <si>
    <t>unhe054</t>
  </si>
  <si>
    <t>20135</t>
  </si>
  <si>
    <t>unhe055</t>
  </si>
  <si>
    <t>20136</t>
  </si>
  <si>
    <t>unhe056</t>
  </si>
  <si>
    <t>20137</t>
  </si>
  <si>
    <t>unhe057</t>
  </si>
  <si>
    <t>20138</t>
  </si>
  <si>
    <t>unhe058</t>
  </si>
  <si>
    <t>20139</t>
  </si>
  <si>
    <t>unhe059</t>
  </si>
  <si>
    <t>2013A</t>
  </si>
  <si>
    <t>unhe060</t>
  </si>
  <si>
    <t>2013B</t>
  </si>
  <si>
    <t>unhe061</t>
  </si>
  <si>
    <t>3013C</t>
  </si>
  <si>
    <t>00010000</t>
  </si>
  <si>
    <t>unhe062</t>
  </si>
  <si>
    <t>3013D</t>
  </si>
  <si>
    <t>unhe063</t>
  </si>
  <si>
    <t>3013E</t>
  </si>
  <si>
    <t>unhe064</t>
  </si>
  <si>
    <t>3013F</t>
  </si>
  <si>
    <t>unhe065</t>
  </si>
  <si>
    <t>30140</t>
  </si>
  <si>
    <t>unhe066</t>
  </si>
  <si>
    <t>30141</t>
  </si>
  <si>
    <t>unhe067</t>
  </si>
  <si>
    <t>30142</t>
  </si>
  <si>
    <t>unhe068</t>
  </si>
  <si>
    <t>30143</t>
  </si>
  <si>
    <t>unhe069</t>
  </si>
  <si>
    <t>30144</t>
  </si>
  <si>
    <t>unhe070</t>
  </si>
  <si>
    <t>30145</t>
  </si>
  <si>
    <t>unhe071</t>
  </si>
  <si>
    <t>30146</t>
  </si>
  <si>
    <t>unhe072</t>
  </si>
  <si>
    <t>30147</t>
  </si>
  <si>
    <t>unhe073</t>
  </si>
  <si>
    <t>30148</t>
  </si>
  <si>
    <t>unhe074</t>
  </si>
  <si>
    <t>30149</t>
  </si>
  <si>
    <t>unhe075</t>
  </si>
  <si>
    <t>3014A</t>
  </si>
  <si>
    <t>unhe076</t>
  </si>
  <si>
    <t>3014B</t>
  </si>
  <si>
    <t>unhe077</t>
  </si>
  <si>
    <t>3014C</t>
  </si>
  <si>
    <t>unhe078</t>
  </si>
  <si>
    <t>3014D</t>
  </si>
  <si>
    <t>unhe079</t>
  </si>
  <si>
    <t>3014E</t>
  </si>
  <si>
    <t>unhe080</t>
  </si>
  <si>
    <t>3014F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</si>
  <si>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</si>
  <si>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</si>
  <si>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</si>
  <si>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</si>
  <si>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</si>
  <si>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</si>
  <si>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</si>
  <si>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</si>
  <si>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</si>
  <si>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</si>
  <si>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</si>
  <si>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</si>
  <si>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</si>
  <si>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</si>
  <si>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</si>
  <si>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</si>
  <si>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</si>
  <si>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</si>
  <si>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</si>
  <si>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</si>
  <si>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</si>
  <si>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</si>
  <si>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</si>
  <si>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</si>
  <si>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Head</t>
  </si>
  <si>
    <t>Advance Goliath Head</t>
  </si>
  <si>
    <t>Exact Head</t>
  </si>
  <si>
    <t>Hard Exact Head</t>
  </si>
  <si>
    <t>Flash Goliath Head</t>
  </si>
  <si>
    <t>Correct Eye Head</t>
  </si>
  <si>
    <t>Correct Image Head</t>
  </si>
  <si>
    <t>Gigant Head</t>
  </si>
  <si>
    <t>T R O S Head</t>
  </si>
  <si>
    <t>A R E S Head</t>
  </si>
  <si>
    <t>Peace Keeper Head</t>
  </si>
  <si>
    <t>Guardian Head</t>
  </si>
  <si>
    <t>Titan Head</t>
  </si>
  <si>
    <t>Venom Head</t>
  </si>
  <si>
    <t>Mirage Head</t>
  </si>
  <si>
    <t>Catapult Head</t>
  </si>
  <si>
    <t>Advance Catapult Head</t>
  </si>
  <si>
    <t>Correct Brain Head</t>
  </si>
  <si>
    <t>Far Sight Brain Head</t>
  </si>
  <si>
    <t>Delicate Brain Head</t>
  </si>
  <si>
    <t>Correct Catapult Head</t>
  </si>
  <si>
    <t>Far Sight Head</t>
  </si>
  <si>
    <t>HA Sight Head</t>
  </si>
  <si>
    <t>VR Sight Head</t>
  </si>
  <si>
    <t>Artillery Sight Head</t>
  </si>
  <si>
    <t>AAA Sight Head</t>
  </si>
  <si>
    <t>A S W S Head</t>
  </si>
  <si>
    <t>J A Sight Head</t>
  </si>
  <si>
    <t>Alter Head</t>
  </si>
  <si>
    <t>Irregular Head</t>
  </si>
  <si>
    <t>Basic head component for close range type MAU</t>
  </si>
  <si>
    <t>Normal head component for close range type MAU</t>
  </si>
  <si>
    <t>Head Component</t>
  </si>
  <si>
    <t>Basic head component for long range type MAU</t>
  </si>
  <si>
    <t>Normal head component for long range type MAU</t>
  </si>
  <si>
    <t>11000000</t>
  </si>
  <si>
    <t>0012E</t>
  </si>
  <si>
    <t>00130</t>
  </si>
  <si>
    <t>1012E</t>
  </si>
  <si>
    <t>10130</t>
  </si>
  <si>
    <t>Advanced Mirage Head</t>
  </si>
  <si>
    <t>Beelzebub Goliath Head</t>
  </si>
  <si>
    <t>NotUsed</t>
  </si>
  <si>
    <t>Advanced Unique Head</t>
  </si>
  <si>
    <t>Beelzebub Catapult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</si>
</sst>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4" xfId="0" applyFill="1" applyBorder="1"/>
    <xf numFmtId="0" fontId="1" fillId="4" borderId="3" xfId="1" applyBorder="1"/>
    <xf numFmtId="0" fontId="2" fillId="5" borderId="3" xfId="2" applyBorder="1"/>
    <xf numFmtId="0" fontId="2" fillId="5" borderId="2" xfId="2" applyBorder="1"/>
    <xf numFmtId="0" fontId="2" fillId="5" borderId="0" xfId="2"/>
    <xf numFmtId="0" fontId="0" fillId="6" borderId="3" xfId="0" applyFill="1" applyBorder="1"/>
    <xf numFmtId="0" fontId="0" fillId="6" borderId="2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W12" activePane="bottomRight" state="frozen"/>
      <selection pane="topRight" activeCell="B1" sqref="B1"/>
      <selection pane="bottomLeft" activeCell="A3" sqref="A3"/>
      <selection pane="bottomRight" activeCell="AM34" sqref="AM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3" t="s">
        <v>0</v>
      </c>
      <c r="B1" s="3" t="s">
        <v>0</v>
      </c>
      <c r="C1" s="3" t="s">
        <v>1</v>
      </c>
      <c r="D1" s="3" t="s">
        <v>0</v>
      </c>
      <c r="E1" s="3" t="s">
        <v>1</v>
      </c>
      <c r="F1" s="3" t="s">
        <v>0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1</v>
      </c>
      <c r="Q1" s="3" t="s">
        <v>1</v>
      </c>
      <c r="R1" s="3" t="s">
        <v>2</v>
      </c>
      <c r="S1" s="3" t="s">
        <v>1</v>
      </c>
      <c r="T1" s="3" t="s">
        <v>2</v>
      </c>
      <c r="U1" s="3" t="s">
        <v>1</v>
      </c>
      <c r="V1" s="3" t="s">
        <v>2</v>
      </c>
      <c r="W1" s="3" t="s">
        <v>1</v>
      </c>
      <c r="X1" s="3" t="s">
        <v>1</v>
      </c>
      <c r="Y1" s="3" t="s">
        <v>1</v>
      </c>
      <c r="Z1" s="3" t="s">
        <v>1</v>
      </c>
      <c r="AA1" s="3" t="s">
        <v>1</v>
      </c>
      <c r="AB1" s="3" t="s">
        <v>1</v>
      </c>
      <c r="AC1" s="3" t="s">
        <v>1</v>
      </c>
      <c r="AD1" s="3" t="s">
        <v>1</v>
      </c>
      <c r="AE1" s="3" t="s">
        <v>1</v>
      </c>
      <c r="AF1" s="3" t="s">
        <v>1</v>
      </c>
      <c r="AG1" s="3" t="s">
        <v>1</v>
      </c>
      <c r="AH1" s="3" t="s">
        <v>1</v>
      </c>
      <c r="AI1" s="3" t="s">
        <v>1</v>
      </c>
      <c r="AJ1" s="3" t="s">
        <v>1</v>
      </c>
      <c r="AK1" s="3" t="s">
        <v>1</v>
      </c>
      <c r="AL1" s="3" t="s">
        <v>1</v>
      </c>
      <c r="AM1" s="3" t="s">
        <v>1</v>
      </c>
      <c r="AN1" s="3" t="s">
        <v>1</v>
      </c>
      <c r="AO1" s="3" t="s">
        <v>2</v>
      </c>
      <c r="AP1" s="3" t="s">
        <v>1</v>
      </c>
      <c r="AQ1" s="3" t="s">
        <v>1</v>
      </c>
      <c r="AR1" s="3" t="s">
        <v>2</v>
      </c>
      <c r="AS1" s="3" t="s">
        <v>1</v>
      </c>
      <c r="AT1" s="3" t="s">
        <v>2</v>
      </c>
      <c r="AU1" s="3" t="s">
        <v>1</v>
      </c>
      <c r="AV1" s="3" t="s">
        <v>2</v>
      </c>
      <c r="AW1" s="3" t="s">
        <v>1</v>
      </c>
      <c r="AX1" s="3" t="s">
        <v>2</v>
      </c>
      <c r="AY1" s="3" t="s">
        <v>0</v>
      </c>
      <c r="AZ1" s="3" t="s">
        <v>1</v>
      </c>
      <c r="BA1" s="3" t="s">
        <v>1</v>
      </c>
      <c r="BB1" s="3" t="s">
        <v>3</v>
      </c>
    </row>
    <row r="2" spans="1:54" x14ac:dyDescent="0.25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/>
    </row>
    <row r="3" spans="1:54" x14ac:dyDescent="0.25">
      <c r="A3" s="4" t="s">
        <v>57</v>
      </c>
      <c r="B3" s="4" t="s">
        <v>58</v>
      </c>
      <c r="C3" s="4">
        <v>1</v>
      </c>
      <c r="D3" s="4" t="s">
        <v>219</v>
      </c>
      <c r="E3" s="4">
        <v>0</v>
      </c>
      <c r="F3" s="4" t="s">
        <v>59</v>
      </c>
      <c r="G3" s="3">
        <v>-1</v>
      </c>
      <c r="H3" s="3">
        <v>-1</v>
      </c>
      <c r="I3" s="3">
        <v>-1</v>
      </c>
      <c r="J3" s="3">
        <v>0</v>
      </c>
      <c r="K3" s="3">
        <v>0</v>
      </c>
      <c r="L3" s="4">
        <v>30</v>
      </c>
      <c r="M3" s="4">
        <v>-1</v>
      </c>
      <c r="N3" s="4">
        <v>2</v>
      </c>
      <c r="O3" s="4">
        <v>1</v>
      </c>
      <c r="P3" s="4">
        <v>-1</v>
      </c>
      <c r="Q3" s="4">
        <v>-1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3">
        <v>-1</v>
      </c>
      <c r="X3" s="3">
        <v>-1</v>
      </c>
      <c r="Y3" s="3">
        <v>10</v>
      </c>
      <c r="Z3" s="3">
        <v>50</v>
      </c>
      <c r="AA3" s="3">
        <v>50</v>
      </c>
      <c r="AB3" s="4">
        <v>607</v>
      </c>
      <c r="AC3" s="3">
        <v>10</v>
      </c>
      <c r="AD3" s="3">
        <v>-1</v>
      </c>
      <c r="AE3" s="3">
        <v>0</v>
      </c>
      <c r="AF3" s="3">
        <v>0</v>
      </c>
      <c r="AG3" s="3">
        <v>0</v>
      </c>
      <c r="AH3" s="3">
        <v>0</v>
      </c>
      <c r="AI3" s="4">
        <v>0</v>
      </c>
      <c r="AJ3" s="4">
        <v>100000</v>
      </c>
      <c r="AK3" s="4">
        <v>1</v>
      </c>
      <c r="AL3" s="4">
        <v>1</v>
      </c>
      <c r="AM3" s="3">
        <v>2000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 t="str">
        <f>"t"&amp;A3</f>
        <v>tunhe001</v>
      </c>
      <c r="AZ3" s="4">
        <v>-1</v>
      </c>
      <c r="BA3" s="4">
        <v>2</v>
      </c>
      <c r="BB3" s="3"/>
    </row>
    <row r="4" spans="1:54" x14ac:dyDescent="0.25">
      <c r="A4" s="4" t="s">
        <v>60</v>
      </c>
      <c r="B4" s="4" t="s">
        <v>58</v>
      </c>
      <c r="C4" s="4">
        <v>1</v>
      </c>
      <c r="D4" s="4" t="s">
        <v>220</v>
      </c>
      <c r="E4" s="4">
        <v>0</v>
      </c>
      <c r="F4" s="4" t="s">
        <v>59</v>
      </c>
      <c r="G4" s="3">
        <v>-1</v>
      </c>
      <c r="H4" s="3">
        <v>-1</v>
      </c>
      <c r="I4" s="3">
        <v>-1</v>
      </c>
      <c r="J4" s="3">
        <v>0</v>
      </c>
      <c r="K4" s="3">
        <v>0</v>
      </c>
      <c r="L4" s="4">
        <v>30</v>
      </c>
      <c r="M4" s="4">
        <v>-1</v>
      </c>
      <c r="N4" s="4">
        <v>2</v>
      </c>
      <c r="O4" s="4">
        <v>12</v>
      </c>
      <c r="P4" s="4">
        <v>-1</v>
      </c>
      <c r="Q4" s="4">
        <v>-1</v>
      </c>
      <c r="R4" s="3">
        <v>1</v>
      </c>
      <c r="S4" s="3">
        <v>0</v>
      </c>
      <c r="T4" s="3">
        <v>0</v>
      </c>
      <c r="U4" s="3">
        <v>0</v>
      </c>
      <c r="V4" s="3">
        <v>0</v>
      </c>
      <c r="W4" s="3">
        <v>-1</v>
      </c>
      <c r="X4" s="3">
        <v>-1</v>
      </c>
      <c r="Y4" s="3">
        <v>11</v>
      </c>
      <c r="Z4" s="3">
        <v>50</v>
      </c>
      <c r="AA4" s="3">
        <v>50</v>
      </c>
      <c r="AB4" s="4">
        <v>607</v>
      </c>
      <c r="AC4" s="3">
        <v>12</v>
      </c>
      <c r="AD4" s="3">
        <v>-1</v>
      </c>
      <c r="AE4" s="3">
        <v>0</v>
      </c>
      <c r="AF4" s="3">
        <v>0</v>
      </c>
      <c r="AG4" s="3">
        <v>0</v>
      </c>
      <c r="AH4" s="3">
        <v>0</v>
      </c>
      <c r="AI4" s="4">
        <v>0</v>
      </c>
      <c r="AJ4" s="4">
        <v>200000</v>
      </c>
      <c r="AK4" s="4">
        <v>1</v>
      </c>
      <c r="AL4" s="4">
        <v>1</v>
      </c>
      <c r="AM4" s="3">
        <v>4000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 t="str">
        <f t="shared" ref="AY4:AY67" si="0">"t"&amp;A4</f>
        <v>tunhe002</v>
      </c>
      <c r="AZ4" s="4">
        <v>-1</v>
      </c>
      <c r="BA4" s="4">
        <v>2</v>
      </c>
      <c r="BB4" s="3"/>
    </row>
    <row r="5" spans="1:54" x14ac:dyDescent="0.25">
      <c r="A5" s="4" t="s">
        <v>61</v>
      </c>
      <c r="B5" s="4" t="s">
        <v>255</v>
      </c>
      <c r="C5" s="4">
        <v>16</v>
      </c>
      <c r="D5" s="4" t="s">
        <v>259</v>
      </c>
      <c r="E5" s="4">
        <v>0</v>
      </c>
      <c r="F5" s="4" t="s">
        <v>59</v>
      </c>
      <c r="G5" s="3">
        <v>-1</v>
      </c>
      <c r="H5" s="3">
        <v>-1</v>
      </c>
      <c r="I5" s="3">
        <v>-1</v>
      </c>
      <c r="J5" s="3">
        <v>0</v>
      </c>
      <c r="K5" s="3">
        <v>0</v>
      </c>
      <c r="L5" s="4">
        <v>66</v>
      </c>
      <c r="M5" s="4">
        <v>-1</v>
      </c>
      <c r="N5" s="4">
        <v>2</v>
      </c>
      <c r="O5" s="4">
        <v>99</v>
      </c>
      <c r="P5" s="4">
        <v>-1</v>
      </c>
      <c r="Q5" s="4">
        <v>-1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-1</v>
      </c>
      <c r="X5" s="3">
        <v>-1</v>
      </c>
      <c r="Y5" s="3">
        <v>710</v>
      </c>
      <c r="Z5" s="3">
        <v>50</v>
      </c>
      <c r="AA5" s="3">
        <v>50</v>
      </c>
      <c r="AB5" s="4">
        <v>9849</v>
      </c>
      <c r="AC5" s="3">
        <v>15</v>
      </c>
      <c r="AD5" s="3">
        <v>-1</v>
      </c>
      <c r="AE5" s="3">
        <v>0</v>
      </c>
      <c r="AF5" s="3">
        <v>0</v>
      </c>
      <c r="AG5" s="3">
        <v>0</v>
      </c>
      <c r="AH5" s="3">
        <v>0</v>
      </c>
      <c r="AI5" s="4">
        <v>0</v>
      </c>
      <c r="AJ5" s="4">
        <v>45360000</v>
      </c>
      <c r="AK5" s="4">
        <v>3</v>
      </c>
      <c r="AL5" s="4">
        <v>9</v>
      </c>
      <c r="AM5" s="3">
        <v>142000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 t="str">
        <f t="shared" si="0"/>
        <v>tunhe003</v>
      </c>
      <c r="AZ5" s="4">
        <v>-1</v>
      </c>
      <c r="BA5" s="4">
        <v>2</v>
      </c>
      <c r="BB5" s="3"/>
    </row>
    <row r="6" spans="1:54" x14ac:dyDescent="0.25">
      <c r="A6" s="4" t="s">
        <v>62</v>
      </c>
      <c r="B6" s="4" t="s">
        <v>256</v>
      </c>
      <c r="C6" s="4">
        <v>17</v>
      </c>
      <c r="D6" s="4" t="s">
        <v>260</v>
      </c>
      <c r="E6" s="4">
        <v>0</v>
      </c>
      <c r="F6" s="4" t="s">
        <v>59</v>
      </c>
      <c r="G6" s="3">
        <v>-1</v>
      </c>
      <c r="H6" s="3">
        <v>-1</v>
      </c>
      <c r="I6" s="3">
        <v>-1</v>
      </c>
      <c r="J6" s="3">
        <v>0</v>
      </c>
      <c r="K6" s="3">
        <v>0</v>
      </c>
      <c r="L6" s="4">
        <v>71</v>
      </c>
      <c r="M6" s="4">
        <v>-1</v>
      </c>
      <c r="N6" s="4">
        <v>2</v>
      </c>
      <c r="O6" s="4">
        <v>99</v>
      </c>
      <c r="P6" s="4">
        <v>-1</v>
      </c>
      <c r="Q6" s="4">
        <v>-1</v>
      </c>
      <c r="R6" s="3">
        <v>1</v>
      </c>
      <c r="S6" s="3">
        <v>0</v>
      </c>
      <c r="T6" s="3">
        <v>0</v>
      </c>
      <c r="U6" s="3">
        <v>0</v>
      </c>
      <c r="V6" s="3">
        <v>0</v>
      </c>
      <c r="W6" s="3">
        <v>-1</v>
      </c>
      <c r="X6" s="3">
        <v>-1</v>
      </c>
      <c r="Y6" s="3">
        <v>710</v>
      </c>
      <c r="Z6" s="3">
        <v>50</v>
      </c>
      <c r="AA6" s="3">
        <v>50</v>
      </c>
      <c r="AB6" s="4">
        <v>10500</v>
      </c>
      <c r="AC6" s="3">
        <v>20</v>
      </c>
      <c r="AD6" s="3">
        <v>-1</v>
      </c>
      <c r="AE6" s="3">
        <v>0</v>
      </c>
      <c r="AF6" s="3">
        <v>0</v>
      </c>
      <c r="AG6" s="3">
        <v>0</v>
      </c>
      <c r="AH6" s="3">
        <v>0</v>
      </c>
      <c r="AI6" s="4">
        <v>0</v>
      </c>
      <c r="AJ6" s="4">
        <v>75000000</v>
      </c>
      <c r="AK6" s="4">
        <v>3</v>
      </c>
      <c r="AL6" s="4">
        <v>10</v>
      </c>
      <c r="AM6" s="3">
        <v>142000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 t="str">
        <f t="shared" si="0"/>
        <v>tunhe004</v>
      </c>
      <c r="AZ6" s="4">
        <v>-1</v>
      </c>
      <c r="BA6" s="4">
        <v>2</v>
      </c>
      <c r="BB6" s="3"/>
    </row>
    <row r="7" spans="1:54" x14ac:dyDescent="0.25">
      <c r="A7" s="4" t="s">
        <v>63</v>
      </c>
      <c r="B7" s="4" t="s">
        <v>58</v>
      </c>
      <c r="C7" s="4">
        <v>100</v>
      </c>
      <c r="D7" s="4" t="s">
        <v>261</v>
      </c>
      <c r="E7" s="4">
        <v>0</v>
      </c>
      <c r="F7" s="4" t="s">
        <v>59</v>
      </c>
      <c r="G7" s="3">
        <v>-1</v>
      </c>
      <c r="H7" s="3">
        <v>-1</v>
      </c>
      <c r="I7" s="3">
        <v>-1</v>
      </c>
      <c r="J7" s="3">
        <v>0</v>
      </c>
      <c r="K7" s="3">
        <v>0</v>
      </c>
      <c r="L7" s="4">
        <v>100</v>
      </c>
      <c r="M7" s="4">
        <v>-1</v>
      </c>
      <c r="N7" s="4">
        <v>2</v>
      </c>
      <c r="O7" s="4">
        <v>100</v>
      </c>
      <c r="P7" s="4">
        <v>-1</v>
      </c>
      <c r="Q7" s="4">
        <v>-1</v>
      </c>
      <c r="R7" s="3">
        <v>1</v>
      </c>
      <c r="S7" s="3">
        <v>0</v>
      </c>
      <c r="T7" s="3">
        <v>0</v>
      </c>
      <c r="U7" s="3">
        <v>0</v>
      </c>
      <c r="V7" s="3">
        <v>0</v>
      </c>
      <c r="W7" s="3">
        <v>-1</v>
      </c>
      <c r="X7" s="3">
        <v>-1</v>
      </c>
      <c r="Y7" s="3">
        <v>710</v>
      </c>
      <c r="Z7" s="3">
        <v>50</v>
      </c>
      <c r="AA7" s="3">
        <v>50</v>
      </c>
      <c r="AB7" s="4">
        <v>720</v>
      </c>
      <c r="AC7" s="3">
        <v>20</v>
      </c>
      <c r="AD7" s="3">
        <v>-1</v>
      </c>
      <c r="AE7" s="3">
        <v>0</v>
      </c>
      <c r="AF7" s="3">
        <v>0</v>
      </c>
      <c r="AG7" s="3">
        <v>0</v>
      </c>
      <c r="AH7" s="3">
        <v>0</v>
      </c>
      <c r="AI7" s="4">
        <v>0</v>
      </c>
      <c r="AJ7" s="4">
        <v>7100000</v>
      </c>
      <c r="AK7" s="4">
        <v>1</v>
      </c>
      <c r="AL7" s="4">
        <v>1</v>
      </c>
      <c r="AM7" s="3">
        <v>142000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 t="str">
        <f t="shared" si="0"/>
        <v>tunhe005</v>
      </c>
      <c r="AZ7" s="4">
        <v>-1</v>
      </c>
      <c r="BA7" s="4">
        <v>2</v>
      </c>
      <c r="BB7" s="3"/>
    </row>
    <row r="8" spans="1:54" x14ac:dyDescent="0.25">
      <c r="A8" s="4" t="s">
        <v>64</v>
      </c>
      <c r="B8" s="4" t="s">
        <v>58</v>
      </c>
      <c r="C8" s="4">
        <v>1</v>
      </c>
      <c r="D8" s="4" t="s">
        <v>221</v>
      </c>
      <c r="E8" s="4">
        <v>0</v>
      </c>
      <c r="F8" s="4" t="s">
        <v>59</v>
      </c>
      <c r="G8" s="3">
        <v>-1</v>
      </c>
      <c r="H8" s="3">
        <v>-1</v>
      </c>
      <c r="I8" s="3">
        <v>-1</v>
      </c>
      <c r="J8" s="3">
        <v>0</v>
      </c>
      <c r="K8" s="3">
        <v>0</v>
      </c>
      <c r="L8" s="4">
        <v>35</v>
      </c>
      <c r="M8" s="4">
        <v>-1</v>
      </c>
      <c r="N8" s="4">
        <v>2</v>
      </c>
      <c r="O8" s="4">
        <v>60</v>
      </c>
      <c r="P8" s="4">
        <v>-1</v>
      </c>
      <c r="Q8" s="4">
        <v>-1</v>
      </c>
      <c r="R8" s="3">
        <v>1</v>
      </c>
      <c r="S8" s="3">
        <v>0</v>
      </c>
      <c r="T8" s="3">
        <v>0</v>
      </c>
      <c r="U8" s="3">
        <v>0</v>
      </c>
      <c r="V8" s="3">
        <v>0</v>
      </c>
      <c r="W8" s="3">
        <v>-1</v>
      </c>
      <c r="X8" s="3">
        <v>-1</v>
      </c>
      <c r="Y8" s="3">
        <v>60</v>
      </c>
      <c r="Z8" s="3">
        <v>50</v>
      </c>
      <c r="AA8" s="3">
        <v>50</v>
      </c>
      <c r="AB8" s="4">
        <v>1440</v>
      </c>
      <c r="AC8" s="3">
        <v>30</v>
      </c>
      <c r="AD8" s="3">
        <v>-1</v>
      </c>
      <c r="AE8" s="3">
        <v>0</v>
      </c>
      <c r="AF8" s="3">
        <v>0</v>
      </c>
      <c r="AG8" s="3">
        <v>0</v>
      </c>
      <c r="AH8" s="3">
        <v>0</v>
      </c>
      <c r="AI8" s="4">
        <v>0</v>
      </c>
      <c r="AJ8" s="4">
        <v>600000</v>
      </c>
      <c r="AK8" s="4">
        <v>1</v>
      </c>
      <c r="AL8" s="4">
        <v>1</v>
      </c>
      <c r="AM8" s="3">
        <v>12000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 t="str">
        <f t="shared" si="0"/>
        <v>tunhe006</v>
      </c>
      <c r="AZ8" s="4">
        <v>-1</v>
      </c>
      <c r="BA8" s="4">
        <v>2</v>
      </c>
      <c r="BB8" s="3"/>
    </row>
    <row r="9" spans="1:54" x14ac:dyDescent="0.25">
      <c r="A9" s="4" t="s">
        <v>65</v>
      </c>
      <c r="B9" s="4" t="s">
        <v>58</v>
      </c>
      <c r="C9" s="4">
        <v>1</v>
      </c>
      <c r="D9" s="4" t="s">
        <v>222</v>
      </c>
      <c r="E9" s="4">
        <v>0</v>
      </c>
      <c r="F9" s="4" t="s">
        <v>59</v>
      </c>
      <c r="G9" s="3">
        <v>-1</v>
      </c>
      <c r="H9" s="3">
        <v>-1</v>
      </c>
      <c r="I9" s="3">
        <v>-1</v>
      </c>
      <c r="J9" s="3">
        <v>0</v>
      </c>
      <c r="K9" s="3">
        <v>0</v>
      </c>
      <c r="L9" s="4">
        <v>37</v>
      </c>
      <c r="M9" s="4">
        <v>-1</v>
      </c>
      <c r="N9" s="4">
        <v>2</v>
      </c>
      <c r="O9" s="4">
        <v>65</v>
      </c>
      <c r="P9" s="4">
        <v>-1</v>
      </c>
      <c r="Q9" s="4">
        <v>-1</v>
      </c>
      <c r="R9" s="3">
        <v>1</v>
      </c>
      <c r="S9" s="3">
        <v>0</v>
      </c>
      <c r="T9" s="3">
        <v>0</v>
      </c>
      <c r="U9" s="3">
        <v>0</v>
      </c>
      <c r="V9" s="3">
        <v>0</v>
      </c>
      <c r="W9" s="3">
        <v>-1</v>
      </c>
      <c r="X9" s="3">
        <v>-1</v>
      </c>
      <c r="Y9" s="3">
        <v>80</v>
      </c>
      <c r="Z9" s="3">
        <v>50</v>
      </c>
      <c r="AA9" s="3">
        <v>50</v>
      </c>
      <c r="AB9" s="4">
        <v>1260</v>
      </c>
      <c r="AC9" s="3">
        <v>30</v>
      </c>
      <c r="AD9" s="3">
        <v>-1</v>
      </c>
      <c r="AE9" s="3">
        <v>0</v>
      </c>
      <c r="AF9" s="3">
        <v>0</v>
      </c>
      <c r="AG9" s="3">
        <v>0</v>
      </c>
      <c r="AH9" s="3">
        <v>0</v>
      </c>
      <c r="AI9" s="4">
        <v>0</v>
      </c>
      <c r="AJ9" s="4">
        <v>800000</v>
      </c>
      <c r="AK9" s="4">
        <v>1</v>
      </c>
      <c r="AL9" s="4">
        <v>1</v>
      </c>
      <c r="AM9" s="3">
        <v>16000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 t="str">
        <f t="shared" si="0"/>
        <v>tunhe007</v>
      </c>
      <c r="AZ9" s="4">
        <v>-1</v>
      </c>
      <c r="BA9" s="4">
        <v>2</v>
      </c>
      <c r="BB9" s="3"/>
    </row>
    <row r="10" spans="1:54" x14ac:dyDescent="0.25">
      <c r="A10" s="4" t="s">
        <v>66</v>
      </c>
      <c r="B10" s="4" t="s">
        <v>67</v>
      </c>
      <c r="C10" s="4">
        <v>100</v>
      </c>
      <c r="D10" s="4" t="s">
        <v>261</v>
      </c>
      <c r="E10" s="4">
        <v>0</v>
      </c>
      <c r="F10" s="4" t="s">
        <v>59</v>
      </c>
      <c r="G10" s="3">
        <v>-1</v>
      </c>
      <c r="H10" s="3">
        <v>-1</v>
      </c>
      <c r="I10" s="3">
        <v>-1</v>
      </c>
      <c r="J10" s="3">
        <v>0</v>
      </c>
      <c r="K10" s="3">
        <v>0</v>
      </c>
      <c r="L10" s="4">
        <v>100</v>
      </c>
      <c r="M10" s="4">
        <v>-1</v>
      </c>
      <c r="N10" s="4">
        <v>2</v>
      </c>
      <c r="O10" s="4">
        <v>100</v>
      </c>
      <c r="P10" s="4">
        <v>-1</v>
      </c>
      <c r="Q10" s="4">
        <v>-1</v>
      </c>
      <c r="R10" s="3">
        <v>1</v>
      </c>
      <c r="S10" s="3">
        <v>0</v>
      </c>
      <c r="T10" s="3">
        <v>0</v>
      </c>
      <c r="U10" s="3">
        <v>0</v>
      </c>
      <c r="V10" s="3">
        <v>0</v>
      </c>
      <c r="W10" s="3">
        <v>-1</v>
      </c>
      <c r="X10" s="3">
        <v>-1</v>
      </c>
      <c r="Y10" s="3">
        <v>710</v>
      </c>
      <c r="Z10" s="3">
        <v>50</v>
      </c>
      <c r="AA10" s="3">
        <v>50</v>
      </c>
      <c r="AB10" s="4">
        <v>225</v>
      </c>
      <c r="AC10" s="3">
        <v>50</v>
      </c>
      <c r="AD10" s="3">
        <v>-1</v>
      </c>
      <c r="AE10" s="3">
        <v>0</v>
      </c>
      <c r="AF10" s="3">
        <v>0</v>
      </c>
      <c r="AG10" s="3">
        <v>0</v>
      </c>
      <c r="AH10" s="3">
        <v>0</v>
      </c>
      <c r="AI10" s="4">
        <v>0</v>
      </c>
      <c r="AJ10" s="4">
        <v>7100000</v>
      </c>
      <c r="AK10" s="4">
        <v>1</v>
      </c>
      <c r="AL10" s="4">
        <v>1</v>
      </c>
      <c r="AM10" s="3">
        <v>142000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 t="str">
        <f t="shared" si="0"/>
        <v>tunhe008</v>
      </c>
      <c r="AZ10" s="4">
        <v>-1</v>
      </c>
      <c r="BA10" s="4">
        <v>2</v>
      </c>
      <c r="BB10" s="3"/>
    </row>
    <row r="11" spans="1:54" x14ac:dyDescent="0.25">
      <c r="A11" s="4" t="s">
        <v>68</v>
      </c>
      <c r="B11" s="4" t="s">
        <v>69</v>
      </c>
      <c r="C11" s="4">
        <v>100</v>
      </c>
      <c r="D11" s="4" t="s">
        <v>261</v>
      </c>
      <c r="E11" s="4">
        <v>0</v>
      </c>
      <c r="F11" s="4" t="s">
        <v>59</v>
      </c>
      <c r="G11" s="3">
        <v>-1</v>
      </c>
      <c r="H11" s="3">
        <v>-1</v>
      </c>
      <c r="I11" s="3">
        <v>-1</v>
      </c>
      <c r="J11" s="3">
        <v>0</v>
      </c>
      <c r="K11" s="3">
        <v>0</v>
      </c>
      <c r="L11" s="4">
        <v>100</v>
      </c>
      <c r="M11" s="4">
        <v>-1</v>
      </c>
      <c r="N11" s="4">
        <v>2</v>
      </c>
      <c r="O11" s="4">
        <v>100</v>
      </c>
      <c r="P11" s="4">
        <v>-1</v>
      </c>
      <c r="Q11" s="4">
        <v>-1</v>
      </c>
      <c r="R11" s="3">
        <v>1</v>
      </c>
      <c r="S11" s="3">
        <v>0</v>
      </c>
      <c r="T11" s="3">
        <v>0</v>
      </c>
      <c r="U11" s="3">
        <v>0</v>
      </c>
      <c r="V11" s="3">
        <v>0</v>
      </c>
      <c r="W11" s="3">
        <v>-1</v>
      </c>
      <c r="X11" s="3">
        <v>-1</v>
      </c>
      <c r="Y11" s="3">
        <v>710</v>
      </c>
      <c r="Z11" s="3">
        <v>50</v>
      </c>
      <c r="AA11" s="3">
        <v>50</v>
      </c>
      <c r="AB11" s="4">
        <v>225</v>
      </c>
      <c r="AC11" s="3">
        <v>50</v>
      </c>
      <c r="AD11" s="3">
        <v>-1</v>
      </c>
      <c r="AE11" s="3">
        <v>0</v>
      </c>
      <c r="AF11" s="3">
        <v>0</v>
      </c>
      <c r="AG11" s="3">
        <v>0</v>
      </c>
      <c r="AH11" s="3">
        <v>0</v>
      </c>
      <c r="AI11" s="4">
        <v>0</v>
      </c>
      <c r="AJ11" s="4">
        <v>7100000</v>
      </c>
      <c r="AK11" s="4">
        <v>1</v>
      </c>
      <c r="AL11" s="4">
        <v>1</v>
      </c>
      <c r="AM11" s="3">
        <v>142000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str">
        <f t="shared" si="0"/>
        <v>tunhe009</v>
      </c>
      <c r="AZ11" s="4">
        <v>-1</v>
      </c>
      <c r="BA11" s="4">
        <v>2</v>
      </c>
      <c r="BB11" s="3"/>
    </row>
    <row r="12" spans="1:54" x14ac:dyDescent="0.25">
      <c r="A12" s="4" t="s">
        <v>70</v>
      </c>
      <c r="B12" s="4" t="s">
        <v>71</v>
      </c>
      <c r="C12" s="4">
        <v>2</v>
      </c>
      <c r="D12" s="4" t="s">
        <v>223</v>
      </c>
      <c r="E12" s="4">
        <v>0</v>
      </c>
      <c r="F12" s="4" t="s">
        <v>59</v>
      </c>
      <c r="G12" s="3">
        <v>-1</v>
      </c>
      <c r="H12" s="3">
        <v>-1</v>
      </c>
      <c r="I12" s="3">
        <v>-1</v>
      </c>
      <c r="J12" s="3">
        <v>0</v>
      </c>
      <c r="K12" s="3">
        <v>0</v>
      </c>
      <c r="L12" s="4">
        <v>40</v>
      </c>
      <c r="M12" s="4">
        <v>-1</v>
      </c>
      <c r="N12" s="4">
        <v>2</v>
      </c>
      <c r="O12" s="4">
        <v>72</v>
      </c>
      <c r="P12" s="4">
        <v>-1</v>
      </c>
      <c r="Q12" s="4">
        <v>-1</v>
      </c>
      <c r="R12" s="3">
        <v>1</v>
      </c>
      <c r="S12" s="3">
        <v>0</v>
      </c>
      <c r="T12" s="3">
        <v>0</v>
      </c>
      <c r="U12" s="3">
        <v>0</v>
      </c>
      <c r="V12" s="3">
        <v>0</v>
      </c>
      <c r="W12" s="3">
        <v>-1</v>
      </c>
      <c r="X12" s="3">
        <v>-1</v>
      </c>
      <c r="Y12" s="3">
        <v>110</v>
      </c>
      <c r="Z12" s="3">
        <v>50</v>
      </c>
      <c r="AA12" s="3">
        <v>50</v>
      </c>
      <c r="AB12" s="4">
        <v>1935</v>
      </c>
      <c r="AC12" s="3">
        <v>50</v>
      </c>
      <c r="AD12" s="3">
        <v>-1</v>
      </c>
      <c r="AE12" s="3">
        <v>0</v>
      </c>
      <c r="AF12" s="3">
        <v>0</v>
      </c>
      <c r="AG12" s="3">
        <v>0</v>
      </c>
      <c r="AH12" s="3">
        <v>0</v>
      </c>
      <c r="AI12" s="4">
        <v>0</v>
      </c>
      <c r="AJ12" s="4">
        <v>1100000</v>
      </c>
      <c r="AK12" s="4">
        <v>1</v>
      </c>
      <c r="AL12" s="4">
        <v>1</v>
      </c>
      <c r="AM12" s="3">
        <v>22000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 t="str">
        <f t="shared" si="0"/>
        <v>tunhe010</v>
      </c>
      <c r="AZ12" s="4">
        <v>-1</v>
      </c>
      <c r="BA12" s="4">
        <v>2</v>
      </c>
      <c r="BB12" s="3"/>
    </row>
    <row r="13" spans="1:54" x14ac:dyDescent="0.25">
      <c r="A13" s="4" t="s">
        <v>72</v>
      </c>
      <c r="B13" s="4" t="s">
        <v>71</v>
      </c>
      <c r="C13" s="4">
        <v>2</v>
      </c>
      <c r="D13" s="4" t="s">
        <v>224</v>
      </c>
      <c r="E13" s="4">
        <v>0</v>
      </c>
      <c r="F13" s="4" t="s">
        <v>59</v>
      </c>
      <c r="G13" s="3">
        <v>-1</v>
      </c>
      <c r="H13" s="3">
        <v>-1</v>
      </c>
      <c r="I13" s="3">
        <v>-1</v>
      </c>
      <c r="J13" s="3">
        <v>0</v>
      </c>
      <c r="K13" s="3">
        <v>0</v>
      </c>
      <c r="L13" s="4">
        <v>42</v>
      </c>
      <c r="M13" s="4">
        <v>-1</v>
      </c>
      <c r="N13" s="4">
        <v>2</v>
      </c>
      <c r="O13" s="4">
        <v>88</v>
      </c>
      <c r="P13" s="4">
        <v>-1</v>
      </c>
      <c r="Q13" s="4">
        <v>-1</v>
      </c>
      <c r="R13" s="3">
        <v>1</v>
      </c>
      <c r="S13" s="3">
        <v>0</v>
      </c>
      <c r="T13" s="3">
        <v>0</v>
      </c>
      <c r="U13" s="3">
        <v>0</v>
      </c>
      <c r="V13" s="3">
        <v>0</v>
      </c>
      <c r="W13" s="3">
        <v>-1</v>
      </c>
      <c r="X13" s="3">
        <v>-1</v>
      </c>
      <c r="Y13" s="3">
        <v>130</v>
      </c>
      <c r="Z13" s="3">
        <v>50</v>
      </c>
      <c r="AA13" s="3">
        <v>50</v>
      </c>
      <c r="AB13" s="4">
        <v>2025</v>
      </c>
      <c r="AC13" s="3">
        <v>50</v>
      </c>
      <c r="AD13" s="3">
        <v>-1</v>
      </c>
      <c r="AE13" s="3">
        <v>0</v>
      </c>
      <c r="AF13" s="3">
        <v>0</v>
      </c>
      <c r="AG13" s="3">
        <v>0</v>
      </c>
      <c r="AH13" s="3">
        <v>0</v>
      </c>
      <c r="AI13" s="4">
        <v>0</v>
      </c>
      <c r="AJ13" s="4">
        <v>1300000</v>
      </c>
      <c r="AK13" s="4">
        <v>1</v>
      </c>
      <c r="AL13" s="4">
        <v>1</v>
      </c>
      <c r="AM13" s="3">
        <v>26000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str">
        <f t="shared" si="0"/>
        <v>tunhe011</v>
      </c>
      <c r="AZ13" s="4">
        <v>-1</v>
      </c>
      <c r="BA13" s="4">
        <v>2</v>
      </c>
      <c r="BB13" s="3"/>
    </row>
    <row r="14" spans="1:54" s="12" customFormat="1" x14ac:dyDescent="0.25">
      <c r="A14" s="10" t="s">
        <v>73</v>
      </c>
      <c r="B14" s="10" t="s">
        <v>71</v>
      </c>
      <c r="C14" s="10">
        <v>2</v>
      </c>
      <c r="D14" s="10" t="s">
        <v>225</v>
      </c>
      <c r="E14" s="10">
        <v>0</v>
      </c>
      <c r="F14" s="10" t="s">
        <v>59</v>
      </c>
      <c r="G14" s="11">
        <v>-1</v>
      </c>
      <c r="H14" s="11">
        <v>-1</v>
      </c>
      <c r="I14" s="11">
        <v>-1</v>
      </c>
      <c r="J14" s="11">
        <v>0</v>
      </c>
      <c r="K14" s="11">
        <v>0</v>
      </c>
      <c r="L14" s="10">
        <v>48</v>
      </c>
      <c r="M14" s="10">
        <v>-1</v>
      </c>
      <c r="N14" s="10">
        <v>2</v>
      </c>
      <c r="O14" s="10">
        <v>93</v>
      </c>
      <c r="P14" s="10">
        <v>-1</v>
      </c>
      <c r="Q14" s="10">
        <v>-1</v>
      </c>
      <c r="R14" s="11">
        <v>1</v>
      </c>
      <c r="S14" s="11">
        <v>0</v>
      </c>
      <c r="T14" s="11">
        <v>0</v>
      </c>
      <c r="U14" s="11">
        <v>0</v>
      </c>
      <c r="V14" s="11">
        <v>0</v>
      </c>
      <c r="W14" s="11">
        <v>-1</v>
      </c>
      <c r="X14" s="11">
        <v>-1</v>
      </c>
      <c r="Y14" s="11">
        <v>190</v>
      </c>
      <c r="Z14" s="11">
        <v>50</v>
      </c>
      <c r="AA14" s="11">
        <v>50</v>
      </c>
      <c r="AB14" s="10">
        <v>1751</v>
      </c>
      <c r="AC14" s="11">
        <v>50</v>
      </c>
      <c r="AD14" s="11">
        <v>-1</v>
      </c>
      <c r="AE14" s="11">
        <v>0</v>
      </c>
      <c r="AF14" s="11">
        <v>0</v>
      </c>
      <c r="AG14" s="11">
        <v>0</v>
      </c>
      <c r="AH14" s="11">
        <v>0</v>
      </c>
      <c r="AI14" s="10">
        <v>0</v>
      </c>
      <c r="AJ14" s="7">
        <v>3136363</v>
      </c>
      <c r="AK14" s="10">
        <v>1</v>
      </c>
      <c r="AL14" s="10">
        <v>1</v>
      </c>
      <c r="AM14" s="7">
        <v>313636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 t="str">
        <f t="shared" si="0"/>
        <v>tunhe012</v>
      </c>
      <c r="AZ14" s="10">
        <v>-1</v>
      </c>
      <c r="BA14" s="10">
        <v>2</v>
      </c>
      <c r="BB14" s="11"/>
    </row>
    <row r="15" spans="1:54" x14ac:dyDescent="0.25">
      <c r="A15" s="4" t="s">
        <v>74</v>
      </c>
      <c r="B15" s="4" t="s">
        <v>75</v>
      </c>
      <c r="C15" s="4">
        <v>3</v>
      </c>
      <c r="D15" s="4" t="s">
        <v>226</v>
      </c>
      <c r="E15" s="4">
        <v>0</v>
      </c>
      <c r="F15" s="4" t="s">
        <v>59</v>
      </c>
      <c r="G15" s="3">
        <v>-1</v>
      </c>
      <c r="H15" s="3">
        <v>-1</v>
      </c>
      <c r="I15" s="3">
        <v>-1</v>
      </c>
      <c r="J15" s="3">
        <v>0</v>
      </c>
      <c r="K15" s="3">
        <v>0</v>
      </c>
      <c r="L15" s="6">
        <v>51</v>
      </c>
      <c r="M15" s="4">
        <v>-1</v>
      </c>
      <c r="N15" s="4">
        <v>2</v>
      </c>
      <c r="O15" s="4">
        <v>99</v>
      </c>
      <c r="P15" s="4">
        <v>-1</v>
      </c>
      <c r="Q15" s="4">
        <v>-1</v>
      </c>
      <c r="R15" s="3">
        <v>1</v>
      </c>
      <c r="S15" s="3">
        <v>0</v>
      </c>
      <c r="T15" s="3">
        <v>0</v>
      </c>
      <c r="U15" s="3">
        <v>0</v>
      </c>
      <c r="V15" s="3">
        <v>0</v>
      </c>
      <c r="W15" s="3">
        <v>-1</v>
      </c>
      <c r="X15" s="3">
        <v>-1</v>
      </c>
      <c r="Y15" s="3">
        <v>231</v>
      </c>
      <c r="Z15" s="3">
        <v>50</v>
      </c>
      <c r="AA15" s="3">
        <v>50</v>
      </c>
      <c r="AB15" s="4">
        <v>2581</v>
      </c>
      <c r="AC15" s="3">
        <v>50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4">
        <v>0</v>
      </c>
      <c r="AJ15" s="4">
        <v>2100000</v>
      </c>
      <c r="AK15" s="4">
        <v>1</v>
      </c>
      <c r="AL15" s="4">
        <v>1</v>
      </c>
      <c r="AM15" s="3">
        <v>42000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str">
        <f t="shared" si="0"/>
        <v>tunhe013</v>
      </c>
      <c r="AZ15" s="4">
        <v>-1</v>
      </c>
      <c r="BA15" s="4">
        <v>2</v>
      </c>
      <c r="BB15" s="3"/>
    </row>
    <row r="16" spans="1:54" x14ac:dyDescent="0.25">
      <c r="A16" s="4" t="s">
        <v>76</v>
      </c>
      <c r="B16" s="4" t="s">
        <v>75</v>
      </c>
      <c r="C16" s="4">
        <v>3</v>
      </c>
      <c r="D16" s="4" t="s">
        <v>227</v>
      </c>
      <c r="E16" s="4">
        <v>0</v>
      </c>
      <c r="F16" s="4" t="s">
        <v>59</v>
      </c>
      <c r="G16" s="3">
        <v>-1</v>
      </c>
      <c r="H16" s="3">
        <v>-1</v>
      </c>
      <c r="I16" s="3">
        <v>-1</v>
      </c>
      <c r="J16" s="3">
        <v>0</v>
      </c>
      <c r="K16" s="3">
        <v>0</v>
      </c>
      <c r="L16" s="6">
        <v>51</v>
      </c>
      <c r="M16" s="4">
        <v>-1</v>
      </c>
      <c r="N16" s="4">
        <v>2</v>
      </c>
      <c r="O16" s="4">
        <v>99</v>
      </c>
      <c r="P16" s="4">
        <v>-1</v>
      </c>
      <c r="Q16" s="4">
        <v>-1</v>
      </c>
      <c r="R16" s="3">
        <v>1</v>
      </c>
      <c r="S16" s="3">
        <v>0</v>
      </c>
      <c r="T16" s="3">
        <v>0</v>
      </c>
      <c r="U16" s="3">
        <v>0</v>
      </c>
      <c r="V16" s="3">
        <v>0</v>
      </c>
      <c r="W16" s="3">
        <v>-1</v>
      </c>
      <c r="X16" s="3">
        <v>-1</v>
      </c>
      <c r="Y16" s="3">
        <v>254</v>
      </c>
      <c r="Z16" s="3">
        <v>50</v>
      </c>
      <c r="AA16" s="3">
        <v>50</v>
      </c>
      <c r="AB16" s="4">
        <v>3097</v>
      </c>
      <c r="AC16" s="3">
        <v>50</v>
      </c>
      <c r="AD16" s="3">
        <v>-1</v>
      </c>
      <c r="AE16" s="3">
        <v>0</v>
      </c>
      <c r="AF16" s="3">
        <v>0</v>
      </c>
      <c r="AG16" s="3">
        <v>0</v>
      </c>
      <c r="AH16" s="3">
        <v>0</v>
      </c>
      <c r="AI16" s="4">
        <v>0</v>
      </c>
      <c r="AJ16" s="4">
        <v>8400000</v>
      </c>
      <c r="AK16" s="4">
        <v>1</v>
      </c>
      <c r="AL16" s="4">
        <v>1</v>
      </c>
      <c r="AM16" s="3">
        <v>168000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 t="str">
        <f t="shared" si="0"/>
        <v>tunhe014</v>
      </c>
      <c r="AZ16" s="4">
        <v>-1</v>
      </c>
      <c r="BA16" s="4">
        <v>2</v>
      </c>
      <c r="BB16" s="3"/>
    </row>
    <row r="17" spans="1:54" x14ac:dyDescent="0.25">
      <c r="A17" s="4" t="s">
        <v>77</v>
      </c>
      <c r="B17" s="4" t="s">
        <v>75</v>
      </c>
      <c r="C17" s="4">
        <v>3</v>
      </c>
      <c r="D17" s="4" t="s">
        <v>228</v>
      </c>
      <c r="E17" s="4">
        <v>0</v>
      </c>
      <c r="F17" s="4" t="s">
        <v>59</v>
      </c>
      <c r="G17" s="3">
        <v>-1</v>
      </c>
      <c r="H17" s="3">
        <v>-1</v>
      </c>
      <c r="I17" s="3">
        <v>-1</v>
      </c>
      <c r="J17" s="3">
        <v>0</v>
      </c>
      <c r="K17" s="3">
        <v>0</v>
      </c>
      <c r="L17" s="6">
        <v>51</v>
      </c>
      <c r="M17" s="4">
        <v>-1</v>
      </c>
      <c r="N17" s="4">
        <v>2</v>
      </c>
      <c r="O17" s="4">
        <v>99</v>
      </c>
      <c r="P17" s="4">
        <v>-1</v>
      </c>
      <c r="Q17" s="4">
        <v>-1</v>
      </c>
      <c r="R17" s="3">
        <v>1</v>
      </c>
      <c r="S17" s="3">
        <v>0</v>
      </c>
      <c r="T17" s="3">
        <v>0</v>
      </c>
      <c r="U17" s="3">
        <v>0</v>
      </c>
      <c r="V17" s="3">
        <v>0</v>
      </c>
      <c r="W17" s="3">
        <v>-1</v>
      </c>
      <c r="X17" s="3">
        <v>-1</v>
      </c>
      <c r="Y17" s="3">
        <v>277</v>
      </c>
      <c r="Z17" s="3">
        <v>50</v>
      </c>
      <c r="AA17" s="3">
        <v>50</v>
      </c>
      <c r="AB17" s="4">
        <v>4026</v>
      </c>
      <c r="AC17" s="3">
        <v>50</v>
      </c>
      <c r="AD17" s="3">
        <v>-1</v>
      </c>
      <c r="AE17" s="3">
        <v>0</v>
      </c>
      <c r="AF17" s="3">
        <v>0</v>
      </c>
      <c r="AG17" s="3">
        <v>0</v>
      </c>
      <c r="AH17" s="3">
        <v>0</v>
      </c>
      <c r="AI17" s="4">
        <v>0</v>
      </c>
      <c r="AJ17" s="4">
        <v>18900000</v>
      </c>
      <c r="AK17" s="4">
        <v>1</v>
      </c>
      <c r="AL17" s="4">
        <v>1</v>
      </c>
      <c r="AM17" s="3">
        <v>378000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 t="str">
        <f t="shared" si="0"/>
        <v>tunhe015</v>
      </c>
      <c r="AZ17" s="4">
        <v>-1</v>
      </c>
      <c r="BA17" s="4">
        <v>2</v>
      </c>
      <c r="BB17" s="3"/>
    </row>
    <row r="18" spans="1:54" x14ac:dyDescent="0.25">
      <c r="A18" s="4" t="s">
        <v>78</v>
      </c>
      <c r="B18" s="4" t="s">
        <v>79</v>
      </c>
      <c r="C18" s="4">
        <v>7</v>
      </c>
      <c r="D18" s="4" t="s">
        <v>229</v>
      </c>
      <c r="E18" s="4">
        <v>0</v>
      </c>
      <c r="F18" s="4" t="s">
        <v>59</v>
      </c>
      <c r="G18" s="3">
        <v>-1</v>
      </c>
      <c r="H18" s="3">
        <v>-1</v>
      </c>
      <c r="I18" s="3">
        <v>-1</v>
      </c>
      <c r="J18" s="3">
        <v>0</v>
      </c>
      <c r="K18" s="3">
        <v>0</v>
      </c>
      <c r="L18" s="4">
        <v>51</v>
      </c>
      <c r="M18" s="4">
        <v>-1</v>
      </c>
      <c r="N18" s="4">
        <v>2</v>
      </c>
      <c r="O18" s="4">
        <v>99</v>
      </c>
      <c r="P18" s="4">
        <v>-1</v>
      </c>
      <c r="Q18" s="4">
        <v>-1</v>
      </c>
      <c r="R18" s="3">
        <v>1</v>
      </c>
      <c r="S18" s="3">
        <v>0</v>
      </c>
      <c r="T18" s="3">
        <v>0</v>
      </c>
      <c r="U18" s="3">
        <v>0</v>
      </c>
      <c r="V18" s="3">
        <v>0</v>
      </c>
      <c r="W18" s="3">
        <v>-1</v>
      </c>
      <c r="X18" s="3">
        <v>-1</v>
      </c>
      <c r="Y18" s="3">
        <v>286</v>
      </c>
      <c r="Z18" s="3">
        <v>50</v>
      </c>
      <c r="AA18" s="3">
        <v>50</v>
      </c>
      <c r="AB18" s="4">
        <v>4300</v>
      </c>
      <c r="AC18" s="3">
        <v>50</v>
      </c>
      <c r="AD18" s="3">
        <v>-1</v>
      </c>
      <c r="AE18" s="3">
        <v>0</v>
      </c>
      <c r="AF18" s="3">
        <v>0</v>
      </c>
      <c r="AG18" s="3">
        <v>0</v>
      </c>
      <c r="AH18" s="3">
        <v>0</v>
      </c>
      <c r="AI18" s="4">
        <v>0</v>
      </c>
      <c r="AJ18" s="4">
        <v>2600000</v>
      </c>
      <c r="AK18" s="4">
        <v>3</v>
      </c>
      <c r="AL18" s="4">
        <v>3</v>
      </c>
      <c r="AM18" s="3">
        <v>52000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 t="str">
        <f t="shared" si="0"/>
        <v>tunhe016</v>
      </c>
      <c r="AZ18" s="4">
        <v>-1</v>
      </c>
      <c r="BA18" s="4">
        <v>2</v>
      </c>
      <c r="BB18" s="3"/>
    </row>
    <row r="19" spans="1:54" x14ac:dyDescent="0.25">
      <c r="A19" s="4" t="s">
        <v>80</v>
      </c>
      <c r="B19" s="4" t="s">
        <v>79</v>
      </c>
      <c r="C19" s="4">
        <v>7</v>
      </c>
      <c r="D19" s="4" t="s">
        <v>230</v>
      </c>
      <c r="E19" s="4">
        <v>0</v>
      </c>
      <c r="F19" s="4" t="s">
        <v>59</v>
      </c>
      <c r="G19" s="3">
        <v>-1</v>
      </c>
      <c r="H19" s="3">
        <v>-1</v>
      </c>
      <c r="I19" s="3">
        <v>-1</v>
      </c>
      <c r="J19" s="3">
        <v>0</v>
      </c>
      <c r="K19" s="3">
        <v>0</v>
      </c>
      <c r="L19" s="4">
        <v>52</v>
      </c>
      <c r="M19" s="4">
        <v>-1</v>
      </c>
      <c r="N19" s="4">
        <v>2</v>
      </c>
      <c r="O19" s="4">
        <v>99</v>
      </c>
      <c r="P19" s="4">
        <v>-1</v>
      </c>
      <c r="Q19" s="4">
        <v>-1</v>
      </c>
      <c r="R19" s="3">
        <v>1</v>
      </c>
      <c r="S19" s="3">
        <v>0</v>
      </c>
      <c r="T19" s="3">
        <v>0</v>
      </c>
      <c r="U19" s="3">
        <v>0</v>
      </c>
      <c r="V19" s="3">
        <v>0</v>
      </c>
      <c r="W19" s="3">
        <v>-1</v>
      </c>
      <c r="X19" s="3">
        <v>-1</v>
      </c>
      <c r="Y19" s="3">
        <v>314</v>
      </c>
      <c r="Z19" s="3">
        <v>50</v>
      </c>
      <c r="AA19" s="3">
        <v>50</v>
      </c>
      <c r="AB19" s="4">
        <v>5000</v>
      </c>
      <c r="AC19" s="3">
        <v>50</v>
      </c>
      <c r="AD19" s="3">
        <v>-1</v>
      </c>
      <c r="AE19" s="3">
        <v>0</v>
      </c>
      <c r="AF19" s="3">
        <v>0</v>
      </c>
      <c r="AG19" s="3">
        <v>0</v>
      </c>
      <c r="AH19" s="3">
        <v>0</v>
      </c>
      <c r="AI19" s="4">
        <v>0</v>
      </c>
      <c r="AJ19" s="4">
        <v>8400000</v>
      </c>
      <c r="AK19" s="4">
        <v>3</v>
      </c>
      <c r="AL19" s="4">
        <v>3</v>
      </c>
      <c r="AM19" s="3">
        <v>168000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 t="str">
        <f t="shared" si="0"/>
        <v>tunhe017</v>
      </c>
      <c r="AZ19" s="4">
        <v>-1</v>
      </c>
      <c r="BA19" s="4">
        <v>2</v>
      </c>
      <c r="BB19" s="3"/>
    </row>
    <row r="20" spans="1:54" x14ac:dyDescent="0.25">
      <c r="A20" s="4" t="s">
        <v>81</v>
      </c>
      <c r="B20" s="4" t="s">
        <v>79</v>
      </c>
      <c r="C20" s="4">
        <v>7</v>
      </c>
      <c r="D20" s="4" t="s">
        <v>231</v>
      </c>
      <c r="E20" s="4">
        <v>0</v>
      </c>
      <c r="F20" s="4" t="s">
        <v>59</v>
      </c>
      <c r="G20" s="3">
        <v>-1</v>
      </c>
      <c r="H20" s="3">
        <v>-1</v>
      </c>
      <c r="I20" s="3">
        <v>-1</v>
      </c>
      <c r="J20" s="3">
        <v>0</v>
      </c>
      <c r="K20" s="3">
        <v>0</v>
      </c>
      <c r="L20" s="4">
        <v>53</v>
      </c>
      <c r="M20" s="4">
        <v>-1</v>
      </c>
      <c r="N20" s="4">
        <v>2</v>
      </c>
      <c r="O20" s="4">
        <v>99</v>
      </c>
      <c r="P20" s="4">
        <v>-1</v>
      </c>
      <c r="Q20" s="4">
        <v>-1</v>
      </c>
      <c r="R20" s="3">
        <v>1</v>
      </c>
      <c r="S20" s="3">
        <v>0</v>
      </c>
      <c r="T20" s="3">
        <v>0</v>
      </c>
      <c r="U20" s="3">
        <v>0</v>
      </c>
      <c r="V20" s="3">
        <v>0</v>
      </c>
      <c r="W20" s="3">
        <v>-1</v>
      </c>
      <c r="X20" s="3">
        <v>-1</v>
      </c>
      <c r="Y20" s="3">
        <v>343</v>
      </c>
      <c r="Z20" s="3">
        <v>50</v>
      </c>
      <c r="AA20" s="3">
        <v>50</v>
      </c>
      <c r="AB20" s="4">
        <v>5700</v>
      </c>
      <c r="AC20" s="3">
        <v>50</v>
      </c>
      <c r="AD20" s="3">
        <v>-1</v>
      </c>
      <c r="AE20" s="3">
        <v>0</v>
      </c>
      <c r="AF20" s="3">
        <v>0</v>
      </c>
      <c r="AG20" s="3">
        <v>0</v>
      </c>
      <c r="AH20" s="3">
        <v>0</v>
      </c>
      <c r="AI20" s="4">
        <v>0</v>
      </c>
      <c r="AJ20" s="4">
        <v>18900000</v>
      </c>
      <c r="AK20" s="4">
        <v>3</v>
      </c>
      <c r="AL20" s="4">
        <v>3</v>
      </c>
      <c r="AM20" s="3">
        <v>378000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 t="str">
        <f t="shared" si="0"/>
        <v>tunhe018</v>
      </c>
      <c r="AZ20" s="4">
        <v>-1</v>
      </c>
      <c r="BA20" s="4">
        <v>2</v>
      </c>
      <c r="BB20" s="3"/>
    </row>
    <row r="21" spans="1:54" x14ac:dyDescent="0.25">
      <c r="A21" s="4" t="s">
        <v>82</v>
      </c>
      <c r="B21" s="4" t="s">
        <v>83</v>
      </c>
      <c r="C21" s="4">
        <v>16</v>
      </c>
      <c r="D21" s="4" t="s">
        <v>232</v>
      </c>
      <c r="E21" s="4">
        <v>0</v>
      </c>
      <c r="F21" s="4" t="s">
        <v>59</v>
      </c>
      <c r="G21" s="3">
        <v>-1</v>
      </c>
      <c r="H21" s="3">
        <v>-1</v>
      </c>
      <c r="I21" s="3">
        <v>-1</v>
      </c>
      <c r="J21" s="3">
        <v>0</v>
      </c>
      <c r="K21" s="3">
        <v>0</v>
      </c>
      <c r="L21" s="4">
        <v>56</v>
      </c>
      <c r="M21" s="4">
        <v>-1</v>
      </c>
      <c r="N21" s="4">
        <v>2</v>
      </c>
      <c r="O21" s="4">
        <v>99</v>
      </c>
      <c r="P21" s="4">
        <v>-1</v>
      </c>
      <c r="Q21" s="4">
        <v>-1</v>
      </c>
      <c r="R21" s="3">
        <v>1</v>
      </c>
      <c r="S21" s="3">
        <v>0</v>
      </c>
      <c r="T21" s="3">
        <v>0</v>
      </c>
      <c r="U21" s="3">
        <v>0</v>
      </c>
      <c r="V21" s="3">
        <v>0</v>
      </c>
      <c r="W21" s="3">
        <v>-1</v>
      </c>
      <c r="X21" s="3">
        <v>-1</v>
      </c>
      <c r="Y21" s="3">
        <v>377</v>
      </c>
      <c r="Z21" s="3">
        <v>50</v>
      </c>
      <c r="AA21" s="3">
        <v>50</v>
      </c>
      <c r="AB21" s="4">
        <v>6840</v>
      </c>
      <c r="AC21" s="3">
        <v>50</v>
      </c>
      <c r="AD21" s="3">
        <v>-1</v>
      </c>
      <c r="AE21" s="3">
        <v>0</v>
      </c>
      <c r="AF21" s="3">
        <v>0</v>
      </c>
      <c r="AG21" s="3">
        <v>0</v>
      </c>
      <c r="AH21" s="3">
        <v>0</v>
      </c>
      <c r="AI21" s="4">
        <v>0</v>
      </c>
      <c r="AJ21" s="4">
        <v>30240000</v>
      </c>
      <c r="AK21" s="4">
        <v>3</v>
      </c>
      <c r="AL21" s="4">
        <v>12</v>
      </c>
      <c r="AM21" s="3">
        <v>604800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 t="str">
        <f t="shared" si="0"/>
        <v>tunhe019</v>
      </c>
      <c r="AZ21" s="4">
        <v>-1</v>
      </c>
      <c r="BA21" s="4">
        <v>2</v>
      </c>
      <c r="BB21" s="3"/>
    </row>
    <row r="22" spans="1:54" x14ac:dyDescent="0.25">
      <c r="A22" s="4" t="s">
        <v>84</v>
      </c>
      <c r="B22" s="4" t="s">
        <v>83</v>
      </c>
      <c r="C22" s="4">
        <v>16</v>
      </c>
      <c r="D22" s="4" t="s">
        <v>233</v>
      </c>
      <c r="E22" s="4">
        <v>0</v>
      </c>
      <c r="F22" s="4" t="s">
        <v>59</v>
      </c>
      <c r="G22" s="3">
        <v>-1</v>
      </c>
      <c r="H22" s="3">
        <v>-1</v>
      </c>
      <c r="I22" s="3">
        <v>-1</v>
      </c>
      <c r="J22" s="3">
        <v>0</v>
      </c>
      <c r="K22" s="3">
        <v>0</v>
      </c>
      <c r="L22" s="4">
        <v>61</v>
      </c>
      <c r="M22" s="4">
        <v>-1</v>
      </c>
      <c r="N22" s="4">
        <v>2</v>
      </c>
      <c r="O22" s="4">
        <v>99</v>
      </c>
      <c r="P22" s="4">
        <v>-1</v>
      </c>
      <c r="Q22" s="4">
        <v>-1</v>
      </c>
      <c r="R22" s="3">
        <v>1</v>
      </c>
      <c r="S22" s="3">
        <v>0</v>
      </c>
      <c r="T22" s="3">
        <v>0</v>
      </c>
      <c r="U22" s="3">
        <v>0</v>
      </c>
      <c r="V22" s="3">
        <v>0</v>
      </c>
      <c r="W22" s="3">
        <v>-1</v>
      </c>
      <c r="X22" s="3">
        <v>-1</v>
      </c>
      <c r="Y22" s="3">
        <v>414</v>
      </c>
      <c r="Z22" s="3">
        <v>50</v>
      </c>
      <c r="AA22" s="3">
        <v>50</v>
      </c>
      <c r="AB22" s="4">
        <v>8208</v>
      </c>
      <c r="AC22" s="3">
        <v>50</v>
      </c>
      <c r="AD22" s="3">
        <v>-1</v>
      </c>
      <c r="AE22" s="3">
        <v>0</v>
      </c>
      <c r="AF22" s="3">
        <v>0</v>
      </c>
      <c r="AG22" s="3">
        <v>0</v>
      </c>
      <c r="AH22" s="3">
        <v>0</v>
      </c>
      <c r="AI22" s="4">
        <v>0</v>
      </c>
      <c r="AJ22" s="4">
        <v>37800000</v>
      </c>
      <c r="AK22" s="4">
        <v>3</v>
      </c>
      <c r="AL22" s="4">
        <v>15</v>
      </c>
      <c r="AM22" s="3">
        <v>756000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 t="str">
        <f t="shared" si="0"/>
        <v>tunhe020</v>
      </c>
      <c r="AZ22" s="4">
        <v>-1</v>
      </c>
      <c r="BA22" s="4">
        <v>2</v>
      </c>
      <c r="BB22" s="3"/>
    </row>
    <row r="23" spans="1:54" x14ac:dyDescent="0.25">
      <c r="A23" s="4" t="s">
        <v>85</v>
      </c>
      <c r="B23" s="4" t="s">
        <v>86</v>
      </c>
      <c r="C23" s="4">
        <v>4</v>
      </c>
      <c r="D23" s="4" t="s">
        <v>234</v>
      </c>
      <c r="E23" s="4">
        <v>0</v>
      </c>
      <c r="F23" s="4" t="s">
        <v>87</v>
      </c>
      <c r="G23" s="3">
        <v>-1</v>
      </c>
      <c r="H23" s="3">
        <v>-1</v>
      </c>
      <c r="I23" s="3">
        <v>-1</v>
      </c>
      <c r="J23" s="3">
        <v>0</v>
      </c>
      <c r="K23" s="3">
        <v>0</v>
      </c>
      <c r="L23" s="4">
        <v>30</v>
      </c>
      <c r="M23" s="4">
        <v>-1</v>
      </c>
      <c r="N23" s="4">
        <v>2</v>
      </c>
      <c r="O23" s="4">
        <v>1</v>
      </c>
      <c r="P23" s="4">
        <v>-1</v>
      </c>
      <c r="Q23" s="4">
        <v>-1</v>
      </c>
      <c r="R23" s="3">
        <v>1</v>
      </c>
      <c r="S23" s="3">
        <v>0</v>
      </c>
      <c r="T23" s="3">
        <v>0</v>
      </c>
      <c r="U23" s="3">
        <v>0</v>
      </c>
      <c r="V23" s="3">
        <v>0</v>
      </c>
      <c r="W23" s="3">
        <v>-1</v>
      </c>
      <c r="X23" s="3">
        <v>-1</v>
      </c>
      <c r="Y23" s="3">
        <v>13</v>
      </c>
      <c r="Z23" s="3">
        <v>50</v>
      </c>
      <c r="AA23" s="3">
        <v>50</v>
      </c>
      <c r="AB23" s="4">
        <v>371</v>
      </c>
      <c r="AC23" s="3">
        <v>10</v>
      </c>
      <c r="AD23" s="3">
        <v>-1</v>
      </c>
      <c r="AE23" s="3">
        <v>0</v>
      </c>
      <c r="AF23" s="3">
        <v>0</v>
      </c>
      <c r="AG23" s="3">
        <v>0</v>
      </c>
      <c r="AH23" s="3">
        <v>0</v>
      </c>
      <c r="AI23" s="4">
        <v>0</v>
      </c>
      <c r="AJ23" s="4">
        <v>100000</v>
      </c>
      <c r="AK23" s="4">
        <v>1</v>
      </c>
      <c r="AL23" s="4">
        <v>1</v>
      </c>
      <c r="AM23" s="3">
        <v>2000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 t="str">
        <f t="shared" si="0"/>
        <v>tunhe021</v>
      </c>
      <c r="AZ23" s="4">
        <v>-1</v>
      </c>
      <c r="BA23" s="4">
        <v>2</v>
      </c>
      <c r="BB23" s="3"/>
    </row>
    <row r="24" spans="1:54" x14ac:dyDescent="0.25">
      <c r="A24" s="4" t="s">
        <v>88</v>
      </c>
      <c r="B24" s="4" t="s">
        <v>86</v>
      </c>
      <c r="C24" s="4">
        <v>4</v>
      </c>
      <c r="D24" s="4" t="s">
        <v>235</v>
      </c>
      <c r="E24" s="4">
        <v>0</v>
      </c>
      <c r="F24" s="4" t="s">
        <v>87</v>
      </c>
      <c r="G24" s="3">
        <v>-1</v>
      </c>
      <c r="H24" s="3">
        <v>-1</v>
      </c>
      <c r="I24" s="3">
        <v>-1</v>
      </c>
      <c r="J24" s="3">
        <v>0</v>
      </c>
      <c r="K24" s="3">
        <v>0</v>
      </c>
      <c r="L24" s="4">
        <v>30</v>
      </c>
      <c r="M24" s="4">
        <v>-1</v>
      </c>
      <c r="N24" s="4">
        <v>2</v>
      </c>
      <c r="O24" s="4">
        <v>12</v>
      </c>
      <c r="P24" s="4">
        <v>-1</v>
      </c>
      <c r="Q24" s="4">
        <v>-1</v>
      </c>
      <c r="R24" s="3">
        <v>1</v>
      </c>
      <c r="S24" s="3">
        <v>0</v>
      </c>
      <c r="T24" s="3">
        <v>0</v>
      </c>
      <c r="U24" s="3">
        <v>0</v>
      </c>
      <c r="V24" s="3">
        <v>0</v>
      </c>
      <c r="W24" s="3">
        <v>-1</v>
      </c>
      <c r="X24" s="3">
        <v>-1</v>
      </c>
      <c r="Y24" s="3">
        <v>14</v>
      </c>
      <c r="Z24" s="3">
        <v>50</v>
      </c>
      <c r="AA24" s="3">
        <v>50</v>
      </c>
      <c r="AB24" s="4">
        <v>371</v>
      </c>
      <c r="AC24" s="3">
        <v>12</v>
      </c>
      <c r="AD24" s="3">
        <v>-1</v>
      </c>
      <c r="AE24" s="3">
        <v>0</v>
      </c>
      <c r="AF24" s="3">
        <v>0</v>
      </c>
      <c r="AG24" s="3">
        <v>0</v>
      </c>
      <c r="AH24" s="3">
        <v>0</v>
      </c>
      <c r="AI24" s="4">
        <v>0</v>
      </c>
      <c r="AJ24" s="4">
        <v>200000</v>
      </c>
      <c r="AK24" s="4">
        <v>1</v>
      </c>
      <c r="AL24" s="4">
        <v>1</v>
      </c>
      <c r="AM24" s="3">
        <v>4000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 t="str">
        <f t="shared" si="0"/>
        <v>tunhe022</v>
      </c>
      <c r="AZ24" s="4">
        <v>-1</v>
      </c>
      <c r="BA24" s="4">
        <v>2</v>
      </c>
      <c r="BB24" s="3"/>
    </row>
    <row r="25" spans="1:54" x14ac:dyDescent="0.25">
      <c r="A25" s="4" t="s">
        <v>89</v>
      </c>
      <c r="B25" s="4" t="s">
        <v>257</v>
      </c>
      <c r="C25" s="4">
        <v>16</v>
      </c>
      <c r="D25" s="4" t="s">
        <v>262</v>
      </c>
      <c r="E25" s="4">
        <v>0</v>
      </c>
      <c r="F25" s="4" t="s">
        <v>87</v>
      </c>
      <c r="G25" s="3">
        <v>-1</v>
      </c>
      <c r="H25" s="3">
        <v>-1</v>
      </c>
      <c r="I25" s="3">
        <v>-1</v>
      </c>
      <c r="J25" s="3">
        <v>0</v>
      </c>
      <c r="K25" s="3">
        <v>0</v>
      </c>
      <c r="L25" s="4">
        <v>66</v>
      </c>
      <c r="M25" s="4">
        <v>-1</v>
      </c>
      <c r="N25" s="4">
        <v>2</v>
      </c>
      <c r="O25" s="4">
        <v>99</v>
      </c>
      <c r="P25" s="4">
        <v>-1</v>
      </c>
      <c r="Q25" s="4">
        <v>-1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-1</v>
      </c>
      <c r="X25" s="3">
        <v>-1</v>
      </c>
      <c r="Y25" s="3">
        <v>923</v>
      </c>
      <c r="Z25" s="3">
        <v>50</v>
      </c>
      <c r="AA25" s="3">
        <v>50</v>
      </c>
      <c r="AB25" s="4">
        <v>6912</v>
      </c>
      <c r="AC25" s="3">
        <v>15</v>
      </c>
      <c r="AD25" s="3">
        <v>-1</v>
      </c>
      <c r="AE25" s="3">
        <v>0</v>
      </c>
      <c r="AF25" s="3">
        <v>0</v>
      </c>
      <c r="AG25" s="3">
        <v>0</v>
      </c>
      <c r="AH25" s="3">
        <v>0</v>
      </c>
      <c r="AI25" s="4">
        <v>0</v>
      </c>
      <c r="AJ25" s="4">
        <v>45360000</v>
      </c>
      <c r="AK25" s="4">
        <v>3</v>
      </c>
      <c r="AL25" s="4">
        <v>9</v>
      </c>
      <c r="AM25" s="3">
        <v>142000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 t="str">
        <f t="shared" si="0"/>
        <v>tunhe023</v>
      </c>
      <c r="AZ25" s="4">
        <v>-1</v>
      </c>
      <c r="BA25" s="4">
        <v>2</v>
      </c>
      <c r="BB25" s="3"/>
    </row>
    <row r="26" spans="1:54" x14ac:dyDescent="0.25">
      <c r="A26" s="4" t="s">
        <v>90</v>
      </c>
      <c r="B26" s="4" t="s">
        <v>258</v>
      </c>
      <c r="C26" s="4">
        <v>18</v>
      </c>
      <c r="D26" s="4" t="s">
        <v>263</v>
      </c>
      <c r="E26" s="4">
        <v>0</v>
      </c>
      <c r="F26" s="4" t="s">
        <v>87</v>
      </c>
      <c r="G26" s="3">
        <v>-1</v>
      </c>
      <c r="H26" s="3">
        <v>-1</v>
      </c>
      <c r="I26" s="3">
        <v>-1</v>
      </c>
      <c r="J26" s="3">
        <v>0</v>
      </c>
      <c r="K26" s="3">
        <v>0</v>
      </c>
      <c r="L26" s="4">
        <v>71</v>
      </c>
      <c r="M26" s="4">
        <v>-1</v>
      </c>
      <c r="N26" s="4">
        <v>2</v>
      </c>
      <c r="O26" s="4">
        <v>99</v>
      </c>
      <c r="P26" s="4">
        <v>-1</v>
      </c>
      <c r="Q26" s="4">
        <v>-1</v>
      </c>
      <c r="R26" s="3">
        <v>1</v>
      </c>
      <c r="S26" s="3">
        <v>0</v>
      </c>
      <c r="T26" s="3">
        <v>0</v>
      </c>
      <c r="U26" s="3">
        <v>0</v>
      </c>
      <c r="V26" s="3">
        <v>0</v>
      </c>
      <c r="W26" s="3">
        <v>-1</v>
      </c>
      <c r="X26" s="3">
        <v>-1</v>
      </c>
      <c r="Y26" s="3">
        <v>923</v>
      </c>
      <c r="Z26" s="3">
        <v>50</v>
      </c>
      <c r="AA26" s="3">
        <v>50</v>
      </c>
      <c r="AB26" s="4">
        <v>15300</v>
      </c>
      <c r="AC26" s="3">
        <v>20</v>
      </c>
      <c r="AD26" s="3">
        <v>-1</v>
      </c>
      <c r="AE26" s="3">
        <v>0</v>
      </c>
      <c r="AF26" s="3">
        <v>0</v>
      </c>
      <c r="AG26" s="3">
        <v>0</v>
      </c>
      <c r="AH26" s="3">
        <v>0</v>
      </c>
      <c r="AI26" s="4">
        <v>0</v>
      </c>
      <c r="AJ26" s="4">
        <v>75000000</v>
      </c>
      <c r="AK26" s="4">
        <v>3</v>
      </c>
      <c r="AL26" s="4">
        <v>10</v>
      </c>
      <c r="AM26" s="3">
        <v>142000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 t="str">
        <f t="shared" si="0"/>
        <v>tunhe024</v>
      </c>
      <c r="AZ26" s="4">
        <v>-1</v>
      </c>
      <c r="BA26" s="4">
        <v>2</v>
      </c>
      <c r="BB26" s="3"/>
    </row>
    <row r="27" spans="1:54" x14ac:dyDescent="0.25">
      <c r="A27" s="4" t="s">
        <v>91</v>
      </c>
      <c r="B27" s="4" t="s">
        <v>86</v>
      </c>
      <c r="C27" s="4">
        <v>100</v>
      </c>
      <c r="D27" s="4" t="s">
        <v>261</v>
      </c>
      <c r="E27" s="4">
        <v>0</v>
      </c>
      <c r="F27" s="4" t="s">
        <v>87</v>
      </c>
      <c r="G27" s="3">
        <v>-1</v>
      </c>
      <c r="H27" s="3">
        <v>-1</v>
      </c>
      <c r="I27" s="3">
        <v>-1</v>
      </c>
      <c r="J27" s="3">
        <v>0</v>
      </c>
      <c r="K27" s="3">
        <v>0</v>
      </c>
      <c r="L27" s="4">
        <v>100</v>
      </c>
      <c r="M27" s="4">
        <v>-1</v>
      </c>
      <c r="N27" s="4">
        <v>2</v>
      </c>
      <c r="O27" s="4">
        <v>100</v>
      </c>
      <c r="P27" s="4">
        <v>-1</v>
      </c>
      <c r="Q27" s="4">
        <v>-1</v>
      </c>
      <c r="R27" s="3">
        <v>1</v>
      </c>
      <c r="S27" s="3">
        <v>0</v>
      </c>
      <c r="T27" s="3">
        <v>0</v>
      </c>
      <c r="U27" s="3">
        <v>0</v>
      </c>
      <c r="V27" s="3">
        <v>0</v>
      </c>
      <c r="W27" s="3">
        <v>-1</v>
      </c>
      <c r="X27" s="3">
        <v>-1</v>
      </c>
      <c r="Y27" s="3">
        <v>923</v>
      </c>
      <c r="Z27" s="3">
        <v>50</v>
      </c>
      <c r="AA27" s="3">
        <v>50</v>
      </c>
      <c r="AB27" s="4">
        <v>371</v>
      </c>
      <c r="AC27" s="3">
        <v>25</v>
      </c>
      <c r="AD27" s="3">
        <v>-1</v>
      </c>
      <c r="AE27" s="3">
        <v>0</v>
      </c>
      <c r="AF27" s="3">
        <v>0</v>
      </c>
      <c r="AG27" s="3">
        <v>0</v>
      </c>
      <c r="AH27" s="3">
        <v>0</v>
      </c>
      <c r="AI27" s="4">
        <v>0</v>
      </c>
      <c r="AJ27" s="4">
        <v>7100000</v>
      </c>
      <c r="AK27" s="4">
        <v>4</v>
      </c>
      <c r="AL27" s="4">
        <v>4</v>
      </c>
      <c r="AM27" s="3">
        <v>142000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str">
        <f t="shared" si="0"/>
        <v>tunhe025</v>
      </c>
      <c r="AZ27" s="4">
        <v>-1</v>
      </c>
      <c r="BA27" s="4">
        <v>2</v>
      </c>
      <c r="BB27" s="3"/>
    </row>
    <row r="28" spans="1:54" x14ac:dyDescent="0.25">
      <c r="A28" s="4" t="s">
        <v>92</v>
      </c>
      <c r="B28" s="4" t="s">
        <v>86</v>
      </c>
      <c r="C28" s="4">
        <v>4</v>
      </c>
      <c r="D28" s="4" t="s">
        <v>236</v>
      </c>
      <c r="E28" s="4">
        <v>0</v>
      </c>
      <c r="F28" s="4" t="s">
        <v>87</v>
      </c>
      <c r="G28" s="3">
        <v>-1</v>
      </c>
      <c r="H28" s="3">
        <v>-1</v>
      </c>
      <c r="I28" s="3">
        <v>-1</v>
      </c>
      <c r="J28" s="3">
        <v>0</v>
      </c>
      <c r="K28" s="3">
        <v>0</v>
      </c>
      <c r="L28" s="4">
        <v>35</v>
      </c>
      <c r="M28" s="4">
        <v>-1</v>
      </c>
      <c r="N28" s="4">
        <v>2</v>
      </c>
      <c r="O28" s="4">
        <v>57</v>
      </c>
      <c r="P28" s="4">
        <v>-1</v>
      </c>
      <c r="Q28" s="4">
        <v>-1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-1</v>
      </c>
      <c r="X28" s="3">
        <v>-1</v>
      </c>
      <c r="Y28" s="3">
        <v>78</v>
      </c>
      <c r="Z28" s="3">
        <v>50</v>
      </c>
      <c r="AA28" s="3">
        <v>50</v>
      </c>
      <c r="AB28" s="4">
        <v>872</v>
      </c>
      <c r="AC28" s="3">
        <v>30</v>
      </c>
      <c r="AD28" s="3">
        <v>-1</v>
      </c>
      <c r="AE28" s="3">
        <v>0</v>
      </c>
      <c r="AF28" s="3">
        <v>0</v>
      </c>
      <c r="AG28" s="3">
        <v>0</v>
      </c>
      <c r="AH28" s="3">
        <v>0</v>
      </c>
      <c r="AI28" s="4">
        <v>0</v>
      </c>
      <c r="AJ28" s="4">
        <v>600000</v>
      </c>
      <c r="AK28" s="4">
        <v>1</v>
      </c>
      <c r="AL28" s="4">
        <v>1</v>
      </c>
      <c r="AM28" s="3">
        <v>12000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 t="str">
        <f t="shared" si="0"/>
        <v>tunhe026</v>
      </c>
      <c r="AZ28" s="4">
        <v>-1</v>
      </c>
      <c r="BA28" s="4">
        <v>2</v>
      </c>
      <c r="BB28" s="3"/>
    </row>
    <row r="29" spans="1:54" x14ac:dyDescent="0.25">
      <c r="A29" s="4" t="s">
        <v>93</v>
      </c>
      <c r="B29" s="4" t="s">
        <v>86</v>
      </c>
      <c r="C29" s="4">
        <v>4</v>
      </c>
      <c r="D29" s="4" t="s">
        <v>237</v>
      </c>
      <c r="E29" s="4">
        <v>0</v>
      </c>
      <c r="F29" s="4" t="s">
        <v>87</v>
      </c>
      <c r="G29" s="3">
        <v>-1</v>
      </c>
      <c r="H29" s="3">
        <v>-1</v>
      </c>
      <c r="I29" s="3">
        <v>-1</v>
      </c>
      <c r="J29" s="3">
        <v>0</v>
      </c>
      <c r="K29" s="3">
        <v>0</v>
      </c>
      <c r="L29" s="4">
        <v>37</v>
      </c>
      <c r="M29" s="4">
        <v>-1</v>
      </c>
      <c r="N29" s="4">
        <v>2</v>
      </c>
      <c r="O29" s="4">
        <v>63</v>
      </c>
      <c r="P29" s="4">
        <v>-1</v>
      </c>
      <c r="Q29" s="4">
        <v>-1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3">
        <v>-1</v>
      </c>
      <c r="X29" s="3">
        <v>-1</v>
      </c>
      <c r="Y29" s="3">
        <v>104</v>
      </c>
      <c r="Z29" s="3">
        <v>50</v>
      </c>
      <c r="AA29" s="3">
        <v>50</v>
      </c>
      <c r="AB29" s="4">
        <v>872</v>
      </c>
      <c r="AC29" s="3">
        <v>35</v>
      </c>
      <c r="AD29" s="3">
        <v>-1</v>
      </c>
      <c r="AE29" s="3">
        <v>0</v>
      </c>
      <c r="AF29" s="3">
        <v>0</v>
      </c>
      <c r="AG29" s="3">
        <v>0</v>
      </c>
      <c r="AH29" s="3">
        <v>0</v>
      </c>
      <c r="AI29" s="4">
        <v>0</v>
      </c>
      <c r="AJ29" s="4">
        <v>800000</v>
      </c>
      <c r="AK29" s="4">
        <v>1</v>
      </c>
      <c r="AL29" s="4">
        <v>1</v>
      </c>
      <c r="AM29" s="3">
        <v>16000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 t="str">
        <f t="shared" si="0"/>
        <v>tunhe027</v>
      </c>
      <c r="AZ29" s="4">
        <v>-1</v>
      </c>
      <c r="BA29" s="4">
        <v>2</v>
      </c>
      <c r="BB29" s="3"/>
    </row>
    <row r="30" spans="1:54" x14ac:dyDescent="0.25">
      <c r="A30" s="4" t="s">
        <v>94</v>
      </c>
      <c r="B30" s="4" t="s">
        <v>95</v>
      </c>
      <c r="C30" s="4">
        <v>100</v>
      </c>
      <c r="D30" s="4" t="s">
        <v>261</v>
      </c>
      <c r="E30" s="4">
        <v>0</v>
      </c>
      <c r="F30" s="4" t="s">
        <v>87</v>
      </c>
      <c r="G30" s="3">
        <v>-1</v>
      </c>
      <c r="H30" s="3">
        <v>-1</v>
      </c>
      <c r="I30" s="3">
        <v>-1</v>
      </c>
      <c r="J30" s="3">
        <v>0</v>
      </c>
      <c r="K30" s="3">
        <v>0</v>
      </c>
      <c r="L30" s="4">
        <v>100</v>
      </c>
      <c r="M30" s="4">
        <v>-1</v>
      </c>
      <c r="N30" s="4">
        <v>2</v>
      </c>
      <c r="O30" s="4">
        <v>100</v>
      </c>
      <c r="P30" s="4">
        <v>-1</v>
      </c>
      <c r="Q30" s="4">
        <v>-1</v>
      </c>
      <c r="R30" s="3">
        <v>1</v>
      </c>
      <c r="S30" s="3">
        <v>0</v>
      </c>
      <c r="T30" s="3">
        <v>0</v>
      </c>
      <c r="U30" s="3">
        <v>0</v>
      </c>
      <c r="V30" s="3">
        <v>0</v>
      </c>
      <c r="W30" s="3">
        <v>-1</v>
      </c>
      <c r="X30" s="3">
        <v>-1</v>
      </c>
      <c r="Y30" s="3">
        <v>923</v>
      </c>
      <c r="Z30" s="3">
        <v>50</v>
      </c>
      <c r="AA30" s="3">
        <v>50</v>
      </c>
      <c r="AB30" s="4">
        <v>153</v>
      </c>
      <c r="AC30" s="3">
        <v>50</v>
      </c>
      <c r="AD30" s="3">
        <v>-1</v>
      </c>
      <c r="AE30" s="3">
        <v>0</v>
      </c>
      <c r="AF30" s="3">
        <v>0</v>
      </c>
      <c r="AG30" s="3">
        <v>0</v>
      </c>
      <c r="AH30" s="3">
        <v>0</v>
      </c>
      <c r="AI30" s="4">
        <v>0</v>
      </c>
      <c r="AJ30" s="4">
        <v>7100000</v>
      </c>
      <c r="AK30" s="4">
        <v>4</v>
      </c>
      <c r="AL30" s="4">
        <v>4</v>
      </c>
      <c r="AM30" s="3">
        <v>142000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 t="str">
        <f t="shared" si="0"/>
        <v>tunhe028</v>
      </c>
      <c r="AZ30" s="4">
        <v>-1</v>
      </c>
      <c r="BA30" s="4">
        <v>2</v>
      </c>
      <c r="BB30" s="3"/>
    </row>
    <row r="31" spans="1:54" x14ac:dyDescent="0.25">
      <c r="A31" s="4" t="s">
        <v>96</v>
      </c>
      <c r="B31" s="4" t="s">
        <v>97</v>
      </c>
      <c r="C31" s="4">
        <v>100</v>
      </c>
      <c r="D31" s="4" t="s">
        <v>261</v>
      </c>
      <c r="E31" s="4">
        <v>0</v>
      </c>
      <c r="F31" s="4" t="s">
        <v>87</v>
      </c>
      <c r="G31" s="3">
        <v>-1</v>
      </c>
      <c r="H31" s="3">
        <v>-1</v>
      </c>
      <c r="I31" s="3">
        <v>-1</v>
      </c>
      <c r="J31" s="3">
        <v>0</v>
      </c>
      <c r="K31" s="3">
        <v>0</v>
      </c>
      <c r="L31" s="4">
        <v>100</v>
      </c>
      <c r="M31" s="4">
        <v>-1</v>
      </c>
      <c r="N31" s="4">
        <v>2</v>
      </c>
      <c r="O31" s="4">
        <v>100</v>
      </c>
      <c r="P31" s="4">
        <v>-1</v>
      </c>
      <c r="Q31" s="4">
        <v>-1</v>
      </c>
      <c r="R31" s="3">
        <v>1</v>
      </c>
      <c r="S31" s="3">
        <v>0</v>
      </c>
      <c r="T31" s="3">
        <v>0</v>
      </c>
      <c r="U31" s="3">
        <v>0</v>
      </c>
      <c r="V31" s="3">
        <v>0</v>
      </c>
      <c r="W31" s="3">
        <v>-1</v>
      </c>
      <c r="X31" s="3">
        <v>-1</v>
      </c>
      <c r="Y31" s="3">
        <v>923</v>
      </c>
      <c r="Z31" s="3">
        <v>50</v>
      </c>
      <c r="AA31" s="3">
        <v>50</v>
      </c>
      <c r="AB31" s="4">
        <v>153</v>
      </c>
      <c r="AC31" s="3">
        <v>50</v>
      </c>
      <c r="AD31" s="3">
        <v>-1</v>
      </c>
      <c r="AE31" s="3">
        <v>0</v>
      </c>
      <c r="AF31" s="3">
        <v>0</v>
      </c>
      <c r="AG31" s="3">
        <v>0</v>
      </c>
      <c r="AH31" s="3">
        <v>0</v>
      </c>
      <c r="AI31" s="4">
        <v>0</v>
      </c>
      <c r="AJ31" s="4">
        <v>7100000</v>
      </c>
      <c r="AK31" s="4">
        <v>4</v>
      </c>
      <c r="AL31" s="4">
        <v>4</v>
      </c>
      <c r="AM31" s="3">
        <v>142000</v>
      </c>
      <c r="AN31" s="3">
        <v>0</v>
      </c>
      <c r="AO31" s="3">
        <v>0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 t="str">
        <f t="shared" si="0"/>
        <v>tunhe029</v>
      </c>
      <c r="AZ31" s="4">
        <v>-1</v>
      </c>
      <c r="BA31" s="4">
        <v>2</v>
      </c>
      <c r="BB31" s="3"/>
    </row>
    <row r="32" spans="1:54" x14ac:dyDescent="0.25">
      <c r="A32" s="4" t="s">
        <v>98</v>
      </c>
      <c r="B32" s="4" t="s">
        <v>99</v>
      </c>
      <c r="C32" s="4">
        <v>5</v>
      </c>
      <c r="D32" s="4" t="s">
        <v>238</v>
      </c>
      <c r="E32" s="4">
        <v>0</v>
      </c>
      <c r="F32" s="4" t="s">
        <v>87</v>
      </c>
      <c r="G32" s="3">
        <v>-1</v>
      </c>
      <c r="H32" s="3">
        <v>-1</v>
      </c>
      <c r="I32" s="3">
        <v>-1</v>
      </c>
      <c r="J32" s="3">
        <v>0</v>
      </c>
      <c r="K32" s="3">
        <v>0</v>
      </c>
      <c r="L32" s="4">
        <v>40</v>
      </c>
      <c r="M32" s="4">
        <v>-1</v>
      </c>
      <c r="N32" s="4">
        <v>2</v>
      </c>
      <c r="O32" s="4">
        <v>72</v>
      </c>
      <c r="P32" s="4">
        <v>-1</v>
      </c>
      <c r="Q32" s="4">
        <v>-1</v>
      </c>
      <c r="R32" s="3">
        <v>1</v>
      </c>
      <c r="S32" s="3">
        <v>0</v>
      </c>
      <c r="T32" s="3">
        <v>0</v>
      </c>
      <c r="U32" s="3">
        <v>0</v>
      </c>
      <c r="V32" s="3">
        <v>0</v>
      </c>
      <c r="W32" s="3">
        <v>-1</v>
      </c>
      <c r="X32" s="3">
        <v>-1</v>
      </c>
      <c r="Y32" s="3">
        <v>143</v>
      </c>
      <c r="Z32" s="3">
        <v>50</v>
      </c>
      <c r="AA32" s="3">
        <v>50</v>
      </c>
      <c r="AB32" s="4">
        <v>1162</v>
      </c>
      <c r="AC32" s="3">
        <v>50</v>
      </c>
      <c r="AD32" s="3">
        <v>-1</v>
      </c>
      <c r="AE32" s="3">
        <v>0</v>
      </c>
      <c r="AF32" s="3">
        <v>0</v>
      </c>
      <c r="AG32" s="3">
        <v>0</v>
      </c>
      <c r="AH32" s="3">
        <v>0</v>
      </c>
      <c r="AI32" s="4">
        <v>0</v>
      </c>
      <c r="AJ32" s="4">
        <v>1100000</v>
      </c>
      <c r="AK32" s="4">
        <v>1</v>
      </c>
      <c r="AL32" s="4">
        <v>1</v>
      </c>
      <c r="AM32" s="3">
        <v>22000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 t="str">
        <f t="shared" si="0"/>
        <v>tunhe030</v>
      </c>
      <c r="AZ32" s="4">
        <v>-1</v>
      </c>
      <c r="BA32" s="4">
        <v>2</v>
      </c>
      <c r="BB32" s="3"/>
    </row>
    <row r="33" spans="1:54" x14ac:dyDescent="0.25">
      <c r="A33" s="4" t="s">
        <v>100</v>
      </c>
      <c r="B33" s="4" t="s">
        <v>99</v>
      </c>
      <c r="C33" s="4">
        <v>5</v>
      </c>
      <c r="D33" s="4" t="s">
        <v>239</v>
      </c>
      <c r="E33" s="4">
        <v>0</v>
      </c>
      <c r="F33" s="4" t="s">
        <v>87</v>
      </c>
      <c r="G33" s="3">
        <v>-1</v>
      </c>
      <c r="H33" s="3">
        <v>-1</v>
      </c>
      <c r="I33" s="3">
        <v>-1</v>
      </c>
      <c r="J33" s="3">
        <v>0</v>
      </c>
      <c r="K33" s="3">
        <v>0</v>
      </c>
      <c r="L33" s="4">
        <v>42</v>
      </c>
      <c r="M33" s="4">
        <v>-1</v>
      </c>
      <c r="N33" s="4">
        <v>2</v>
      </c>
      <c r="O33" s="4">
        <v>88</v>
      </c>
      <c r="P33" s="4">
        <v>-1</v>
      </c>
      <c r="Q33" s="4">
        <v>-1</v>
      </c>
      <c r="R33" s="3">
        <v>1</v>
      </c>
      <c r="S33" s="3">
        <v>0</v>
      </c>
      <c r="T33" s="3">
        <v>0</v>
      </c>
      <c r="U33" s="3">
        <v>0</v>
      </c>
      <c r="V33" s="3">
        <v>0</v>
      </c>
      <c r="W33" s="3">
        <v>-1</v>
      </c>
      <c r="X33" s="3">
        <v>-1</v>
      </c>
      <c r="Y33" s="3">
        <v>169</v>
      </c>
      <c r="Z33" s="3">
        <v>50</v>
      </c>
      <c r="AA33" s="3">
        <v>50</v>
      </c>
      <c r="AB33" s="4">
        <v>1269</v>
      </c>
      <c r="AC33" s="3">
        <v>50</v>
      </c>
      <c r="AD33" s="3">
        <v>-1</v>
      </c>
      <c r="AE33" s="3">
        <v>0</v>
      </c>
      <c r="AF33" s="3">
        <v>0</v>
      </c>
      <c r="AG33" s="3">
        <v>0</v>
      </c>
      <c r="AH33" s="3">
        <v>0</v>
      </c>
      <c r="AI33" s="4">
        <v>0</v>
      </c>
      <c r="AJ33" s="4">
        <v>1300000</v>
      </c>
      <c r="AK33" s="4">
        <v>1</v>
      </c>
      <c r="AL33" s="4">
        <v>1</v>
      </c>
      <c r="AM33" s="3">
        <v>26000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 t="str">
        <f t="shared" si="0"/>
        <v>tunhe031</v>
      </c>
      <c r="AZ33" s="4">
        <v>-1</v>
      </c>
      <c r="BA33" s="4">
        <v>2</v>
      </c>
      <c r="BB33" s="3"/>
    </row>
    <row r="34" spans="1:54" s="9" customFormat="1" x14ac:dyDescent="0.25">
      <c r="A34" s="7" t="s">
        <v>101</v>
      </c>
      <c r="B34" s="7" t="s">
        <v>99</v>
      </c>
      <c r="C34" s="7">
        <v>5</v>
      </c>
      <c r="D34" s="7" t="s">
        <v>240</v>
      </c>
      <c r="E34" s="7">
        <v>0</v>
      </c>
      <c r="F34" s="7" t="s">
        <v>87</v>
      </c>
      <c r="G34" s="8">
        <v>-1</v>
      </c>
      <c r="H34" s="8">
        <v>-1</v>
      </c>
      <c r="I34" s="8">
        <v>-1</v>
      </c>
      <c r="J34" s="8">
        <v>0</v>
      </c>
      <c r="K34" s="8">
        <v>0</v>
      </c>
      <c r="L34" s="7">
        <v>48</v>
      </c>
      <c r="M34" s="7">
        <v>-1</v>
      </c>
      <c r="N34" s="7">
        <v>2</v>
      </c>
      <c r="O34" s="7">
        <v>93</v>
      </c>
      <c r="P34" s="7">
        <v>-1</v>
      </c>
      <c r="Q34" s="7">
        <v>-1</v>
      </c>
      <c r="R34" s="8">
        <v>1</v>
      </c>
      <c r="S34" s="8">
        <v>0</v>
      </c>
      <c r="T34" s="8">
        <v>0</v>
      </c>
      <c r="U34" s="8">
        <v>0</v>
      </c>
      <c r="V34" s="8">
        <v>0</v>
      </c>
      <c r="W34" s="8">
        <v>-1</v>
      </c>
      <c r="X34" s="8">
        <v>-1</v>
      </c>
      <c r="Y34" s="8">
        <v>247</v>
      </c>
      <c r="Z34" s="8">
        <v>50</v>
      </c>
      <c r="AA34" s="8">
        <v>50</v>
      </c>
      <c r="AB34" s="7">
        <v>1025</v>
      </c>
      <c r="AC34" s="8">
        <v>50</v>
      </c>
      <c r="AD34" s="8">
        <v>-1</v>
      </c>
      <c r="AE34" s="8">
        <v>0</v>
      </c>
      <c r="AF34" s="8">
        <v>0</v>
      </c>
      <c r="AG34" s="8">
        <v>0</v>
      </c>
      <c r="AH34" s="8">
        <v>0</v>
      </c>
      <c r="AI34" s="7">
        <v>0</v>
      </c>
      <c r="AJ34" s="7">
        <v>6272726</v>
      </c>
      <c r="AK34" s="7">
        <v>1</v>
      </c>
      <c r="AL34" s="7">
        <v>1</v>
      </c>
      <c r="AM34" s="7">
        <v>909091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tr">
        <f t="shared" si="0"/>
        <v>tunhe032</v>
      </c>
      <c r="AZ34" s="7">
        <v>-1</v>
      </c>
      <c r="BA34" s="7">
        <v>2</v>
      </c>
      <c r="BB34" s="8"/>
    </row>
    <row r="35" spans="1:54" x14ac:dyDescent="0.25">
      <c r="A35" s="4" t="s">
        <v>102</v>
      </c>
      <c r="B35" s="4" t="s">
        <v>103</v>
      </c>
      <c r="C35" s="4">
        <v>6</v>
      </c>
      <c r="D35" s="4" t="s">
        <v>241</v>
      </c>
      <c r="E35" s="4">
        <v>0</v>
      </c>
      <c r="F35" s="4" t="s">
        <v>87</v>
      </c>
      <c r="G35" s="3">
        <v>-1</v>
      </c>
      <c r="H35" s="3">
        <v>-1</v>
      </c>
      <c r="I35" s="3">
        <v>-1</v>
      </c>
      <c r="J35" s="3">
        <v>0</v>
      </c>
      <c r="K35" s="3">
        <v>0</v>
      </c>
      <c r="L35" s="6">
        <v>51</v>
      </c>
      <c r="M35" s="4">
        <v>-1</v>
      </c>
      <c r="N35" s="4">
        <v>2</v>
      </c>
      <c r="O35" s="4">
        <v>99</v>
      </c>
      <c r="P35" s="4">
        <v>-1</v>
      </c>
      <c r="Q35" s="4">
        <v>-1</v>
      </c>
      <c r="R35" s="3">
        <v>1</v>
      </c>
      <c r="S35" s="3">
        <v>0</v>
      </c>
      <c r="T35" s="3">
        <v>0</v>
      </c>
      <c r="U35" s="3">
        <v>0</v>
      </c>
      <c r="V35" s="3">
        <v>0</v>
      </c>
      <c r="W35" s="3">
        <v>-1</v>
      </c>
      <c r="X35" s="3">
        <v>-1</v>
      </c>
      <c r="Y35" s="3">
        <v>273</v>
      </c>
      <c r="Z35" s="3">
        <v>50</v>
      </c>
      <c r="AA35" s="3">
        <v>50</v>
      </c>
      <c r="AB35" s="4">
        <v>1589</v>
      </c>
      <c r="AC35" s="3">
        <v>50</v>
      </c>
      <c r="AD35" s="3">
        <v>-1</v>
      </c>
      <c r="AE35" s="3">
        <v>0</v>
      </c>
      <c r="AF35" s="3">
        <v>0</v>
      </c>
      <c r="AG35" s="3">
        <v>0</v>
      </c>
      <c r="AH35" s="3">
        <v>0</v>
      </c>
      <c r="AI35" s="4">
        <v>0</v>
      </c>
      <c r="AJ35" s="4">
        <v>2100000</v>
      </c>
      <c r="AK35" s="4">
        <v>2</v>
      </c>
      <c r="AL35" s="4">
        <v>2</v>
      </c>
      <c r="AM35" s="3">
        <v>42000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 t="str">
        <f t="shared" si="0"/>
        <v>tunhe033</v>
      </c>
      <c r="AZ35" s="4">
        <v>-1</v>
      </c>
      <c r="BA35" s="4">
        <v>2</v>
      </c>
      <c r="BB35" s="3"/>
    </row>
    <row r="36" spans="1:54" x14ac:dyDescent="0.25">
      <c r="A36" s="4" t="s">
        <v>104</v>
      </c>
      <c r="B36" s="4" t="s">
        <v>103</v>
      </c>
      <c r="C36" s="4">
        <v>6</v>
      </c>
      <c r="D36" s="4" t="s">
        <v>242</v>
      </c>
      <c r="E36" s="4">
        <v>0</v>
      </c>
      <c r="F36" s="4" t="s">
        <v>87</v>
      </c>
      <c r="G36" s="3">
        <v>-1</v>
      </c>
      <c r="H36" s="3">
        <v>-1</v>
      </c>
      <c r="I36" s="3">
        <v>-1</v>
      </c>
      <c r="J36" s="3">
        <v>0</v>
      </c>
      <c r="K36" s="3">
        <v>0</v>
      </c>
      <c r="L36" s="6">
        <v>51</v>
      </c>
      <c r="M36" s="4">
        <v>-1</v>
      </c>
      <c r="N36" s="4">
        <v>2</v>
      </c>
      <c r="O36" s="4">
        <v>99</v>
      </c>
      <c r="P36" s="4">
        <v>-1</v>
      </c>
      <c r="Q36" s="4">
        <v>-1</v>
      </c>
      <c r="R36" s="3">
        <v>1</v>
      </c>
      <c r="S36" s="3">
        <v>0</v>
      </c>
      <c r="T36" s="3">
        <v>0</v>
      </c>
      <c r="U36" s="3">
        <v>0</v>
      </c>
      <c r="V36" s="3">
        <v>0</v>
      </c>
      <c r="W36" s="3">
        <v>-1</v>
      </c>
      <c r="X36" s="3">
        <v>-1</v>
      </c>
      <c r="Y36" s="3">
        <v>300</v>
      </c>
      <c r="Z36" s="3">
        <v>50</v>
      </c>
      <c r="AA36" s="3">
        <v>50</v>
      </c>
      <c r="AB36" s="4">
        <v>1907</v>
      </c>
      <c r="AC36" s="3">
        <v>50</v>
      </c>
      <c r="AD36" s="3">
        <v>-1</v>
      </c>
      <c r="AE36" s="3">
        <v>0</v>
      </c>
      <c r="AF36" s="3">
        <v>0</v>
      </c>
      <c r="AG36" s="3">
        <v>0</v>
      </c>
      <c r="AH36" s="3">
        <v>0</v>
      </c>
      <c r="AI36" s="4">
        <v>0</v>
      </c>
      <c r="AJ36" s="4">
        <v>8400000</v>
      </c>
      <c r="AK36" s="4">
        <v>5</v>
      </c>
      <c r="AL36" s="4">
        <v>5</v>
      </c>
      <c r="AM36" s="3">
        <v>168000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 t="str">
        <f t="shared" si="0"/>
        <v>tunhe034</v>
      </c>
      <c r="AZ36" s="4">
        <v>-1</v>
      </c>
      <c r="BA36" s="4">
        <v>2</v>
      </c>
      <c r="BB36" s="3"/>
    </row>
    <row r="37" spans="1:54" x14ac:dyDescent="0.25">
      <c r="A37" s="4" t="s">
        <v>105</v>
      </c>
      <c r="B37" s="4" t="s">
        <v>103</v>
      </c>
      <c r="C37" s="4">
        <v>6</v>
      </c>
      <c r="D37" s="4" t="s">
        <v>243</v>
      </c>
      <c r="E37" s="4">
        <v>0</v>
      </c>
      <c r="F37" s="4" t="s">
        <v>87</v>
      </c>
      <c r="G37" s="3">
        <v>-1</v>
      </c>
      <c r="H37" s="3">
        <v>-1</v>
      </c>
      <c r="I37" s="3">
        <v>-1</v>
      </c>
      <c r="J37" s="3">
        <v>0</v>
      </c>
      <c r="K37" s="3">
        <v>0</v>
      </c>
      <c r="L37" s="6">
        <v>51</v>
      </c>
      <c r="M37" s="4">
        <v>-1</v>
      </c>
      <c r="N37" s="4">
        <v>2</v>
      </c>
      <c r="O37" s="4">
        <v>99</v>
      </c>
      <c r="P37" s="4">
        <v>-1</v>
      </c>
      <c r="Q37" s="4">
        <v>-1</v>
      </c>
      <c r="R37" s="3">
        <v>1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-1</v>
      </c>
      <c r="Y37" s="3">
        <v>327</v>
      </c>
      <c r="Z37" s="3">
        <v>50</v>
      </c>
      <c r="AA37" s="3">
        <v>50</v>
      </c>
      <c r="AB37" s="4">
        <v>2479</v>
      </c>
      <c r="AC37" s="3">
        <v>50</v>
      </c>
      <c r="AD37" s="3">
        <v>-1</v>
      </c>
      <c r="AE37" s="3">
        <v>0</v>
      </c>
      <c r="AF37" s="3">
        <v>0</v>
      </c>
      <c r="AG37" s="3">
        <v>0</v>
      </c>
      <c r="AH37" s="3">
        <v>0</v>
      </c>
      <c r="AI37" s="4">
        <v>0</v>
      </c>
      <c r="AJ37" s="4">
        <v>18900000</v>
      </c>
      <c r="AK37" s="4">
        <v>10</v>
      </c>
      <c r="AL37" s="4">
        <v>10</v>
      </c>
      <c r="AM37" s="3">
        <v>378000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str">
        <f t="shared" si="0"/>
        <v>tunhe035</v>
      </c>
      <c r="AZ37" s="4">
        <v>-1</v>
      </c>
      <c r="BA37" s="4">
        <v>2</v>
      </c>
      <c r="BB37" s="3"/>
    </row>
    <row r="38" spans="1:54" x14ac:dyDescent="0.25">
      <c r="A38" s="4" t="s">
        <v>106</v>
      </c>
      <c r="B38" s="4" t="s">
        <v>107</v>
      </c>
      <c r="C38" s="4">
        <v>8</v>
      </c>
      <c r="D38" s="4" t="s">
        <v>244</v>
      </c>
      <c r="E38" s="4">
        <v>0</v>
      </c>
      <c r="F38" s="4" t="s">
        <v>87</v>
      </c>
      <c r="G38" s="3">
        <v>-1</v>
      </c>
      <c r="H38" s="3">
        <v>-1</v>
      </c>
      <c r="I38" s="3">
        <v>-1</v>
      </c>
      <c r="J38" s="3">
        <v>0</v>
      </c>
      <c r="K38" s="3">
        <v>0</v>
      </c>
      <c r="L38" s="4">
        <v>51</v>
      </c>
      <c r="M38" s="4">
        <v>-1</v>
      </c>
      <c r="N38" s="4">
        <v>2</v>
      </c>
      <c r="O38" s="4">
        <v>99</v>
      </c>
      <c r="P38" s="4">
        <v>-1</v>
      </c>
      <c r="Q38" s="4">
        <v>-1</v>
      </c>
      <c r="R38" s="3">
        <v>1</v>
      </c>
      <c r="S38" s="3">
        <v>0</v>
      </c>
      <c r="T38" s="3">
        <v>0</v>
      </c>
      <c r="U38" s="3">
        <v>0</v>
      </c>
      <c r="V38" s="3">
        <v>0</v>
      </c>
      <c r="W38" s="3">
        <v>-1</v>
      </c>
      <c r="X38" s="3">
        <v>-1</v>
      </c>
      <c r="Y38" s="3">
        <v>338</v>
      </c>
      <c r="Z38" s="3">
        <v>50</v>
      </c>
      <c r="AA38" s="3">
        <v>50</v>
      </c>
      <c r="AB38" s="4">
        <v>2700</v>
      </c>
      <c r="AC38" s="3">
        <v>50</v>
      </c>
      <c r="AD38" s="3">
        <v>-1</v>
      </c>
      <c r="AE38" s="3">
        <v>0</v>
      </c>
      <c r="AF38" s="3">
        <v>0</v>
      </c>
      <c r="AG38" s="3">
        <v>0</v>
      </c>
      <c r="AH38" s="3">
        <v>0</v>
      </c>
      <c r="AI38" s="4">
        <v>0</v>
      </c>
      <c r="AJ38" s="4">
        <v>2100000</v>
      </c>
      <c r="AK38" s="4">
        <v>2</v>
      </c>
      <c r="AL38" s="4">
        <v>2</v>
      </c>
      <c r="AM38" s="3">
        <v>42000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 t="str">
        <f t="shared" si="0"/>
        <v>tunhe036</v>
      </c>
      <c r="AZ38" s="4">
        <v>-1</v>
      </c>
      <c r="BA38" s="4">
        <v>2</v>
      </c>
      <c r="BB38" s="3"/>
    </row>
    <row r="39" spans="1:54" x14ac:dyDescent="0.25">
      <c r="A39" s="4" t="s">
        <v>108</v>
      </c>
      <c r="B39" s="4" t="s">
        <v>107</v>
      </c>
      <c r="C39" s="4">
        <v>8</v>
      </c>
      <c r="D39" s="4" t="s">
        <v>245</v>
      </c>
      <c r="E39" s="4">
        <v>0</v>
      </c>
      <c r="F39" s="4" t="s">
        <v>87</v>
      </c>
      <c r="G39" s="3">
        <v>-1</v>
      </c>
      <c r="H39" s="3">
        <v>-1</v>
      </c>
      <c r="I39" s="3">
        <v>-1</v>
      </c>
      <c r="J39" s="3">
        <v>0</v>
      </c>
      <c r="K39" s="3">
        <v>0</v>
      </c>
      <c r="L39" s="4">
        <v>52</v>
      </c>
      <c r="M39" s="4">
        <v>-1</v>
      </c>
      <c r="N39" s="4">
        <v>2</v>
      </c>
      <c r="O39" s="4">
        <v>99</v>
      </c>
      <c r="P39" s="4">
        <v>-1</v>
      </c>
      <c r="Q39" s="4">
        <v>-1</v>
      </c>
      <c r="R39" s="3">
        <v>1</v>
      </c>
      <c r="S39" s="3">
        <v>0</v>
      </c>
      <c r="T39" s="3">
        <v>0</v>
      </c>
      <c r="U39" s="3">
        <v>0</v>
      </c>
      <c r="V39" s="3">
        <v>0</v>
      </c>
      <c r="W39" s="3">
        <v>-1</v>
      </c>
      <c r="X39" s="3">
        <v>-1</v>
      </c>
      <c r="Y39" s="3">
        <v>371</v>
      </c>
      <c r="Z39" s="3">
        <v>50</v>
      </c>
      <c r="AA39" s="3">
        <v>50</v>
      </c>
      <c r="AB39" s="4">
        <v>3200</v>
      </c>
      <c r="AC39" s="3">
        <v>50</v>
      </c>
      <c r="AD39" s="3">
        <v>-1</v>
      </c>
      <c r="AE39" s="3">
        <v>0</v>
      </c>
      <c r="AF39" s="3">
        <v>0</v>
      </c>
      <c r="AG39" s="3">
        <v>0</v>
      </c>
      <c r="AH39" s="3">
        <v>0</v>
      </c>
      <c r="AI39" s="4">
        <v>0</v>
      </c>
      <c r="AJ39" s="4">
        <v>8400000</v>
      </c>
      <c r="AK39" s="4">
        <v>5</v>
      </c>
      <c r="AL39" s="4">
        <v>5</v>
      </c>
      <c r="AM39" s="3">
        <v>168000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str">
        <f t="shared" si="0"/>
        <v>tunhe037</v>
      </c>
      <c r="AZ39" s="4">
        <v>-1</v>
      </c>
      <c r="BA39" s="4">
        <v>2</v>
      </c>
      <c r="BB39" s="3"/>
    </row>
    <row r="40" spans="1:54" x14ac:dyDescent="0.25">
      <c r="A40" s="4" t="s">
        <v>109</v>
      </c>
      <c r="B40" s="4" t="s">
        <v>107</v>
      </c>
      <c r="C40" s="4">
        <v>8</v>
      </c>
      <c r="D40" s="4" t="s">
        <v>246</v>
      </c>
      <c r="E40" s="4">
        <v>0</v>
      </c>
      <c r="F40" s="4" t="s">
        <v>87</v>
      </c>
      <c r="G40" s="3">
        <v>-1</v>
      </c>
      <c r="H40" s="3">
        <v>-1</v>
      </c>
      <c r="I40" s="3">
        <v>-1</v>
      </c>
      <c r="J40" s="3">
        <v>0</v>
      </c>
      <c r="K40" s="3">
        <v>0</v>
      </c>
      <c r="L40" s="4">
        <v>53</v>
      </c>
      <c r="M40" s="4">
        <v>-1</v>
      </c>
      <c r="N40" s="4">
        <v>2</v>
      </c>
      <c r="O40" s="4">
        <v>99</v>
      </c>
      <c r="P40" s="4">
        <v>-1</v>
      </c>
      <c r="Q40" s="4">
        <v>-1</v>
      </c>
      <c r="R40" s="3">
        <v>1</v>
      </c>
      <c r="S40" s="3">
        <v>0</v>
      </c>
      <c r="T40" s="3">
        <v>0</v>
      </c>
      <c r="U40" s="3">
        <v>0</v>
      </c>
      <c r="V40" s="3">
        <v>0</v>
      </c>
      <c r="W40" s="3">
        <v>-1</v>
      </c>
      <c r="X40" s="3">
        <v>-1</v>
      </c>
      <c r="Y40" s="3">
        <v>405</v>
      </c>
      <c r="Z40" s="3">
        <v>50</v>
      </c>
      <c r="AA40" s="3">
        <v>50</v>
      </c>
      <c r="AB40" s="4">
        <v>4000</v>
      </c>
      <c r="AC40" s="3">
        <v>50</v>
      </c>
      <c r="AD40" s="3">
        <v>-1</v>
      </c>
      <c r="AE40" s="3">
        <v>0</v>
      </c>
      <c r="AF40" s="3">
        <v>0</v>
      </c>
      <c r="AG40" s="3">
        <v>0</v>
      </c>
      <c r="AH40" s="3">
        <v>0</v>
      </c>
      <c r="AI40" s="4">
        <v>0</v>
      </c>
      <c r="AJ40" s="4">
        <v>18900000</v>
      </c>
      <c r="AK40" s="4">
        <v>10</v>
      </c>
      <c r="AL40" s="4">
        <v>10</v>
      </c>
      <c r="AM40" s="3">
        <v>378000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 t="str">
        <f t="shared" si="0"/>
        <v>tunhe038</v>
      </c>
      <c r="AZ40" s="4">
        <v>-1</v>
      </c>
      <c r="BA40" s="4">
        <v>2</v>
      </c>
      <c r="BB40" s="3"/>
    </row>
    <row r="41" spans="1:54" x14ac:dyDescent="0.25">
      <c r="A41" s="4" t="s">
        <v>110</v>
      </c>
      <c r="B41" s="4" t="s">
        <v>111</v>
      </c>
      <c r="C41" s="4">
        <v>16</v>
      </c>
      <c r="D41" s="4" t="s">
        <v>247</v>
      </c>
      <c r="E41" s="4">
        <v>0</v>
      </c>
      <c r="F41" s="4" t="s">
        <v>87</v>
      </c>
      <c r="G41" s="3">
        <v>-1</v>
      </c>
      <c r="H41" s="3">
        <v>-1</v>
      </c>
      <c r="I41" s="3">
        <v>-1</v>
      </c>
      <c r="J41" s="3">
        <v>0</v>
      </c>
      <c r="K41" s="3">
        <v>0</v>
      </c>
      <c r="L41" s="4">
        <v>56</v>
      </c>
      <c r="M41" s="4">
        <v>-1</v>
      </c>
      <c r="N41" s="4">
        <v>2</v>
      </c>
      <c r="O41" s="4">
        <v>99</v>
      </c>
      <c r="P41" s="4">
        <v>-1</v>
      </c>
      <c r="Q41" s="4">
        <v>-1</v>
      </c>
      <c r="R41" s="3">
        <v>1</v>
      </c>
      <c r="S41" s="3">
        <v>0</v>
      </c>
      <c r="T41" s="3">
        <v>0</v>
      </c>
      <c r="U41" s="3">
        <v>0</v>
      </c>
      <c r="V41" s="3">
        <v>0</v>
      </c>
      <c r="W41" s="3">
        <v>-1</v>
      </c>
      <c r="X41" s="3">
        <v>-1</v>
      </c>
      <c r="Y41" s="3">
        <v>445</v>
      </c>
      <c r="Z41" s="3">
        <v>50</v>
      </c>
      <c r="AA41" s="3">
        <v>50</v>
      </c>
      <c r="AB41" s="4">
        <v>4800</v>
      </c>
      <c r="AC41" s="3">
        <v>50</v>
      </c>
      <c r="AD41" s="3">
        <v>-1</v>
      </c>
      <c r="AE41" s="3">
        <v>0</v>
      </c>
      <c r="AF41" s="3">
        <v>0</v>
      </c>
      <c r="AG41" s="3">
        <v>0</v>
      </c>
      <c r="AH41" s="3">
        <v>0</v>
      </c>
      <c r="AI41" s="4">
        <v>0</v>
      </c>
      <c r="AJ41" s="4">
        <v>30240000</v>
      </c>
      <c r="AK41" s="4">
        <v>3</v>
      </c>
      <c r="AL41" s="4">
        <v>12</v>
      </c>
      <c r="AM41" s="3">
        <v>604800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str">
        <f t="shared" si="0"/>
        <v>tunhe039</v>
      </c>
      <c r="AZ41" s="4">
        <v>-1</v>
      </c>
      <c r="BA41" s="4">
        <v>2</v>
      </c>
      <c r="BB41" s="3"/>
    </row>
    <row r="42" spans="1:54" x14ac:dyDescent="0.25">
      <c r="A42" s="4" t="s">
        <v>112</v>
      </c>
      <c r="B42" s="4" t="s">
        <v>111</v>
      </c>
      <c r="C42" s="4">
        <v>16</v>
      </c>
      <c r="D42" s="4" t="s">
        <v>248</v>
      </c>
      <c r="E42" s="4">
        <v>0</v>
      </c>
      <c r="F42" s="4" t="s">
        <v>87</v>
      </c>
      <c r="G42" s="3">
        <v>-1</v>
      </c>
      <c r="H42" s="3">
        <v>-1</v>
      </c>
      <c r="I42" s="3">
        <v>-1</v>
      </c>
      <c r="J42" s="3">
        <v>0</v>
      </c>
      <c r="K42" s="3">
        <v>0</v>
      </c>
      <c r="L42" s="4">
        <v>61</v>
      </c>
      <c r="M42" s="4">
        <v>-1</v>
      </c>
      <c r="N42" s="4">
        <v>2</v>
      </c>
      <c r="O42" s="4">
        <v>99</v>
      </c>
      <c r="P42" s="4">
        <v>-1</v>
      </c>
      <c r="Q42" s="4">
        <v>-1</v>
      </c>
      <c r="R42" s="3">
        <v>1</v>
      </c>
      <c r="S42" s="3">
        <v>0</v>
      </c>
      <c r="T42" s="3">
        <v>0</v>
      </c>
      <c r="U42" s="3">
        <v>0</v>
      </c>
      <c r="V42" s="3">
        <v>0</v>
      </c>
      <c r="W42" s="3">
        <v>-1</v>
      </c>
      <c r="X42" s="3">
        <v>-1</v>
      </c>
      <c r="Y42" s="3">
        <v>489</v>
      </c>
      <c r="Z42" s="3">
        <v>50</v>
      </c>
      <c r="AA42" s="3">
        <v>50</v>
      </c>
      <c r="AB42" s="4">
        <v>5760</v>
      </c>
      <c r="AC42" s="3">
        <v>50</v>
      </c>
      <c r="AD42" s="3">
        <v>-1</v>
      </c>
      <c r="AE42" s="3">
        <v>0</v>
      </c>
      <c r="AF42" s="3">
        <v>0</v>
      </c>
      <c r="AG42" s="3">
        <v>0</v>
      </c>
      <c r="AH42" s="3">
        <v>0</v>
      </c>
      <c r="AI42" s="4">
        <v>0</v>
      </c>
      <c r="AJ42" s="4">
        <v>37800000</v>
      </c>
      <c r="AK42" s="4">
        <v>3</v>
      </c>
      <c r="AL42" s="4">
        <v>15</v>
      </c>
      <c r="AM42" s="3">
        <v>756000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 t="str">
        <f t="shared" si="0"/>
        <v>tunhe040</v>
      </c>
      <c r="AZ42" s="4">
        <v>-1</v>
      </c>
      <c r="BA42" s="4">
        <v>2</v>
      </c>
      <c r="BB42" s="3"/>
    </row>
    <row r="43" spans="1:54" x14ac:dyDescent="0.25">
      <c r="A43" s="4" t="s">
        <v>113</v>
      </c>
      <c r="B43" s="4" t="s">
        <v>114</v>
      </c>
      <c r="C43" s="4">
        <v>100</v>
      </c>
      <c r="D43" s="4" t="s">
        <v>261</v>
      </c>
      <c r="E43" s="4">
        <v>0</v>
      </c>
      <c r="F43" s="4" t="s">
        <v>115</v>
      </c>
      <c r="G43" s="3">
        <v>-1</v>
      </c>
      <c r="H43" s="3">
        <v>-1</v>
      </c>
      <c r="I43" s="3">
        <v>-1</v>
      </c>
      <c r="J43" s="3">
        <v>0</v>
      </c>
      <c r="K43" s="3">
        <v>0</v>
      </c>
      <c r="L43" s="4">
        <v>100</v>
      </c>
      <c r="M43" s="4">
        <v>-1</v>
      </c>
      <c r="N43" s="4">
        <v>2</v>
      </c>
      <c r="O43" s="4">
        <v>100</v>
      </c>
      <c r="P43" s="4">
        <v>-1</v>
      </c>
      <c r="Q43" s="4">
        <v>-1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-1</v>
      </c>
      <c r="X43" s="3">
        <v>-1</v>
      </c>
      <c r="Y43" s="3">
        <v>50</v>
      </c>
      <c r="Z43" s="3">
        <v>50</v>
      </c>
      <c r="AA43" s="3">
        <v>50</v>
      </c>
      <c r="AB43" s="4">
        <v>0</v>
      </c>
      <c r="AC43" s="3">
        <v>50</v>
      </c>
      <c r="AD43" s="3">
        <v>-1</v>
      </c>
      <c r="AE43" s="3">
        <v>0</v>
      </c>
      <c r="AF43" s="3">
        <v>0</v>
      </c>
      <c r="AG43" s="3">
        <v>0</v>
      </c>
      <c r="AH43" s="3">
        <v>0</v>
      </c>
      <c r="AI43" s="4">
        <v>0</v>
      </c>
      <c r="AJ43" s="4">
        <v>100000</v>
      </c>
      <c r="AK43" s="4">
        <v>0</v>
      </c>
      <c r="AL43" s="4">
        <v>0</v>
      </c>
      <c r="AM43" s="3">
        <v>2000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str">
        <f t="shared" si="0"/>
        <v>tunhe041</v>
      </c>
      <c r="AZ43" s="4">
        <v>-1</v>
      </c>
      <c r="BA43" s="4">
        <v>2</v>
      </c>
      <c r="BB43" s="3"/>
    </row>
    <row r="44" spans="1:54" x14ac:dyDescent="0.25">
      <c r="A44" s="4" t="s">
        <v>116</v>
      </c>
      <c r="B44" s="4" t="s">
        <v>117</v>
      </c>
      <c r="C44" s="4">
        <v>100</v>
      </c>
      <c r="D44" s="4" t="s">
        <v>261</v>
      </c>
      <c r="E44" s="4">
        <v>0</v>
      </c>
      <c r="F44" s="4" t="s">
        <v>115</v>
      </c>
      <c r="G44" s="3">
        <v>-1</v>
      </c>
      <c r="H44" s="3">
        <v>-1</v>
      </c>
      <c r="I44" s="3">
        <v>-1</v>
      </c>
      <c r="J44" s="3">
        <v>0</v>
      </c>
      <c r="K44" s="3">
        <v>0</v>
      </c>
      <c r="L44" s="4">
        <v>100</v>
      </c>
      <c r="M44" s="4">
        <v>-1</v>
      </c>
      <c r="N44" s="4">
        <v>2</v>
      </c>
      <c r="O44" s="4">
        <v>100</v>
      </c>
      <c r="P44" s="4">
        <v>-1</v>
      </c>
      <c r="Q44" s="4">
        <v>-1</v>
      </c>
      <c r="R44" s="3">
        <v>1</v>
      </c>
      <c r="S44" s="3">
        <v>0</v>
      </c>
      <c r="T44" s="3">
        <v>0</v>
      </c>
      <c r="U44" s="3">
        <v>0</v>
      </c>
      <c r="V44" s="3">
        <v>0</v>
      </c>
      <c r="W44" s="3">
        <v>-1</v>
      </c>
      <c r="X44" s="3">
        <v>-1</v>
      </c>
      <c r="Y44" s="3">
        <v>50</v>
      </c>
      <c r="Z44" s="3">
        <v>50</v>
      </c>
      <c r="AA44" s="3">
        <v>50</v>
      </c>
      <c r="AB44" s="4">
        <v>0</v>
      </c>
      <c r="AC44" s="3">
        <v>50</v>
      </c>
      <c r="AD44" s="3">
        <v>-1</v>
      </c>
      <c r="AE44" s="3">
        <v>0</v>
      </c>
      <c r="AF44" s="3">
        <v>0</v>
      </c>
      <c r="AG44" s="3">
        <v>0</v>
      </c>
      <c r="AH44" s="3">
        <v>0</v>
      </c>
      <c r="AI44" s="4">
        <v>0</v>
      </c>
      <c r="AJ44" s="4">
        <v>100000</v>
      </c>
      <c r="AK44" s="4">
        <v>0</v>
      </c>
      <c r="AL44" s="4">
        <v>0</v>
      </c>
      <c r="AM44" s="3">
        <v>2000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 t="str">
        <f t="shared" si="0"/>
        <v>tunhe042</v>
      </c>
      <c r="AZ44" s="4">
        <v>-1</v>
      </c>
      <c r="BA44" s="4">
        <v>2</v>
      </c>
      <c r="BB44" s="3"/>
    </row>
    <row r="45" spans="1:54" x14ac:dyDescent="0.25">
      <c r="A45" s="4" t="s">
        <v>118</v>
      </c>
      <c r="B45" s="4" t="s">
        <v>119</v>
      </c>
      <c r="C45" s="4">
        <v>100</v>
      </c>
      <c r="D45" s="4" t="s">
        <v>261</v>
      </c>
      <c r="E45" s="4">
        <v>0</v>
      </c>
      <c r="F45" s="4" t="s">
        <v>115</v>
      </c>
      <c r="G45" s="3">
        <v>-1</v>
      </c>
      <c r="H45" s="3">
        <v>-1</v>
      </c>
      <c r="I45" s="3">
        <v>-1</v>
      </c>
      <c r="J45" s="3">
        <v>0</v>
      </c>
      <c r="K45" s="3">
        <v>0</v>
      </c>
      <c r="L45" s="4">
        <v>100</v>
      </c>
      <c r="M45" s="4">
        <v>-1</v>
      </c>
      <c r="N45" s="4">
        <v>2</v>
      </c>
      <c r="O45" s="4">
        <v>100</v>
      </c>
      <c r="P45" s="4">
        <v>-1</v>
      </c>
      <c r="Q45" s="4">
        <v>-1</v>
      </c>
      <c r="R45" s="3">
        <v>1</v>
      </c>
      <c r="S45" s="3">
        <v>0</v>
      </c>
      <c r="T45" s="3">
        <v>0</v>
      </c>
      <c r="U45" s="3">
        <v>0</v>
      </c>
      <c r="V45" s="3">
        <v>0</v>
      </c>
      <c r="W45" s="3">
        <v>-1</v>
      </c>
      <c r="X45" s="3">
        <v>-1</v>
      </c>
      <c r="Y45" s="3">
        <v>50</v>
      </c>
      <c r="Z45" s="3">
        <v>50</v>
      </c>
      <c r="AA45" s="3">
        <v>50</v>
      </c>
      <c r="AB45" s="4">
        <v>0</v>
      </c>
      <c r="AC45" s="3">
        <v>50</v>
      </c>
      <c r="AD45" s="3">
        <v>-1</v>
      </c>
      <c r="AE45" s="3">
        <v>0</v>
      </c>
      <c r="AF45" s="3">
        <v>0</v>
      </c>
      <c r="AG45" s="3">
        <v>0</v>
      </c>
      <c r="AH45" s="3">
        <v>0</v>
      </c>
      <c r="AI45" s="4">
        <v>0</v>
      </c>
      <c r="AJ45" s="4">
        <v>100000</v>
      </c>
      <c r="AK45" s="4">
        <v>0</v>
      </c>
      <c r="AL45" s="4">
        <v>0</v>
      </c>
      <c r="AM45" s="3">
        <v>2000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 t="str">
        <f t="shared" si="0"/>
        <v>tunhe043</v>
      </c>
      <c r="AZ45" s="4">
        <v>-1</v>
      </c>
      <c r="BA45" s="4">
        <v>2</v>
      </c>
      <c r="BB45" s="3"/>
    </row>
    <row r="46" spans="1:54" x14ac:dyDescent="0.25">
      <c r="A46" s="4" t="s">
        <v>120</v>
      </c>
      <c r="B46" s="4" t="s">
        <v>121</v>
      </c>
      <c r="C46" s="4">
        <v>100</v>
      </c>
      <c r="D46" s="4" t="s">
        <v>261</v>
      </c>
      <c r="E46" s="4">
        <v>0</v>
      </c>
      <c r="F46" s="4" t="s">
        <v>115</v>
      </c>
      <c r="G46" s="3">
        <v>-1</v>
      </c>
      <c r="H46" s="3">
        <v>-1</v>
      </c>
      <c r="I46" s="3">
        <v>-1</v>
      </c>
      <c r="J46" s="3">
        <v>0</v>
      </c>
      <c r="K46" s="3">
        <v>0</v>
      </c>
      <c r="L46" s="4">
        <v>100</v>
      </c>
      <c r="M46" s="4">
        <v>-1</v>
      </c>
      <c r="N46" s="4">
        <v>2</v>
      </c>
      <c r="O46" s="4">
        <v>100</v>
      </c>
      <c r="P46" s="4">
        <v>-1</v>
      </c>
      <c r="Q46" s="4">
        <v>-1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-1</v>
      </c>
      <c r="X46" s="3">
        <v>-1</v>
      </c>
      <c r="Y46" s="3">
        <v>50</v>
      </c>
      <c r="Z46" s="3">
        <v>50</v>
      </c>
      <c r="AA46" s="3">
        <v>50</v>
      </c>
      <c r="AB46" s="4">
        <v>0</v>
      </c>
      <c r="AC46" s="3">
        <v>50</v>
      </c>
      <c r="AD46" s="3">
        <v>-1</v>
      </c>
      <c r="AE46" s="3">
        <v>0</v>
      </c>
      <c r="AF46" s="3">
        <v>0</v>
      </c>
      <c r="AG46" s="3">
        <v>0</v>
      </c>
      <c r="AH46" s="3">
        <v>0</v>
      </c>
      <c r="AI46" s="4">
        <v>0</v>
      </c>
      <c r="AJ46" s="4">
        <v>100000</v>
      </c>
      <c r="AK46" s="4">
        <v>0</v>
      </c>
      <c r="AL46" s="4">
        <v>0</v>
      </c>
      <c r="AM46" s="3">
        <v>2000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 t="str">
        <f t="shared" si="0"/>
        <v>tunhe044</v>
      </c>
      <c r="AZ46" s="4">
        <v>-1</v>
      </c>
      <c r="BA46" s="4">
        <v>2</v>
      </c>
      <c r="BB46" s="3"/>
    </row>
    <row r="47" spans="1:54" x14ac:dyDescent="0.25">
      <c r="A47" s="4" t="s">
        <v>122</v>
      </c>
      <c r="B47" s="4" t="s">
        <v>123</v>
      </c>
      <c r="C47" s="4">
        <v>100</v>
      </c>
      <c r="D47" s="4" t="s">
        <v>261</v>
      </c>
      <c r="E47" s="4">
        <v>0</v>
      </c>
      <c r="F47" s="4" t="s">
        <v>115</v>
      </c>
      <c r="G47" s="3">
        <v>-1</v>
      </c>
      <c r="H47" s="3">
        <v>-1</v>
      </c>
      <c r="I47" s="3">
        <v>-1</v>
      </c>
      <c r="J47" s="3">
        <v>0</v>
      </c>
      <c r="K47" s="3">
        <v>0</v>
      </c>
      <c r="L47" s="4">
        <v>100</v>
      </c>
      <c r="M47" s="4">
        <v>-1</v>
      </c>
      <c r="N47" s="4">
        <v>2</v>
      </c>
      <c r="O47" s="4">
        <v>100</v>
      </c>
      <c r="P47" s="4">
        <v>-1</v>
      </c>
      <c r="Q47" s="4">
        <v>-1</v>
      </c>
      <c r="R47" s="3">
        <v>1</v>
      </c>
      <c r="S47" s="3">
        <v>0</v>
      </c>
      <c r="T47" s="3">
        <v>0</v>
      </c>
      <c r="U47" s="3">
        <v>0</v>
      </c>
      <c r="V47" s="3">
        <v>0</v>
      </c>
      <c r="W47" s="3">
        <v>-1</v>
      </c>
      <c r="X47" s="3">
        <v>-1</v>
      </c>
      <c r="Y47" s="3">
        <v>50</v>
      </c>
      <c r="Z47" s="3">
        <v>50</v>
      </c>
      <c r="AA47" s="3">
        <v>50</v>
      </c>
      <c r="AB47" s="4">
        <v>0</v>
      </c>
      <c r="AC47" s="3">
        <v>50</v>
      </c>
      <c r="AD47" s="3">
        <v>-1</v>
      </c>
      <c r="AE47" s="3">
        <v>0</v>
      </c>
      <c r="AF47" s="3">
        <v>0</v>
      </c>
      <c r="AG47" s="3">
        <v>0</v>
      </c>
      <c r="AH47" s="3">
        <v>0</v>
      </c>
      <c r="AI47" s="4">
        <v>0</v>
      </c>
      <c r="AJ47" s="4">
        <v>100000</v>
      </c>
      <c r="AK47" s="4">
        <v>0</v>
      </c>
      <c r="AL47" s="4">
        <v>0</v>
      </c>
      <c r="AM47" s="3">
        <v>2000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 t="str">
        <f t="shared" si="0"/>
        <v>tunhe045</v>
      </c>
      <c r="AZ47" s="4">
        <v>-1</v>
      </c>
      <c r="BA47" s="4">
        <v>2</v>
      </c>
      <c r="BB47" s="3"/>
    </row>
    <row r="48" spans="1:54" x14ac:dyDescent="0.25">
      <c r="A48" s="4" t="s">
        <v>124</v>
      </c>
      <c r="B48" s="4" t="s">
        <v>125</v>
      </c>
      <c r="C48" s="4">
        <v>100</v>
      </c>
      <c r="D48" s="4" t="s">
        <v>261</v>
      </c>
      <c r="E48" s="4">
        <v>0</v>
      </c>
      <c r="F48" s="4" t="s">
        <v>115</v>
      </c>
      <c r="G48" s="3">
        <v>-1</v>
      </c>
      <c r="H48" s="3">
        <v>-1</v>
      </c>
      <c r="I48" s="3">
        <v>-1</v>
      </c>
      <c r="J48" s="3">
        <v>0</v>
      </c>
      <c r="K48" s="3">
        <v>0</v>
      </c>
      <c r="L48" s="4">
        <v>100</v>
      </c>
      <c r="M48" s="4">
        <v>-1</v>
      </c>
      <c r="N48" s="4">
        <v>2</v>
      </c>
      <c r="O48" s="4">
        <v>100</v>
      </c>
      <c r="P48" s="4">
        <v>-1</v>
      </c>
      <c r="Q48" s="4">
        <v>-1</v>
      </c>
      <c r="R48" s="3">
        <v>1</v>
      </c>
      <c r="S48" s="3">
        <v>0</v>
      </c>
      <c r="T48" s="3">
        <v>0</v>
      </c>
      <c r="U48" s="3">
        <v>0</v>
      </c>
      <c r="V48" s="3">
        <v>0</v>
      </c>
      <c r="W48" s="3">
        <v>-1</v>
      </c>
      <c r="X48" s="3">
        <v>-1</v>
      </c>
      <c r="Y48" s="3">
        <v>50</v>
      </c>
      <c r="Z48" s="3">
        <v>50</v>
      </c>
      <c r="AA48" s="3">
        <v>50</v>
      </c>
      <c r="AB48" s="4">
        <v>0</v>
      </c>
      <c r="AC48" s="3">
        <v>50</v>
      </c>
      <c r="AD48" s="3">
        <v>-1</v>
      </c>
      <c r="AE48" s="3">
        <v>0</v>
      </c>
      <c r="AF48" s="3">
        <v>0</v>
      </c>
      <c r="AG48" s="3">
        <v>0</v>
      </c>
      <c r="AH48" s="3">
        <v>0</v>
      </c>
      <c r="AI48" s="4">
        <v>0</v>
      </c>
      <c r="AJ48" s="4">
        <v>100000</v>
      </c>
      <c r="AK48" s="4">
        <v>0</v>
      </c>
      <c r="AL48" s="4">
        <v>0</v>
      </c>
      <c r="AM48" s="3">
        <v>2000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 t="str">
        <f t="shared" si="0"/>
        <v>tunhe046</v>
      </c>
      <c r="AZ48" s="4">
        <v>-1</v>
      </c>
      <c r="BA48" s="4">
        <v>2</v>
      </c>
      <c r="BB48" s="3"/>
    </row>
    <row r="49" spans="1:54" x14ac:dyDescent="0.25">
      <c r="A49" s="4" t="s">
        <v>126</v>
      </c>
      <c r="B49" s="4" t="s">
        <v>127</v>
      </c>
      <c r="C49" s="4">
        <v>100</v>
      </c>
      <c r="D49" s="4" t="s">
        <v>261</v>
      </c>
      <c r="E49" s="4">
        <v>0</v>
      </c>
      <c r="F49" s="4" t="s">
        <v>115</v>
      </c>
      <c r="G49" s="3">
        <v>-1</v>
      </c>
      <c r="H49" s="3">
        <v>-1</v>
      </c>
      <c r="I49" s="3">
        <v>-1</v>
      </c>
      <c r="J49" s="3">
        <v>0</v>
      </c>
      <c r="K49" s="3">
        <v>0</v>
      </c>
      <c r="L49" s="4">
        <v>100</v>
      </c>
      <c r="M49" s="4">
        <v>-1</v>
      </c>
      <c r="N49" s="4">
        <v>2</v>
      </c>
      <c r="O49" s="4">
        <v>100</v>
      </c>
      <c r="P49" s="4">
        <v>-1</v>
      </c>
      <c r="Q49" s="4">
        <v>-1</v>
      </c>
      <c r="R49" s="3">
        <v>1</v>
      </c>
      <c r="S49" s="3">
        <v>0</v>
      </c>
      <c r="T49" s="3">
        <v>0</v>
      </c>
      <c r="U49" s="3">
        <v>0</v>
      </c>
      <c r="V49" s="3">
        <v>0</v>
      </c>
      <c r="W49" s="3">
        <v>-1</v>
      </c>
      <c r="X49" s="3">
        <v>-1</v>
      </c>
      <c r="Y49" s="3">
        <v>50</v>
      </c>
      <c r="Z49" s="3">
        <v>50</v>
      </c>
      <c r="AA49" s="3">
        <v>50</v>
      </c>
      <c r="AB49" s="4">
        <v>0</v>
      </c>
      <c r="AC49" s="3">
        <v>50</v>
      </c>
      <c r="AD49" s="3">
        <v>-1</v>
      </c>
      <c r="AE49" s="3">
        <v>0</v>
      </c>
      <c r="AF49" s="3">
        <v>0</v>
      </c>
      <c r="AG49" s="3">
        <v>0</v>
      </c>
      <c r="AH49" s="3">
        <v>0</v>
      </c>
      <c r="AI49" s="4">
        <v>0</v>
      </c>
      <c r="AJ49" s="4">
        <v>100000</v>
      </c>
      <c r="AK49" s="4">
        <v>0</v>
      </c>
      <c r="AL49" s="4">
        <v>0</v>
      </c>
      <c r="AM49" s="3">
        <v>2000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str">
        <f t="shared" si="0"/>
        <v>tunhe047</v>
      </c>
      <c r="AZ49" s="4">
        <v>-1</v>
      </c>
      <c r="BA49" s="4">
        <v>2</v>
      </c>
      <c r="BB49" s="3"/>
    </row>
    <row r="50" spans="1:54" x14ac:dyDescent="0.25">
      <c r="A50" s="4" t="s">
        <v>128</v>
      </c>
      <c r="B50" s="4" t="s">
        <v>129</v>
      </c>
      <c r="C50" s="4">
        <v>100</v>
      </c>
      <c r="D50" s="4" t="s">
        <v>261</v>
      </c>
      <c r="E50" s="4">
        <v>0</v>
      </c>
      <c r="F50" s="4" t="s">
        <v>115</v>
      </c>
      <c r="G50" s="3">
        <v>-1</v>
      </c>
      <c r="H50" s="3">
        <v>-1</v>
      </c>
      <c r="I50" s="3">
        <v>-1</v>
      </c>
      <c r="J50" s="3">
        <v>0</v>
      </c>
      <c r="K50" s="3">
        <v>0</v>
      </c>
      <c r="L50" s="4">
        <v>100</v>
      </c>
      <c r="M50" s="4">
        <v>-1</v>
      </c>
      <c r="N50" s="4">
        <v>2</v>
      </c>
      <c r="O50" s="4">
        <v>100</v>
      </c>
      <c r="P50" s="4">
        <v>-1</v>
      </c>
      <c r="Q50" s="4">
        <v>-1</v>
      </c>
      <c r="R50" s="3">
        <v>1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-1</v>
      </c>
      <c r="Y50" s="3">
        <v>50</v>
      </c>
      <c r="Z50" s="3">
        <v>50</v>
      </c>
      <c r="AA50" s="3">
        <v>50</v>
      </c>
      <c r="AB50" s="4">
        <v>0</v>
      </c>
      <c r="AC50" s="3">
        <v>50</v>
      </c>
      <c r="AD50" s="3">
        <v>-1</v>
      </c>
      <c r="AE50" s="3">
        <v>0</v>
      </c>
      <c r="AF50" s="3">
        <v>0</v>
      </c>
      <c r="AG50" s="3">
        <v>0</v>
      </c>
      <c r="AH50" s="3">
        <v>0</v>
      </c>
      <c r="AI50" s="4">
        <v>0</v>
      </c>
      <c r="AJ50" s="4">
        <v>100000</v>
      </c>
      <c r="AK50" s="4">
        <v>0</v>
      </c>
      <c r="AL50" s="4">
        <v>0</v>
      </c>
      <c r="AM50" s="3">
        <v>2000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 t="str">
        <f t="shared" si="0"/>
        <v>tunhe048</v>
      </c>
      <c r="AZ50" s="4">
        <v>-1</v>
      </c>
      <c r="BA50" s="4">
        <v>2</v>
      </c>
      <c r="BB50" s="3"/>
    </row>
    <row r="51" spans="1:54" x14ac:dyDescent="0.25">
      <c r="A51" s="4" t="s">
        <v>130</v>
      </c>
      <c r="B51" s="4" t="s">
        <v>131</v>
      </c>
      <c r="C51" s="4">
        <v>100</v>
      </c>
      <c r="D51" s="4" t="s">
        <v>261</v>
      </c>
      <c r="E51" s="4">
        <v>0</v>
      </c>
      <c r="F51" s="4" t="s">
        <v>115</v>
      </c>
      <c r="G51" s="3">
        <v>-1</v>
      </c>
      <c r="H51" s="3">
        <v>-1</v>
      </c>
      <c r="I51" s="3">
        <v>-1</v>
      </c>
      <c r="J51" s="3">
        <v>0</v>
      </c>
      <c r="K51" s="3">
        <v>0</v>
      </c>
      <c r="L51" s="4">
        <v>100</v>
      </c>
      <c r="M51" s="4">
        <v>-1</v>
      </c>
      <c r="N51" s="4">
        <v>2</v>
      </c>
      <c r="O51" s="4">
        <v>100</v>
      </c>
      <c r="P51" s="4">
        <v>-1</v>
      </c>
      <c r="Q51" s="4">
        <v>-1</v>
      </c>
      <c r="R51" s="3">
        <v>1</v>
      </c>
      <c r="S51" s="3">
        <v>0</v>
      </c>
      <c r="T51" s="3">
        <v>0</v>
      </c>
      <c r="U51" s="3">
        <v>0</v>
      </c>
      <c r="V51" s="3">
        <v>0</v>
      </c>
      <c r="W51" s="3">
        <v>-1</v>
      </c>
      <c r="X51" s="3">
        <v>-1</v>
      </c>
      <c r="Y51" s="3">
        <v>50</v>
      </c>
      <c r="Z51" s="3">
        <v>50</v>
      </c>
      <c r="AA51" s="3">
        <v>50</v>
      </c>
      <c r="AB51" s="4">
        <v>0</v>
      </c>
      <c r="AC51" s="3">
        <v>50</v>
      </c>
      <c r="AD51" s="3">
        <v>-1</v>
      </c>
      <c r="AE51" s="3">
        <v>0</v>
      </c>
      <c r="AF51" s="3">
        <v>0</v>
      </c>
      <c r="AG51" s="3">
        <v>0</v>
      </c>
      <c r="AH51" s="3">
        <v>0</v>
      </c>
      <c r="AI51" s="4">
        <v>0</v>
      </c>
      <c r="AJ51" s="4">
        <v>100000</v>
      </c>
      <c r="AK51" s="4">
        <v>0</v>
      </c>
      <c r="AL51" s="4">
        <v>0</v>
      </c>
      <c r="AM51" s="3">
        <v>2000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str">
        <f t="shared" si="0"/>
        <v>tunhe049</v>
      </c>
      <c r="AZ51" s="4">
        <v>-1</v>
      </c>
      <c r="BA51" s="4">
        <v>2</v>
      </c>
      <c r="BB51" s="3"/>
    </row>
    <row r="52" spans="1:54" x14ac:dyDescent="0.25">
      <c r="A52" s="4" t="s">
        <v>132</v>
      </c>
      <c r="B52" s="4" t="s">
        <v>133</v>
      </c>
      <c r="C52" s="4">
        <v>100</v>
      </c>
      <c r="D52" s="4" t="s">
        <v>261</v>
      </c>
      <c r="E52" s="4">
        <v>0</v>
      </c>
      <c r="F52" s="4" t="s">
        <v>115</v>
      </c>
      <c r="G52" s="3">
        <v>-1</v>
      </c>
      <c r="H52" s="3">
        <v>-1</v>
      </c>
      <c r="I52" s="3">
        <v>-1</v>
      </c>
      <c r="J52" s="3">
        <v>0</v>
      </c>
      <c r="K52" s="3">
        <v>0</v>
      </c>
      <c r="L52" s="4">
        <v>100</v>
      </c>
      <c r="M52" s="4">
        <v>-1</v>
      </c>
      <c r="N52" s="4">
        <v>2</v>
      </c>
      <c r="O52" s="4">
        <v>100</v>
      </c>
      <c r="P52" s="4">
        <v>-1</v>
      </c>
      <c r="Q52" s="4">
        <v>-1</v>
      </c>
      <c r="R52" s="3">
        <v>1</v>
      </c>
      <c r="S52" s="3">
        <v>0</v>
      </c>
      <c r="T52" s="3">
        <v>0</v>
      </c>
      <c r="U52" s="3">
        <v>0</v>
      </c>
      <c r="V52" s="3">
        <v>0</v>
      </c>
      <c r="W52" s="3">
        <v>-1</v>
      </c>
      <c r="X52" s="3">
        <v>-1</v>
      </c>
      <c r="Y52" s="3">
        <v>50</v>
      </c>
      <c r="Z52" s="3">
        <v>50</v>
      </c>
      <c r="AA52" s="3">
        <v>50</v>
      </c>
      <c r="AB52" s="4">
        <v>0</v>
      </c>
      <c r="AC52" s="3">
        <v>50</v>
      </c>
      <c r="AD52" s="3">
        <v>-1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100000</v>
      </c>
      <c r="AK52" s="4">
        <v>0</v>
      </c>
      <c r="AL52" s="4">
        <v>0</v>
      </c>
      <c r="AM52" s="3">
        <v>2000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 t="str">
        <f t="shared" si="0"/>
        <v>tunhe050</v>
      </c>
      <c r="AZ52" s="4">
        <v>-1</v>
      </c>
      <c r="BA52" s="4">
        <v>2</v>
      </c>
      <c r="BB52" s="3"/>
    </row>
    <row r="53" spans="1:54" x14ac:dyDescent="0.25">
      <c r="A53" s="4" t="s">
        <v>134</v>
      </c>
      <c r="B53" s="4" t="s">
        <v>135</v>
      </c>
      <c r="C53" s="4">
        <v>100</v>
      </c>
      <c r="D53" s="4" t="s">
        <v>261</v>
      </c>
      <c r="E53" s="4">
        <v>0</v>
      </c>
      <c r="F53" s="4" t="s">
        <v>115</v>
      </c>
      <c r="G53" s="3">
        <v>-1</v>
      </c>
      <c r="H53" s="3">
        <v>-1</v>
      </c>
      <c r="I53" s="3">
        <v>-1</v>
      </c>
      <c r="J53" s="3">
        <v>0</v>
      </c>
      <c r="K53" s="3">
        <v>0</v>
      </c>
      <c r="L53" s="4">
        <v>100</v>
      </c>
      <c r="M53" s="4">
        <v>-1</v>
      </c>
      <c r="N53" s="4">
        <v>2</v>
      </c>
      <c r="O53" s="4">
        <v>100</v>
      </c>
      <c r="P53" s="4">
        <v>-1</v>
      </c>
      <c r="Q53" s="4">
        <v>-1</v>
      </c>
      <c r="R53" s="3">
        <v>1</v>
      </c>
      <c r="S53" s="3">
        <v>0</v>
      </c>
      <c r="T53" s="3">
        <v>0</v>
      </c>
      <c r="U53" s="3">
        <v>0</v>
      </c>
      <c r="V53" s="3">
        <v>0</v>
      </c>
      <c r="W53" s="3">
        <v>-1</v>
      </c>
      <c r="X53" s="3">
        <v>-1</v>
      </c>
      <c r="Y53" s="3">
        <v>50</v>
      </c>
      <c r="Z53" s="3">
        <v>50</v>
      </c>
      <c r="AA53" s="3">
        <v>50</v>
      </c>
      <c r="AB53" s="4">
        <v>0</v>
      </c>
      <c r="AC53" s="3">
        <v>50</v>
      </c>
      <c r="AD53" s="3">
        <v>-1</v>
      </c>
      <c r="AE53" s="3">
        <v>0</v>
      </c>
      <c r="AF53" s="3">
        <v>0</v>
      </c>
      <c r="AG53" s="3">
        <v>0</v>
      </c>
      <c r="AH53" s="3">
        <v>0</v>
      </c>
      <c r="AI53" s="4">
        <v>0</v>
      </c>
      <c r="AJ53" s="4">
        <v>100000</v>
      </c>
      <c r="AK53" s="4">
        <v>0</v>
      </c>
      <c r="AL53" s="4">
        <v>0</v>
      </c>
      <c r="AM53" s="3">
        <v>2000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 t="str">
        <f t="shared" si="0"/>
        <v>tunhe051</v>
      </c>
      <c r="AZ53" s="4">
        <v>-1</v>
      </c>
      <c r="BA53" s="4">
        <v>2</v>
      </c>
      <c r="BB53" s="3"/>
    </row>
    <row r="54" spans="1:54" x14ac:dyDescent="0.25">
      <c r="A54" s="4" t="s">
        <v>136</v>
      </c>
      <c r="B54" s="4" t="s">
        <v>137</v>
      </c>
      <c r="C54" s="4">
        <v>100</v>
      </c>
      <c r="D54" s="4" t="s">
        <v>261</v>
      </c>
      <c r="E54" s="4">
        <v>0</v>
      </c>
      <c r="F54" s="4" t="s">
        <v>115</v>
      </c>
      <c r="G54" s="3">
        <v>-1</v>
      </c>
      <c r="H54" s="3">
        <v>-1</v>
      </c>
      <c r="I54" s="3">
        <v>-1</v>
      </c>
      <c r="J54" s="3">
        <v>0</v>
      </c>
      <c r="K54" s="3">
        <v>0</v>
      </c>
      <c r="L54" s="4">
        <v>100</v>
      </c>
      <c r="M54" s="4">
        <v>-1</v>
      </c>
      <c r="N54" s="4">
        <v>2</v>
      </c>
      <c r="O54" s="4">
        <v>100</v>
      </c>
      <c r="P54" s="4">
        <v>-1</v>
      </c>
      <c r="Q54" s="4">
        <v>-1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-1</v>
      </c>
      <c r="X54" s="3">
        <v>-1</v>
      </c>
      <c r="Y54" s="3">
        <v>50</v>
      </c>
      <c r="Z54" s="3">
        <v>50</v>
      </c>
      <c r="AA54" s="3">
        <v>50</v>
      </c>
      <c r="AB54" s="4">
        <v>0</v>
      </c>
      <c r="AC54" s="3">
        <v>50</v>
      </c>
      <c r="AD54" s="3">
        <v>-1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100000</v>
      </c>
      <c r="AK54" s="4">
        <v>0</v>
      </c>
      <c r="AL54" s="4">
        <v>0</v>
      </c>
      <c r="AM54" s="3">
        <v>2000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 t="str">
        <f t="shared" si="0"/>
        <v>tunhe052</v>
      </c>
      <c r="AZ54" s="4">
        <v>-1</v>
      </c>
      <c r="BA54" s="4">
        <v>2</v>
      </c>
      <c r="BB54" s="3"/>
    </row>
    <row r="55" spans="1:54" x14ac:dyDescent="0.25">
      <c r="A55" s="4" t="s">
        <v>138</v>
      </c>
      <c r="B55" s="4" t="s">
        <v>139</v>
      </c>
      <c r="C55" s="4">
        <v>100</v>
      </c>
      <c r="D55" s="4" t="s">
        <v>261</v>
      </c>
      <c r="E55" s="4">
        <v>0</v>
      </c>
      <c r="F55" s="4" t="s">
        <v>115</v>
      </c>
      <c r="G55" s="3">
        <v>-1</v>
      </c>
      <c r="H55" s="3">
        <v>-1</v>
      </c>
      <c r="I55" s="3">
        <v>-1</v>
      </c>
      <c r="J55" s="3">
        <v>0</v>
      </c>
      <c r="K55" s="3">
        <v>0</v>
      </c>
      <c r="L55" s="4">
        <v>100</v>
      </c>
      <c r="M55" s="4">
        <v>-1</v>
      </c>
      <c r="N55" s="4">
        <v>2</v>
      </c>
      <c r="O55" s="4">
        <v>100</v>
      </c>
      <c r="P55" s="4">
        <v>-1</v>
      </c>
      <c r="Q55" s="4">
        <v>-1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3">
        <v>-1</v>
      </c>
      <c r="X55" s="3">
        <v>-1</v>
      </c>
      <c r="Y55" s="3">
        <v>50</v>
      </c>
      <c r="Z55" s="3">
        <v>50</v>
      </c>
      <c r="AA55" s="3">
        <v>50</v>
      </c>
      <c r="AB55" s="4">
        <v>0</v>
      </c>
      <c r="AC55" s="3">
        <v>50</v>
      </c>
      <c r="AD55" s="3">
        <v>-1</v>
      </c>
      <c r="AE55" s="3">
        <v>0</v>
      </c>
      <c r="AF55" s="3">
        <v>0</v>
      </c>
      <c r="AG55" s="3">
        <v>0</v>
      </c>
      <c r="AH55" s="3">
        <v>0</v>
      </c>
      <c r="AI55" s="4">
        <v>0</v>
      </c>
      <c r="AJ55" s="4">
        <v>100000</v>
      </c>
      <c r="AK55" s="4">
        <v>0</v>
      </c>
      <c r="AL55" s="4">
        <v>0</v>
      </c>
      <c r="AM55" s="3">
        <v>2000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 t="str">
        <f t="shared" si="0"/>
        <v>tunhe053</v>
      </c>
      <c r="AZ55" s="4">
        <v>-1</v>
      </c>
      <c r="BA55" s="4">
        <v>2</v>
      </c>
      <c r="BB55" s="3"/>
    </row>
    <row r="56" spans="1:54" x14ac:dyDescent="0.25">
      <c r="A56" s="4" t="s">
        <v>140</v>
      </c>
      <c r="B56" s="4" t="s">
        <v>141</v>
      </c>
      <c r="C56" s="4">
        <v>100</v>
      </c>
      <c r="D56" s="4" t="s">
        <v>261</v>
      </c>
      <c r="E56" s="4">
        <v>0</v>
      </c>
      <c r="F56" s="4" t="s">
        <v>115</v>
      </c>
      <c r="G56" s="3">
        <v>-1</v>
      </c>
      <c r="H56" s="3">
        <v>-1</v>
      </c>
      <c r="I56" s="3">
        <v>-1</v>
      </c>
      <c r="J56" s="3">
        <v>0</v>
      </c>
      <c r="K56" s="3">
        <v>0</v>
      </c>
      <c r="L56" s="4">
        <v>100</v>
      </c>
      <c r="M56" s="4">
        <v>-1</v>
      </c>
      <c r="N56" s="4">
        <v>2</v>
      </c>
      <c r="O56" s="4">
        <v>100</v>
      </c>
      <c r="P56" s="4">
        <v>-1</v>
      </c>
      <c r="Q56" s="4">
        <v>-1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-1</v>
      </c>
      <c r="X56" s="3">
        <v>-1</v>
      </c>
      <c r="Y56" s="3">
        <v>50</v>
      </c>
      <c r="Z56" s="3">
        <v>50</v>
      </c>
      <c r="AA56" s="3">
        <v>50</v>
      </c>
      <c r="AB56" s="4">
        <v>0</v>
      </c>
      <c r="AC56" s="3">
        <v>50</v>
      </c>
      <c r="AD56" s="3">
        <v>-1</v>
      </c>
      <c r="AE56" s="3">
        <v>0</v>
      </c>
      <c r="AF56" s="3">
        <v>0</v>
      </c>
      <c r="AG56" s="3">
        <v>0</v>
      </c>
      <c r="AH56" s="3">
        <v>0</v>
      </c>
      <c r="AI56" s="4">
        <v>0</v>
      </c>
      <c r="AJ56" s="4">
        <v>100000</v>
      </c>
      <c r="AK56" s="4">
        <v>0</v>
      </c>
      <c r="AL56" s="4">
        <v>0</v>
      </c>
      <c r="AM56" s="3">
        <v>2000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 t="str">
        <f t="shared" si="0"/>
        <v>tunhe054</v>
      </c>
      <c r="AZ56" s="4">
        <v>-1</v>
      </c>
      <c r="BA56" s="4">
        <v>2</v>
      </c>
      <c r="BB56" s="3"/>
    </row>
    <row r="57" spans="1:54" x14ac:dyDescent="0.25">
      <c r="A57" s="4" t="s">
        <v>142</v>
      </c>
      <c r="B57" s="4" t="s">
        <v>143</v>
      </c>
      <c r="C57" s="4">
        <v>100</v>
      </c>
      <c r="D57" s="4" t="s">
        <v>261</v>
      </c>
      <c r="E57" s="4">
        <v>0</v>
      </c>
      <c r="F57" s="4" t="s">
        <v>115</v>
      </c>
      <c r="G57" s="3">
        <v>-1</v>
      </c>
      <c r="H57" s="3">
        <v>-1</v>
      </c>
      <c r="I57" s="3">
        <v>-1</v>
      </c>
      <c r="J57" s="3">
        <v>0</v>
      </c>
      <c r="K57" s="3">
        <v>0</v>
      </c>
      <c r="L57" s="4">
        <v>100</v>
      </c>
      <c r="M57" s="4">
        <v>-1</v>
      </c>
      <c r="N57" s="4">
        <v>2</v>
      </c>
      <c r="O57" s="4">
        <v>100</v>
      </c>
      <c r="P57" s="4">
        <v>-1</v>
      </c>
      <c r="Q57" s="4">
        <v>-1</v>
      </c>
      <c r="R57" s="3">
        <v>1</v>
      </c>
      <c r="S57" s="3">
        <v>0</v>
      </c>
      <c r="T57" s="3">
        <v>0</v>
      </c>
      <c r="U57" s="3">
        <v>0</v>
      </c>
      <c r="V57" s="3">
        <v>0</v>
      </c>
      <c r="W57" s="3">
        <v>-1</v>
      </c>
      <c r="X57" s="3">
        <v>-1</v>
      </c>
      <c r="Y57" s="3">
        <v>50</v>
      </c>
      <c r="Z57" s="3">
        <v>50</v>
      </c>
      <c r="AA57" s="3">
        <v>50</v>
      </c>
      <c r="AB57" s="4">
        <v>0</v>
      </c>
      <c r="AC57" s="3">
        <v>50</v>
      </c>
      <c r="AD57" s="3">
        <v>-1</v>
      </c>
      <c r="AE57" s="3">
        <v>0</v>
      </c>
      <c r="AF57" s="3">
        <v>0</v>
      </c>
      <c r="AG57" s="3">
        <v>0</v>
      </c>
      <c r="AH57" s="3">
        <v>0</v>
      </c>
      <c r="AI57" s="4">
        <v>0</v>
      </c>
      <c r="AJ57" s="4">
        <v>100000</v>
      </c>
      <c r="AK57" s="4">
        <v>0</v>
      </c>
      <c r="AL57" s="4">
        <v>0</v>
      </c>
      <c r="AM57" s="3">
        <v>2000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str">
        <f t="shared" si="0"/>
        <v>tunhe055</v>
      </c>
      <c r="AZ57" s="4">
        <v>-1</v>
      </c>
      <c r="BA57" s="4">
        <v>2</v>
      </c>
      <c r="BB57" s="3"/>
    </row>
    <row r="58" spans="1:54" x14ac:dyDescent="0.25">
      <c r="A58" s="4" t="s">
        <v>144</v>
      </c>
      <c r="B58" s="4" t="s">
        <v>145</v>
      </c>
      <c r="C58" s="4">
        <v>100</v>
      </c>
      <c r="D58" s="4" t="s">
        <v>261</v>
      </c>
      <c r="E58" s="4">
        <v>0</v>
      </c>
      <c r="F58" s="4" t="s">
        <v>115</v>
      </c>
      <c r="G58" s="3">
        <v>-1</v>
      </c>
      <c r="H58" s="3">
        <v>-1</v>
      </c>
      <c r="I58" s="3">
        <v>-1</v>
      </c>
      <c r="J58" s="3">
        <v>0</v>
      </c>
      <c r="K58" s="3">
        <v>0</v>
      </c>
      <c r="L58" s="4">
        <v>100</v>
      </c>
      <c r="M58" s="4">
        <v>-1</v>
      </c>
      <c r="N58" s="4">
        <v>2</v>
      </c>
      <c r="O58" s="4">
        <v>100</v>
      </c>
      <c r="P58" s="4">
        <v>-1</v>
      </c>
      <c r="Q58" s="4">
        <v>-1</v>
      </c>
      <c r="R58" s="3">
        <v>1</v>
      </c>
      <c r="S58" s="3">
        <v>0</v>
      </c>
      <c r="T58" s="3">
        <v>0</v>
      </c>
      <c r="U58" s="3">
        <v>0</v>
      </c>
      <c r="V58" s="3">
        <v>0</v>
      </c>
      <c r="W58" s="3">
        <v>-1</v>
      </c>
      <c r="X58" s="3">
        <v>-1</v>
      </c>
      <c r="Y58" s="3">
        <v>50</v>
      </c>
      <c r="Z58" s="3">
        <v>50</v>
      </c>
      <c r="AA58" s="3">
        <v>50</v>
      </c>
      <c r="AB58" s="4">
        <v>0</v>
      </c>
      <c r="AC58" s="3">
        <v>50</v>
      </c>
      <c r="AD58" s="3">
        <v>-1</v>
      </c>
      <c r="AE58" s="3">
        <v>0</v>
      </c>
      <c r="AF58" s="3">
        <v>0</v>
      </c>
      <c r="AG58" s="3">
        <v>0</v>
      </c>
      <c r="AH58" s="3">
        <v>0</v>
      </c>
      <c r="AI58" s="4">
        <v>0</v>
      </c>
      <c r="AJ58" s="4">
        <v>100000</v>
      </c>
      <c r="AK58" s="4">
        <v>0</v>
      </c>
      <c r="AL58" s="4">
        <v>0</v>
      </c>
      <c r="AM58" s="3">
        <v>2000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 t="str">
        <f t="shared" si="0"/>
        <v>tunhe056</v>
      </c>
      <c r="AZ58" s="4">
        <v>-1</v>
      </c>
      <c r="BA58" s="4">
        <v>2</v>
      </c>
      <c r="BB58" s="3"/>
    </row>
    <row r="59" spans="1:54" x14ac:dyDescent="0.25">
      <c r="A59" s="4" t="s">
        <v>146</v>
      </c>
      <c r="B59" s="4" t="s">
        <v>147</v>
      </c>
      <c r="C59" s="4">
        <v>100</v>
      </c>
      <c r="D59" s="4" t="s">
        <v>261</v>
      </c>
      <c r="E59" s="4">
        <v>0</v>
      </c>
      <c r="F59" s="4" t="s">
        <v>115</v>
      </c>
      <c r="G59" s="3">
        <v>-1</v>
      </c>
      <c r="H59" s="3">
        <v>-1</v>
      </c>
      <c r="I59" s="3">
        <v>-1</v>
      </c>
      <c r="J59" s="3">
        <v>0</v>
      </c>
      <c r="K59" s="3">
        <v>0</v>
      </c>
      <c r="L59" s="4">
        <v>100</v>
      </c>
      <c r="M59" s="4">
        <v>-1</v>
      </c>
      <c r="N59" s="4">
        <v>2</v>
      </c>
      <c r="O59" s="4">
        <v>100</v>
      </c>
      <c r="P59" s="4">
        <v>-1</v>
      </c>
      <c r="Q59" s="4">
        <v>-1</v>
      </c>
      <c r="R59" s="3">
        <v>1</v>
      </c>
      <c r="S59" s="3">
        <v>0</v>
      </c>
      <c r="T59" s="3">
        <v>0</v>
      </c>
      <c r="U59" s="3">
        <v>0</v>
      </c>
      <c r="V59" s="3">
        <v>0</v>
      </c>
      <c r="W59" s="3">
        <v>-1</v>
      </c>
      <c r="X59" s="3">
        <v>-1</v>
      </c>
      <c r="Y59" s="3">
        <v>50</v>
      </c>
      <c r="Z59" s="3">
        <v>50</v>
      </c>
      <c r="AA59" s="3">
        <v>50</v>
      </c>
      <c r="AB59" s="4">
        <v>0</v>
      </c>
      <c r="AC59" s="3">
        <v>50</v>
      </c>
      <c r="AD59" s="3">
        <v>-1</v>
      </c>
      <c r="AE59" s="3">
        <v>0</v>
      </c>
      <c r="AF59" s="3">
        <v>0</v>
      </c>
      <c r="AG59" s="3">
        <v>0</v>
      </c>
      <c r="AH59" s="3">
        <v>0</v>
      </c>
      <c r="AI59" s="4">
        <v>0</v>
      </c>
      <c r="AJ59" s="4">
        <v>100000</v>
      </c>
      <c r="AK59" s="4">
        <v>0</v>
      </c>
      <c r="AL59" s="4">
        <v>0</v>
      </c>
      <c r="AM59" s="3">
        <v>2000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str">
        <f t="shared" si="0"/>
        <v>tunhe057</v>
      </c>
      <c r="AZ59" s="4">
        <v>-1</v>
      </c>
      <c r="BA59" s="4">
        <v>2</v>
      </c>
      <c r="BB59" s="3"/>
    </row>
    <row r="60" spans="1:54" x14ac:dyDescent="0.25">
      <c r="A60" s="4" t="s">
        <v>148</v>
      </c>
      <c r="B60" s="4" t="s">
        <v>149</v>
      </c>
      <c r="C60" s="4">
        <v>100</v>
      </c>
      <c r="D60" s="4" t="s">
        <v>261</v>
      </c>
      <c r="E60" s="4">
        <v>0</v>
      </c>
      <c r="F60" s="4" t="s">
        <v>115</v>
      </c>
      <c r="G60" s="3">
        <v>-1</v>
      </c>
      <c r="H60" s="3">
        <v>-1</v>
      </c>
      <c r="I60" s="3">
        <v>-1</v>
      </c>
      <c r="J60" s="3">
        <v>0</v>
      </c>
      <c r="K60" s="3">
        <v>0</v>
      </c>
      <c r="L60" s="4">
        <v>100</v>
      </c>
      <c r="M60" s="4">
        <v>-1</v>
      </c>
      <c r="N60" s="4">
        <v>2</v>
      </c>
      <c r="O60" s="4">
        <v>100</v>
      </c>
      <c r="P60" s="4">
        <v>-1</v>
      </c>
      <c r="Q60" s="4">
        <v>-1</v>
      </c>
      <c r="R60" s="3">
        <v>1</v>
      </c>
      <c r="S60" s="3">
        <v>0</v>
      </c>
      <c r="T60" s="3">
        <v>0</v>
      </c>
      <c r="U60" s="3">
        <v>0</v>
      </c>
      <c r="V60" s="3">
        <v>0</v>
      </c>
      <c r="W60" s="3">
        <v>-1</v>
      </c>
      <c r="X60" s="3">
        <v>-1</v>
      </c>
      <c r="Y60" s="3">
        <v>50</v>
      </c>
      <c r="Z60" s="3">
        <v>50</v>
      </c>
      <c r="AA60" s="3">
        <v>50</v>
      </c>
      <c r="AB60" s="4">
        <v>0</v>
      </c>
      <c r="AC60" s="3">
        <v>50</v>
      </c>
      <c r="AD60" s="3">
        <v>-1</v>
      </c>
      <c r="AE60" s="3">
        <v>0</v>
      </c>
      <c r="AF60" s="3">
        <v>0</v>
      </c>
      <c r="AG60" s="3">
        <v>0</v>
      </c>
      <c r="AH60" s="3">
        <v>0</v>
      </c>
      <c r="AI60" s="4">
        <v>0</v>
      </c>
      <c r="AJ60" s="4">
        <v>100000</v>
      </c>
      <c r="AK60" s="4">
        <v>0</v>
      </c>
      <c r="AL60" s="4">
        <v>0</v>
      </c>
      <c r="AM60" s="3">
        <v>2000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 t="str">
        <f t="shared" si="0"/>
        <v>tunhe058</v>
      </c>
      <c r="AZ60" s="4">
        <v>-1</v>
      </c>
      <c r="BA60" s="4">
        <v>2</v>
      </c>
      <c r="BB60" s="3"/>
    </row>
    <row r="61" spans="1:54" x14ac:dyDescent="0.25">
      <c r="A61" s="4" t="s">
        <v>150</v>
      </c>
      <c r="B61" s="4" t="s">
        <v>151</v>
      </c>
      <c r="C61" s="4">
        <v>100</v>
      </c>
      <c r="D61" s="4" t="s">
        <v>261</v>
      </c>
      <c r="E61" s="4">
        <v>0</v>
      </c>
      <c r="F61" s="4" t="s">
        <v>115</v>
      </c>
      <c r="G61" s="3">
        <v>-1</v>
      </c>
      <c r="H61" s="3">
        <v>-1</v>
      </c>
      <c r="I61" s="3">
        <v>-1</v>
      </c>
      <c r="J61" s="3">
        <v>0</v>
      </c>
      <c r="K61" s="3">
        <v>0</v>
      </c>
      <c r="L61" s="4">
        <v>100</v>
      </c>
      <c r="M61" s="4">
        <v>-1</v>
      </c>
      <c r="N61" s="4">
        <v>2</v>
      </c>
      <c r="O61" s="4">
        <v>100</v>
      </c>
      <c r="P61" s="4">
        <v>-1</v>
      </c>
      <c r="Q61" s="4">
        <v>-1</v>
      </c>
      <c r="R61" s="3">
        <v>1</v>
      </c>
      <c r="S61" s="3">
        <v>0</v>
      </c>
      <c r="T61" s="3">
        <v>0</v>
      </c>
      <c r="U61" s="3">
        <v>0</v>
      </c>
      <c r="V61" s="3">
        <v>0</v>
      </c>
      <c r="W61" s="3">
        <v>-1</v>
      </c>
      <c r="X61" s="3">
        <v>-1</v>
      </c>
      <c r="Y61" s="3">
        <v>50</v>
      </c>
      <c r="Z61" s="3">
        <v>50</v>
      </c>
      <c r="AA61" s="3">
        <v>50</v>
      </c>
      <c r="AB61" s="4">
        <v>0</v>
      </c>
      <c r="AC61" s="3">
        <v>50</v>
      </c>
      <c r="AD61" s="3">
        <v>-1</v>
      </c>
      <c r="AE61" s="3">
        <v>0</v>
      </c>
      <c r="AF61" s="3">
        <v>0</v>
      </c>
      <c r="AG61" s="3">
        <v>0</v>
      </c>
      <c r="AH61" s="3">
        <v>0</v>
      </c>
      <c r="AI61" s="4">
        <v>0</v>
      </c>
      <c r="AJ61" s="4">
        <v>100000</v>
      </c>
      <c r="AK61" s="4">
        <v>0</v>
      </c>
      <c r="AL61" s="4">
        <v>0</v>
      </c>
      <c r="AM61" s="3">
        <v>2000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str">
        <f t="shared" si="0"/>
        <v>tunhe059</v>
      </c>
      <c r="AZ61" s="4">
        <v>-1</v>
      </c>
      <c r="BA61" s="4">
        <v>2</v>
      </c>
      <c r="BB61" s="3"/>
    </row>
    <row r="62" spans="1:54" x14ac:dyDescent="0.25">
      <c r="A62" s="4" t="s">
        <v>152</v>
      </c>
      <c r="B62" s="4" t="s">
        <v>153</v>
      </c>
      <c r="C62" s="4">
        <v>100</v>
      </c>
      <c r="D62" s="4" t="s">
        <v>261</v>
      </c>
      <c r="E62" s="4">
        <v>0</v>
      </c>
      <c r="F62" s="4" t="s">
        <v>115</v>
      </c>
      <c r="G62" s="3">
        <v>-1</v>
      </c>
      <c r="H62" s="3">
        <v>-1</v>
      </c>
      <c r="I62" s="3">
        <v>-1</v>
      </c>
      <c r="J62" s="3">
        <v>0</v>
      </c>
      <c r="K62" s="3">
        <v>0</v>
      </c>
      <c r="L62" s="4">
        <v>100</v>
      </c>
      <c r="M62" s="4">
        <v>-1</v>
      </c>
      <c r="N62" s="4">
        <v>2</v>
      </c>
      <c r="O62" s="4">
        <v>100</v>
      </c>
      <c r="P62" s="4">
        <v>-1</v>
      </c>
      <c r="Q62" s="4">
        <v>-1</v>
      </c>
      <c r="R62" s="3">
        <v>1</v>
      </c>
      <c r="S62" s="3">
        <v>0</v>
      </c>
      <c r="T62" s="3">
        <v>0</v>
      </c>
      <c r="U62" s="3">
        <v>0</v>
      </c>
      <c r="V62" s="3">
        <v>0</v>
      </c>
      <c r="W62" s="3">
        <v>-1</v>
      </c>
      <c r="X62" s="3">
        <v>-1</v>
      </c>
      <c r="Y62" s="3">
        <v>50</v>
      </c>
      <c r="Z62" s="3">
        <v>50</v>
      </c>
      <c r="AA62" s="3">
        <v>50</v>
      </c>
      <c r="AB62" s="4">
        <v>0</v>
      </c>
      <c r="AC62" s="3">
        <v>50</v>
      </c>
      <c r="AD62" s="3">
        <v>-1</v>
      </c>
      <c r="AE62" s="3">
        <v>0</v>
      </c>
      <c r="AF62" s="3">
        <v>0</v>
      </c>
      <c r="AG62" s="3">
        <v>0</v>
      </c>
      <c r="AH62" s="3">
        <v>0</v>
      </c>
      <c r="AI62" s="4">
        <v>0</v>
      </c>
      <c r="AJ62" s="4">
        <v>100000</v>
      </c>
      <c r="AK62" s="4">
        <v>0</v>
      </c>
      <c r="AL62" s="4">
        <v>0</v>
      </c>
      <c r="AM62" s="3">
        <v>2000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 t="str">
        <f t="shared" si="0"/>
        <v>tunhe060</v>
      </c>
      <c r="AZ62" s="4">
        <v>-1</v>
      </c>
      <c r="BA62" s="4">
        <v>2</v>
      </c>
      <c r="BB62" s="3"/>
    </row>
    <row r="63" spans="1:54" x14ac:dyDescent="0.25">
      <c r="A63" s="4" t="s">
        <v>154</v>
      </c>
      <c r="B63" s="4" t="s">
        <v>155</v>
      </c>
      <c r="C63" s="4">
        <v>100</v>
      </c>
      <c r="D63" s="4" t="s">
        <v>261</v>
      </c>
      <c r="E63" s="4">
        <v>0</v>
      </c>
      <c r="F63" s="4" t="s">
        <v>156</v>
      </c>
      <c r="G63" s="3">
        <v>-1</v>
      </c>
      <c r="H63" s="3">
        <v>-1</v>
      </c>
      <c r="I63" s="3">
        <v>-1</v>
      </c>
      <c r="J63" s="3">
        <v>0</v>
      </c>
      <c r="K63" s="3">
        <v>0</v>
      </c>
      <c r="L63" s="4">
        <v>100</v>
      </c>
      <c r="M63" s="4">
        <v>-1</v>
      </c>
      <c r="N63" s="4">
        <v>2</v>
      </c>
      <c r="O63" s="4">
        <v>100</v>
      </c>
      <c r="P63" s="4">
        <v>-1</v>
      </c>
      <c r="Q63" s="4">
        <v>-1</v>
      </c>
      <c r="R63" s="3">
        <v>1</v>
      </c>
      <c r="S63" s="3">
        <v>0</v>
      </c>
      <c r="T63" s="3">
        <v>0</v>
      </c>
      <c r="U63" s="3">
        <v>0</v>
      </c>
      <c r="V63" s="3">
        <v>0</v>
      </c>
      <c r="W63" s="3">
        <v>-1</v>
      </c>
      <c r="X63" s="3">
        <v>-1</v>
      </c>
      <c r="Y63" s="3">
        <v>50</v>
      </c>
      <c r="Z63" s="3">
        <v>50</v>
      </c>
      <c r="AA63" s="3">
        <v>50</v>
      </c>
      <c r="AB63" s="4">
        <v>0</v>
      </c>
      <c r="AC63" s="3">
        <v>50</v>
      </c>
      <c r="AD63" s="3">
        <v>-1</v>
      </c>
      <c r="AE63" s="3">
        <v>0</v>
      </c>
      <c r="AF63" s="3">
        <v>0</v>
      </c>
      <c r="AG63" s="3">
        <v>0</v>
      </c>
      <c r="AH63" s="3">
        <v>0</v>
      </c>
      <c r="AI63" s="4">
        <v>0</v>
      </c>
      <c r="AJ63" s="4">
        <v>100000</v>
      </c>
      <c r="AK63" s="4">
        <v>0</v>
      </c>
      <c r="AL63" s="4">
        <v>0</v>
      </c>
      <c r="AM63" s="3">
        <v>2000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 t="str">
        <f t="shared" si="0"/>
        <v>tunhe061</v>
      </c>
      <c r="AZ63" s="4">
        <v>-1</v>
      </c>
      <c r="BA63" s="4">
        <v>2</v>
      </c>
      <c r="BB63" s="3"/>
    </row>
    <row r="64" spans="1:54" x14ac:dyDescent="0.25">
      <c r="A64" s="4" t="s">
        <v>157</v>
      </c>
      <c r="B64" s="4" t="s">
        <v>158</v>
      </c>
      <c r="C64" s="4">
        <v>100</v>
      </c>
      <c r="D64" s="4" t="s">
        <v>261</v>
      </c>
      <c r="E64" s="4">
        <v>0</v>
      </c>
      <c r="F64" s="4" t="s">
        <v>156</v>
      </c>
      <c r="G64" s="3">
        <v>-1</v>
      </c>
      <c r="H64" s="3">
        <v>-1</v>
      </c>
      <c r="I64" s="3">
        <v>-1</v>
      </c>
      <c r="J64" s="3">
        <v>0</v>
      </c>
      <c r="K64" s="3">
        <v>0</v>
      </c>
      <c r="L64" s="4">
        <v>100</v>
      </c>
      <c r="M64" s="4">
        <v>-1</v>
      </c>
      <c r="N64" s="4">
        <v>2</v>
      </c>
      <c r="O64" s="4">
        <v>100</v>
      </c>
      <c r="P64" s="4">
        <v>-1</v>
      </c>
      <c r="Q64" s="4">
        <v>-1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3">
        <v>-1</v>
      </c>
      <c r="X64" s="3">
        <v>-1</v>
      </c>
      <c r="Y64" s="3">
        <v>50</v>
      </c>
      <c r="Z64" s="3">
        <v>50</v>
      </c>
      <c r="AA64" s="3">
        <v>50</v>
      </c>
      <c r="AB64" s="4">
        <v>0</v>
      </c>
      <c r="AC64" s="3">
        <v>50</v>
      </c>
      <c r="AD64" s="3">
        <v>-1</v>
      </c>
      <c r="AE64" s="3">
        <v>0</v>
      </c>
      <c r="AF64" s="3">
        <v>0</v>
      </c>
      <c r="AG64" s="3">
        <v>0</v>
      </c>
      <c r="AH64" s="3">
        <v>0</v>
      </c>
      <c r="AI64" s="4">
        <v>0</v>
      </c>
      <c r="AJ64" s="4">
        <v>100000</v>
      </c>
      <c r="AK64" s="4">
        <v>0</v>
      </c>
      <c r="AL64" s="4">
        <v>0</v>
      </c>
      <c r="AM64" s="3">
        <v>2000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 t="str">
        <f t="shared" si="0"/>
        <v>tunhe062</v>
      </c>
      <c r="AZ64" s="4">
        <v>-1</v>
      </c>
      <c r="BA64" s="4">
        <v>2</v>
      </c>
      <c r="BB64" s="3"/>
    </row>
    <row r="65" spans="1:54" x14ac:dyDescent="0.25">
      <c r="A65" s="4" t="s">
        <v>159</v>
      </c>
      <c r="B65" s="4" t="s">
        <v>160</v>
      </c>
      <c r="C65" s="4">
        <v>100</v>
      </c>
      <c r="D65" s="4" t="s">
        <v>261</v>
      </c>
      <c r="E65" s="4">
        <v>0</v>
      </c>
      <c r="F65" s="4" t="s">
        <v>156</v>
      </c>
      <c r="G65" s="3">
        <v>-1</v>
      </c>
      <c r="H65" s="3">
        <v>-1</v>
      </c>
      <c r="I65" s="3">
        <v>-1</v>
      </c>
      <c r="J65" s="3">
        <v>0</v>
      </c>
      <c r="K65" s="3">
        <v>0</v>
      </c>
      <c r="L65" s="4">
        <v>100</v>
      </c>
      <c r="M65" s="4">
        <v>-1</v>
      </c>
      <c r="N65" s="4">
        <v>2</v>
      </c>
      <c r="O65" s="4">
        <v>100</v>
      </c>
      <c r="P65" s="4">
        <v>-1</v>
      </c>
      <c r="Q65" s="4">
        <v>-1</v>
      </c>
      <c r="R65" s="3">
        <v>1</v>
      </c>
      <c r="S65" s="3">
        <v>0</v>
      </c>
      <c r="T65" s="3">
        <v>0</v>
      </c>
      <c r="U65" s="3">
        <v>0</v>
      </c>
      <c r="V65" s="3">
        <v>0</v>
      </c>
      <c r="W65" s="3">
        <v>-1</v>
      </c>
      <c r="X65" s="3">
        <v>-1</v>
      </c>
      <c r="Y65" s="3">
        <v>50</v>
      </c>
      <c r="Z65" s="3">
        <v>50</v>
      </c>
      <c r="AA65" s="3">
        <v>50</v>
      </c>
      <c r="AB65" s="4">
        <v>0</v>
      </c>
      <c r="AC65" s="3">
        <v>50</v>
      </c>
      <c r="AD65" s="3">
        <v>-1</v>
      </c>
      <c r="AE65" s="3">
        <v>0</v>
      </c>
      <c r="AF65" s="3">
        <v>0</v>
      </c>
      <c r="AG65" s="3">
        <v>0</v>
      </c>
      <c r="AH65" s="3">
        <v>0</v>
      </c>
      <c r="AI65" s="4">
        <v>0</v>
      </c>
      <c r="AJ65" s="4">
        <v>100000</v>
      </c>
      <c r="AK65" s="4">
        <v>0</v>
      </c>
      <c r="AL65" s="4">
        <v>0</v>
      </c>
      <c r="AM65" s="3">
        <v>2000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 t="str">
        <f t="shared" si="0"/>
        <v>tunhe063</v>
      </c>
      <c r="AZ65" s="4">
        <v>-1</v>
      </c>
      <c r="BA65" s="4">
        <v>2</v>
      </c>
      <c r="BB65" s="3"/>
    </row>
    <row r="66" spans="1:54" x14ac:dyDescent="0.25">
      <c r="A66" s="4" t="s">
        <v>161</v>
      </c>
      <c r="B66" s="4" t="s">
        <v>162</v>
      </c>
      <c r="C66" s="4">
        <v>100</v>
      </c>
      <c r="D66" s="4" t="s">
        <v>261</v>
      </c>
      <c r="E66" s="4">
        <v>0</v>
      </c>
      <c r="F66" s="4" t="s">
        <v>156</v>
      </c>
      <c r="G66" s="3">
        <v>-1</v>
      </c>
      <c r="H66" s="3">
        <v>-1</v>
      </c>
      <c r="I66" s="3">
        <v>-1</v>
      </c>
      <c r="J66" s="3">
        <v>0</v>
      </c>
      <c r="K66" s="3">
        <v>0</v>
      </c>
      <c r="L66" s="4">
        <v>100</v>
      </c>
      <c r="M66" s="4">
        <v>-1</v>
      </c>
      <c r="N66" s="4">
        <v>2</v>
      </c>
      <c r="O66" s="4">
        <v>100</v>
      </c>
      <c r="P66" s="4">
        <v>-1</v>
      </c>
      <c r="Q66" s="4">
        <v>-1</v>
      </c>
      <c r="R66" s="3">
        <v>1</v>
      </c>
      <c r="S66" s="3">
        <v>0</v>
      </c>
      <c r="T66" s="3">
        <v>0</v>
      </c>
      <c r="U66" s="3">
        <v>0</v>
      </c>
      <c r="V66" s="3">
        <v>0</v>
      </c>
      <c r="W66" s="3">
        <v>-1</v>
      </c>
      <c r="X66" s="3">
        <v>-1</v>
      </c>
      <c r="Y66" s="3">
        <v>50</v>
      </c>
      <c r="Z66" s="3">
        <v>50</v>
      </c>
      <c r="AA66" s="3">
        <v>50</v>
      </c>
      <c r="AB66" s="4">
        <v>0</v>
      </c>
      <c r="AC66" s="3">
        <v>50</v>
      </c>
      <c r="AD66" s="3">
        <v>-1</v>
      </c>
      <c r="AE66" s="3">
        <v>0</v>
      </c>
      <c r="AF66" s="3">
        <v>0</v>
      </c>
      <c r="AG66" s="3">
        <v>0</v>
      </c>
      <c r="AH66" s="3">
        <v>0</v>
      </c>
      <c r="AI66" s="4">
        <v>0</v>
      </c>
      <c r="AJ66" s="4">
        <v>100000</v>
      </c>
      <c r="AK66" s="4">
        <v>0</v>
      </c>
      <c r="AL66" s="4">
        <v>0</v>
      </c>
      <c r="AM66" s="3">
        <v>2000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 t="str">
        <f t="shared" si="0"/>
        <v>tunhe064</v>
      </c>
      <c r="AZ66" s="4">
        <v>-1</v>
      </c>
      <c r="BA66" s="4">
        <v>2</v>
      </c>
      <c r="BB66" s="3"/>
    </row>
    <row r="67" spans="1:54" x14ac:dyDescent="0.25">
      <c r="A67" s="4" t="s">
        <v>163</v>
      </c>
      <c r="B67" s="4" t="s">
        <v>164</v>
      </c>
      <c r="C67" s="4">
        <v>100</v>
      </c>
      <c r="D67" s="4" t="s">
        <v>261</v>
      </c>
      <c r="E67" s="4">
        <v>0</v>
      </c>
      <c r="F67" s="4" t="s">
        <v>156</v>
      </c>
      <c r="G67" s="3">
        <v>-1</v>
      </c>
      <c r="H67" s="3">
        <v>-1</v>
      </c>
      <c r="I67" s="3">
        <v>-1</v>
      </c>
      <c r="J67" s="3">
        <v>0</v>
      </c>
      <c r="K67" s="3">
        <v>0</v>
      </c>
      <c r="L67" s="4">
        <v>100</v>
      </c>
      <c r="M67" s="4">
        <v>-1</v>
      </c>
      <c r="N67" s="4">
        <v>2</v>
      </c>
      <c r="O67" s="4">
        <v>100</v>
      </c>
      <c r="P67" s="4">
        <v>-1</v>
      </c>
      <c r="Q67" s="4">
        <v>-1</v>
      </c>
      <c r="R67" s="3">
        <v>1</v>
      </c>
      <c r="S67" s="3">
        <v>0</v>
      </c>
      <c r="T67" s="3">
        <v>0</v>
      </c>
      <c r="U67" s="3">
        <v>0</v>
      </c>
      <c r="V67" s="3">
        <v>0</v>
      </c>
      <c r="W67" s="3">
        <v>-1</v>
      </c>
      <c r="X67" s="3">
        <v>-1</v>
      </c>
      <c r="Y67" s="3">
        <v>50</v>
      </c>
      <c r="Z67" s="3">
        <v>50</v>
      </c>
      <c r="AA67" s="3">
        <v>50</v>
      </c>
      <c r="AB67" s="4">
        <v>0</v>
      </c>
      <c r="AC67" s="3">
        <v>50</v>
      </c>
      <c r="AD67" s="3">
        <v>-1</v>
      </c>
      <c r="AE67" s="3">
        <v>0</v>
      </c>
      <c r="AF67" s="3">
        <v>0</v>
      </c>
      <c r="AG67" s="3">
        <v>0</v>
      </c>
      <c r="AH67" s="3">
        <v>0</v>
      </c>
      <c r="AI67" s="4">
        <v>0</v>
      </c>
      <c r="AJ67" s="4">
        <v>100000</v>
      </c>
      <c r="AK67" s="4">
        <v>0</v>
      </c>
      <c r="AL67" s="4">
        <v>0</v>
      </c>
      <c r="AM67" s="3">
        <v>2000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 t="str">
        <f t="shared" si="0"/>
        <v>tunhe065</v>
      </c>
      <c r="AZ67" s="4">
        <v>-1</v>
      </c>
      <c r="BA67" s="4">
        <v>2</v>
      </c>
      <c r="BB67" s="3"/>
    </row>
    <row r="68" spans="1:54" x14ac:dyDescent="0.25">
      <c r="A68" s="4" t="s">
        <v>165</v>
      </c>
      <c r="B68" s="4" t="s">
        <v>166</v>
      </c>
      <c r="C68" s="4">
        <v>100</v>
      </c>
      <c r="D68" s="4" t="s">
        <v>261</v>
      </c>
      <c r="E68" s="4">
        <v>0</v>
      </c>
      <c r="F68" s="4" t="s">
        <v>156</v>
      </c>
      <c r="G68" s="3">
        <v>-1</v>
      </c>
      <c r="H68" s="3">
        <v>-1</v>
      </c>
      <c r="I68" s="3">
        <v>-1</v>
      </c>
      <c r="J68" s="3">
        <v>0</v>
      </c>
      <c r="K68" s="3">
        <v>0</v>
      </c>
      <c r="L68" s="4">
        <v>100</v>
      </c>
      <c r="M68" s="4">
        <v>-1</v>
      </c>
      <c r="N68" s="4">
        <v>2</v>
      </c>
      <c r="O68" s="4">
        <v>100</v>
      </c>
      <c r="P68" s="4">
        <v>-1</v>
      </c>
      <c r="Q68" s="4">
        <v>-1</v>
      </c>
      <c r="R68" s="3">
        <v>1</v>
      </c>
      <c r="S68" s="3">
        <v>0</v>
      </c>
      <c r="T68" s="3">
        <v>0</v>
      </c>
      <c r="U68" s="3">
        <v>0</v>
      </c>
      <c r="V68" s="3">
        <v>0</v>
      </c>
      <c r="W68" s="3">
        <v>-1</v>
      </c>
      <c r="X68" s="3">
        <v>-1</v>
      </c>
      <c r="Y68" s="3">
        <v>50</v>
      </c>
      <c r="Z68" s="3">
        <v>50</v>
      </c>
      <c r="AA68" s="3">
        <v>50</v>
      </c>
      <c r="AB68" s="4">
        <v>0</v>
      </c>
      <c r="AC68" s="3">
        <v>50</v>
      </c>
      <c r="AD68" s="3">
        <v>-1</v>
      </c>
      <c r="AE68" s="3">
        <v>0</v>
      </c>
      <c r="AF68" s="3">
        <v>0</v>
      </c>
      <c r="AG68" s="3">
        <v>0</v>
      </c>
      <c r="AH68" s="3">
        <v>0</v>
      </c>
      <c r="AI68" s="4">
        <v>0</v>
      </c>
      <c r="AJ68" s="4">
        <v>100000</v>
      </c>
      <c r="AK68" s="4">
        <v>0</v>
      </c>
      <c r="AL68" s="4">
        <v>0</v>
      </c>
      <c r="AM68" s="3">
        <v>2000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 t="str">
        <f t="shared" ref="AY68:AY82" si="1">"t"&amp;A68</f>
        <v>tunhe066</v>
      </c>
      <c r="AZ68" s="4">
        <v>-1</v>
      </c>
      <c r="BA68" s="4">
        <v>2</v>
      </c>
      <c r="BB68" s="3"/>
    </row>
    <row r="69" spans="1:54" x14ac:dyDescent="0.25">
      <c r="A69" s="4" t="s">
        <v>167</v>
      </c>
      <c r="B69" s="4" t="s">
        <v>168</v>
      </c>
      <c r="C69" s="4">
        <v>100</v>
      </c>
      <c r="D69" s="4" t="s">
        <v>261</v>
      </c>
      <c r="E69" s="4">
        <v>0</v>
      </c>
      <c r="F69" s="4" t="s">
        <v>156</v>
      </c>
      <c r="G69" s="3">
        <v>-1</v>
      </c>
      <c r="H69" s="3">
        <v>-1</v>
      </c>
      <c r="I69" s="3">
        <v>-1</v>
      </c>
      <c r="J69" s="3">
        <v>0</v>
      </c>
      <c r="K69" s="3">
        <v>0</v>
      </c>
      <c r="L69" s="4">
        <v>100</v>
      </c>
      <c r="M69" s="4">
        <v>-1</v>
      </c>
      <c r="N69" s="4">
        <v>2</v>
      </c>
      <c r="O69" s="4">
        <v>100</v>
      </c>
      <c r="P69" s="4">
        <v>-1</v>
      </c>
      <c r="Q69" s="4">
        <v>-1</v>
      </c>
      <c r="R69" s="3">
        <v>1</v>
      </c>
      <c r="S69" s="3">
        <v>0</v>
      </c>
      <c r="T69" s="3">
        <v>0</v>
      </c>
      <c r="U69" s="3">
        <v>0</v>
      </c>
      <c r="V69" s="3">
        <v>0</v>
      </c>
      <c r="W69" s="3">
        <v>-1</v>
      </c>
      <c r="X69" s="3">
        <v>-1</v>
      </c>
      <c r="Y69" s="3">
        <v>50</v>
      </c>
      <c r="Z69" s="3">
        <v>50</v>
      </c>
      <c r="AA69" s="3">
        <v>50</v>
      </c>
      <c r="AB69" s="4">
        <v>0</v>
      </c>
      <c r="AC69" s="3">
        <v>50</v>
      </c>
      <c r="AD69" s="3">
        <v>-1</v>
      </c>
      <c r="AE69" s="3">
        <v>0</v>
      </c>
      <c r="AF69" s="3">
        <v>0</v>
      </c>
      <c r="AG69" s="3">
        <v>0</v>
      </c>
      <c r="AH69" s="3">
        <v>0</v>
      </c>
      <c r="AI69" s="4">
        <v>0</v>
      </c>
      <c r="AJ69" s="4">
        <v>100000</v>
      </c>
      <c r="AK69" s="4">
        <v>0</v>
      </c>
      <c r="AL69" s="4">
        <v>0</v>
      </c>
      <c r="AM69" s="3">
        <v>2000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str">
        <f t="shared" si="1"/>
        <v>tunhe067</v>
      </c>
      <c r="AZ69" s="4">
        <v>-1</v>
      </c>
      <c r="BA69" s="4">
        <v>2</v>
      </c>
      <c r="BB69" s="3"/>
    </row>
    <row r="70" spans="1:54" x14ac:dyDescent="0.25">
      <c r="A70" s="4" t="s">
        <v>169</v>
      </c>
      <c r="B70" s="4" t="s">
        <v>170</v>
      </c>
      <c r="C70" s="4">
        <v>100</v>
      </c>
      <c r="D70" s="4" t="s">
        <v>261</v>
      </c>
      <c r="E70" s="4">
        <v>0</v>
      </c>
      <c r="F70" s="4" t="s">
        <v>156</v>
      </c>
      <c r="G70" s="3">
        <v>-1</v>
      </c>
      <c r="H70" s="3">
        <v>-1</v>
      </c>
      <c r="I70" s="3">
        <v>-1</v>
      </c>
      <c r="J70" s="3">
        <v>0</v>
      </c>
      <c r="K70" s="3">
        <v>0</v>
      </c>
      <c r="L70" s="4">
        <v>100</v>
      </c>
      <c r="M70" s="4">
        <v>-1</v>
      </c>
      <c r="N70" s="4">
        <v>2</v>
      </c>
      <c r="O70" s="4">
        <v>100</v>
      </c>
      <c r="P70" s="4">
        <v>-1</v>
      </c>
      <c r="Q70" s="4">
        <v>-1</v>
      </c>
      <c r="R70" s="3">
        <v>1</v>
      </c>
      <c r="S70" s="3">
        <v>0</v>
      </c>
      <c r="T70" s="3">
        <v>0</v>
      </c>
      <c r="U70" s="3">
        <v>0</v>
      </c>
      <c r="V70" s="3">
        <v>0</v>
      </c>
      <c r="W70" s="3">
        <v>-1</v>
      </c>
      <c r="X70" s="3">
        <v>-1</v>
      </c>
      <c r="Y70" s="3">
        <v>50</v>
      </c>
      <c r="Z70" s="3">
        <v>50</v>
      </c>
      <c r="AA70" s="3">
        <v>50</v>
      </c>
      <c r="AB70" s="4">
        <v>0</v>
      </c>
      <c r="AC70" s="3">
        <v>50</v>
      </c>
      <c r="AD70" s="3">
        <v>-1</v>
      </c>
      <c r="AE70" s="3">
        <v>0</v>
      </c>
      <c r="AF70" s="3">
        <v>0</v>
      </c>
      <c r="AG70" s="3">
        <v>0</v>
      </c>
      <c r="AH70" s="3">
        <v>0</v>
      </c>
      <c r="AI70" s="4">
        <v>0</v>
      </c>
      <c r="AJ70" s="4">
        <v>100000</v>
      </c>
      <c r="AK70" s="4">
        <v>0</v>
      </c>
      <c r="AL70" s="4">
        <v>0</v>
      </c>
      <c r="AM70" s="3">
        <v>2000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 t="str">
        <f t="shared" si="1"/>
        <v>tunhe068</v>
      </c>
      <c r="AZ70" s="4">
        <v>-1</v>
      </c>
      <c r="BA70" s="4">
        <v>2</v>
      </c>
      <c r="BB70" s="3"/>
    </row>
    <row r="71" spans="1:54" x14ac:dyDescent="0.25">
      <c r="A71" s="4" t="s">
        <v>171</v>
      </c>
      <c r="B71" s="4" t="s">
        <v>172</v>
      </c>
      <c r="C71" s="4">
        <v>100</v>
      </c>
      <c r="D71" s="4" t="s">
        <v>261</v>
      </c>
      <c r="E71" s="4">
        <v>0</v>
      </c>
      <c r="F71" s="4" t="s">
        <v>156</v>
      </c>
      <c r="G71" s="3">
        <v>-1</v>
      </c>
      <c r="H71" s="3">
        <v>-1</v>
      </c>
      <c r="I71" s="3">
        <v>-1</v>
      </c>
      <c r="J71" s="3">
        <v>0</v>
      </c>
      <c r="K71" s="3">
        <v>0</v>
      </c>
      <c r="L71" s="4">
        <v>100</v>
      </c>
      <c r="M71" s="4">
        <v>-1</v>
      </c>
      <c r="N71" s="4">
        <v>2</v>
      </c>
      <c r="O71" s="4">
        <v>100</v>
      </c>
      <c r="P71" s="4">
        <v>-1</v>
      </c>
      <c r="Q71" s="4">
        <v>-1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-1</v>
      </c>
      <c r="X71" s="3">
        <v>-1</v>
      </c>
      <c r="Y71" s="3">
        <v>50</v>
      </c>
      <c r="Z71" s="3">
        <v>50</v>
      </c>
      <c r="AA71" s="3">
        <v>50</v>
      </c>
      <c r="AB71" s="4">
        <v>0</v>
      </c>
      <c r="AC71" s="3">
        <v>50</v>
      </c>
      <c r="AD71" s="3">
        <v>-1</v>
      </c>
      <c r="AE71" s="3">
        <v>0</v>
      </c>
      <c r="AF71" s="3">
        <v>0</v>
      </c>
      <c r="AG71" s="3">
        <v>0</v>
      </c>
      <c r="AH71" s="3">
        <v>0</v>
      </c>
      <c r="AI71" s="4">
        <v>0</v>
      </c>
      <c r="AJ71" s="4">
        <v>100000</v>
      </c>
      <c r="AK71" s="4">
        <v>0</v>
      </c>
      <c r="AL71" s="4">
        <v>0</v>
      </c>
      <c r="AM71" s="3">
        <v>2000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 t="str">
        <f t="shared" si="1"/>
        <v>tunhe069</v>
      </c>
      <c r="AZ71" s="4">
        <v>-1</v>
      </c>
      <c r="BA71" s="4">
        <v>2</v>
      </c>
      <c r="BB71" s="3"/>
    </row>
    <row r="72" spans="1:54" x14ac:dyDescent="0.25">
      <c r="A72" s="4" t="s">
        <v>173</v>
      </c>
      <c r="B72" s="4" t="s">
        <v>174</v>
      </c>
      <c r="C72" s="4">
        <v>100</v>
      </c>
      <c r="D72" s="4" t="s">
        <v>261</v>
      </c>
      <c r="E72" s="4">
        <v>0</v>
      </c>
      <c r="F72" s="4" t="s">
        <v>156</v>
      </c>
      <c r="G72" s="3">
        <v>-1</v>
      </c>
      <c r="H72" s="3">
        <v>-1</v>
      </c>
      <c r="I72" s="3">
        <v>-1</v>
      </c>
      <c r="J72" s="3">
        <v>0</v>
      </c>
      <c r="K72" s="3">
        <v>0</v>
      </c>
      <c r="L72" s="4">
        <v>100</v>
      </c>
      <c r="M72" s="4">
        <v>-1</v>
      </c>
      <c r="N72" s="4">
        <v>2</v>
      </c>
      <c r="O72" s="4">
        <v>100</v>
      </c>
      <c r="P72" s="4">
        <v>-1</v>
      </c>
      <c r="Q72" s="4">
        <v>-1</v>
      </c>
      <c r="R72" s="3">
        <v>1</v>
      </c>
      <c r="S72" s="3">
        <v>0</v>
      </c>
      <c r="T72" s="3">
        <v>0</v>
      </c>
      <c r="U72" s="3">
        <v>0</v>
      </c>
      <c r="V72" s="3">
        <v>0</v>
      </c>
      <c r="W72" s="3">
        <v>-1</v>
      </c>
      <c r="X72" s="3">
        <v>-1</v>
      </c>
      <c r="Y72" s="3">
        <v>50</v>
      </c>
      <c r="Z72" s="3">
        <v>50</v>
      </c>
      <c r="AA72" s="3">
        <v>50</v>
      </c>
      <c r="AB72" s="4">
        <v>0</v>
      </c>
      <c r="AC72" s="3">
        <v>50</v>
      </c>
      <c r="AD72" s="3">
        <v>-1</v>
      </c>
      <c r="AE72" s="3">
        <v>0</v>
      </c>
      <c r="AF72" s="3">
        <v>0</v>
      </c>
      <c r="AG72" s="3">
        <v>0</v>
      </c>
      <c r="AH72" s="3">
        <v>0</v>
      </c>
      <c r="AI72" s="4">
        <v>0</v>
      </c>
      <c r="AJ72" s="4">
        <v>100000</v>
      </c>
      <c r="AK72" s="4">
        <v>0</v>
      </c>
      <c r="AL72" s="4">
        <v>0</v>
      </c>
      <c r="AM72" s="3">
        <v>2000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 t="str">
        <f t="shared" si="1"/>
        <v>tunhe070</v>
      </c>
      <c r="AZ72" s="4">
        <v>-1</v>
      </c>
      <c r="BA72" s="4">
        <v>2</v>
      </c>
      <c r="BB72" s="3"/>
    </row>
    <row r="73" spans="1:54" x14ac:dyDescent="0.25">
      <c r="A73" s="4" t="s">
        <v>175</v>
      </c>
      <c r="B73" s="4" t="s">
        <v>176</v>
      </c>
      <c r="C73" s="4">
        <v>100</v>
      </c>
      <c r="D73" s="4" t="s">
        <v>261</v>
      </c>
      <c r="E73" s="4">
        <v>0</v>
      </c>
      <c r="F73" s="4" t="s">
        <v>156</v>
      </c>
      <c r="G73" s="3">
        <v>-1</v>
      </c>
      <c r="H73" s="3">
        <v>-1</v>
      </c>
      <c r="I73" s="3">
        <v>-1</v>
      </c>
      <c r="J73" s="3">
        <v>0</v>
      </c>
      <c r="K73" s="3">
        <v>0</v>
      </c>
      <c r="L73" s="4">
        <v>100</v>
      </c>
      <c r="M73" s="4">
        <v>-1</v>
      </c>
      <c r="N73" s="4">
        <v>2</v>
      </c>
      <c r="O73" s="4">
        <v>100</v>
      </c>
      <c r="P73" s="4">
        <v>-1</v>
      </c>
      <c r="Q73" s="4">
        <v>-1</v>
      </c>
      <c r="R73" s="3">
        <v>1</v>
      </c>
      <c r="S73" s="3">
        <v>0</v>
      </c>
      <c r="T73" s="3">
        <v>0</v>
      </c>
      <c r="U73" s="3">
        <v>0</v>
      </c>
      <c r="V73" s="3">
        <v>0</v>
      </c>
      <c r="W73" s="3">
        <v>-1</v>
      </c>
      <c r="X73" s="3">
        <v>-1</v>
      </c>
      <c r="Y73" s="3">
        <v>50</v>
      </c>
      <c r="Z73" s="3">
        <v>50</v>
      </c>
      <c r="AA73" s="3">
        <v>50</v>
      </c>
      <c r="AB73" s="4">
        <v>0</v>
      </c>
      <c r="AC73" s="3">
        <v>50</v>
      </c>
      <c r="AD73" s="3">
        <v>-1</v>
      </c>
      <c r="AE73" s="3">
        <v>0</v>
      </c>
      <c r="AF73" s="3">
        <v>0</v>
      </c>
      <c r="AG73" s="3">
        <v>0</v>
      </c>
      <c r="AH73" s="3">
        <v>0</v>
      </c>
      <c r="AI73" s="4">
        <v>0</v>
      </c>
      <c r="AJ73" s="4">
        <v>100000</v>
      </c>
      <c r="AK73" s="4">
        <v>0</v>
      </c>
      <c r="AL73" s="4">
        <v>0</v>
      </c>
      <c r="AM73" s="3">
        <v>2000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 t="str">
        <f t="shared" si="1"/>
        <v>tunhe071</v>
      </c>
      <c r="AZ73" s="4">
        <v>-1</v>
      </c>
      <c r="BA73" s="4">
        <v>2</v>
      </c>
      <c r="BB73" s="3"/>
    </row>
    <row r="74" spans="1:54" x14ac:dyDescent="0.25">
      <c r="A74" s="4" t="s">
        <v>177</v>
      </c>
      <c r="B74" s="4" t="s">
        <v>178</v>
      </c>
      <c r="C74" s="4">
        <v>100</v>
      </c>
      <c r="D74" s="4" t="s">
        <v>261</v>
      </c>
      <c r="E74" s="4">
        <v>0</v>
      </c>
      <c r="F74" s="4" t="s">
        <v>156</v>
      </c>
      <c r="G74" s="3">
        <v>-1</v>
      </c>
      <c r="H74" s="3">
        <v>-1</v>
      </c>
      <c r="I74" s="3">
        <v>-1</v>
      </c>
      <c r="J74" s="3">
        <v>0</v>
      </c>
      <c r="K74" s="3">
        <v>0</v>
      </c>
      <c r="L74" s="4">
        <v>100</v>
      </c>
      <c r="M74" s="4">
        <v>-1</v>
      </c>
      <c r="N74" s="4">
        <v>2</v>
      </c>
      <c r="O74" s="4">
        <v>100</v>
      </c>
      <c r="P74" s="4">
        <v>-1</v>
      </c>
      <c r="Q74" s="4">
        <v>-1</v>
      </c>
      <c r="R74" s="3">
        <v>1</v>
      </c>
      <c r="S74" s="3">
        <v>0</v>
      </c>
      <c r="T74" s="3">
        <v>0</v>
      </c>
      <c r="U74" s="3">
        <v>0</v>
      </c>
      <c r="V74" s="3">
        <v>0</v>
      </c>
      <c r="W74" s="3">
        <v>-1</v>
      </c>
      <c r="X74" s="3">
        <v>-1</v>
      </c>
      <c r="Y74" s="3">
        <v>50</v>
      </c>
      <c r="Z74" s="3">
        <v>50</v>
      </c>
      <c r="AA74" s="3">
        <v>50</v>
      </c>
      <c r="AB74" s="4">
        <v>0</v>
      </c>
      <c r="AC74" s="3">
        <v>50</v>
      </c>
      <c r="AD74" s="3">
        <v>-1</v>
      </c>
      <c r="AE74" s="3">
        <v>0</v>
      </c>
      <c r="AF74" s="3">
        <v>0</v>
      </c>
      <c r="AG74" s="3">
        <v>0</v>
      </c>
      <c r="AH74" s="3">
        <v>0</v>
      </c>
      <c r="AI74" s="4">
        <v>0</v>
      </c>
      <c r="AJ74" s="4">
        <v>100000</v>
      </c>
      <c r="AK74" s="4">
        <v>0</v>
      </c>
      <c r="AL74" s="4">
        <v>0</v>
      </c>
      <c r="AM74" s="3">
        <v>2000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 t="str">
        <f t="shared" si="1"/>
        <v>tunhe072</v>
      </c>
      <c r="AZ74" s="4">
        <v>-1</v>
      </c>
      <c r="BA74" s="4">
        <v>2</v>
      </c>
      <c r="BB74" s="3"/>
    </row>
    <row r="75" spans="1:54" x14ac:dyDescent="0.25">
      <c r="A75" s="4" t="s">
        <v>179</v>
      </c>
      <c r="B75" s="4" t="s">
        <v>180</v>
      </c>
      <c r="C75" s="4">
        <v>100</v>
      </c>
      <c r="D75" s="4" t="s">
        <v>261</v>
      </c>
      <c r="E75" s="4">
        <v>0</v>
      </c>
      <c r="F75" s="4" t="s">
        <v>156</v>
      </c>
      <c r="G75" s="3">
        <v>-1</v>
      </c>
      <c r="H75" s="3">
        <v>-1</v>
      </c>
      <c r="I75" s="3">
        <v>-1</v>
      </c>
      <c r="J75" s="3">
        <v>0</v>
      </c>
      <c r="K75" s="3">
        <v>0</v>
      </c>
      <c r="L75" s="4">
        <v>100</v>
      </c>
      <c r="M75" s="4">
        <v>-1</v>
      </c>
      <c r="N75" s="4">
        <v>2</v>
      </c>
      <c r="O75" s="4">
        <v>100</v>
      </c>
      <c r="P75" s="4">
        <v>-1</v>
      </c>
      <c r="Q75" s="4">
        <v>-1</v>
      </c>
      <c r="R75" s="3">
        <v>1</v>
      </c>
      <c r="S75" s="3">
        <v>0</v>
      </c>
      <c r="T75" s="3">
        <v>0</v>
      </c>
      <c r="U75" s="3">
        <v>0</v>
      </c>
      <c r="V75" s="3">
        <v>0</v>
      </c>
      <c r="W75" s="3">
        <v>-1</v>
      </c>
      <c r="X75" s="3">
        <v>-1</v>
      </c>
      <c r="Y75" s="3">
        <v>50</v>
      </c>
      <c r="Z75" s="3">
        <v>50</v>
      </c>
      <c r="AA75" s="3">
        <v>50</v>
      </c>
      <c r="AB75" s="4">
        <v>0</v>
      </c>
      <c r="AC75" s="3">
        <v>50</v>
      </c>
      <c r="AD75" s="3">
        <v>-1</v>
      </c>
      <c r="AE75" s="3">
        <v>0</v>
      </c>
      <c r="AF75" s="3">
        <v>0</v>
      </c>
      <c r="AG75" s="3">
        <v>0</v>
      </c>
      <c r="AH75" s="3">
        <v>0</v>
      </c>
      <c r="AI75" s="4">
        <v>0</v>
      </c>
      <c r="AJ75" s="4">
        <v>100000</v>
      </c>
      <c r="AK75" s="4">
        <v>0</v>
      </c>
      <c r="AL75" s="4">
        <v>0</v>
      </c>
      <c r="AM75" s="3">
        <v>2000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 t="str">
        <f t="shared" si="1"/>
        <v>tunhe073</v>
      </c>
      <c r="AZ75" s="4">
        <v>-1</v>
      </c>
      <c r="BA75" s="4">
        <v>2</v>
      </c>
      <c r="BB75" s="3"/>
    </row>
    <row r="76" spans="1:54" x14ac:dyDescent="0.25">
      <c r="A76" s="4" t="s">
        <v>181</v>
      </c>
      <c r="B76" s="4" t="s">
        <v>182</v>
      </c>
      <c r="C76" s="4">
        <v>100</v>
      </c>
      <c r="D76" s="4" t="s">
        <v>261</v>
      </c>
      <c r="E76" s="4">
        <v>0</v>
      </c>
      <c r="F76" s="4" t="s">
        <v>156</v>
      </c>
      <c r="G76" s="3">
        <v>-1</v>
      </c>
      <c r="H76" s="3">
        <v>-1</v>
      </c>
      <c r="I76" s="3">
        <v>-1</v>
      </c>
      <c r="J76" s="3">
        <v>0</v>
      </c>
      <c r="K76" s="3">
        <v>0</v>
      </c>
      <c r="L76" s="4">
        <v>100</v>
      </c>
      <c r="M76" s="4">
        <v>-1</v>
      </c>
      <c r="N76" s="4">
        <v>2</v>
      </c>
      <c r="O76" s="4">
        <v>100</v>
      </c>
      <c r="P76" s="4">
        <v>-1</v>
      </c>
      <c r="Q76" s="4">
        <v>-1</v>
      </c>
      <c r="R76" s="3">
        <v>1</v>
      </c>
      <c r="S76" s="3">
        <v>0</v>
      </c>
      <c r="T76" s="3">
        <v>0</v>
      </c>
      <c r="U76" s="3">
        <v>0</v>
      </c>
      <c r="V76" s="3">
        <v>0</v>
      </c>
      <c r="W76" s="3">
        <v>-1</v>
      </c>
      <c r="X76" s="3">
        <v>-1</v>
      </c>
      <c r="Y76" s="3">
        <v>50</v>
      </c>
      <c r="Z76" s="3">
        <v>50</v>
      </c>
      <c r="AA76" s="3">
        <v>50</v>
      </c>
      <c r="AB76" s="4">
        <v>0</v>
      </c>
      <c r="AC76" s="3">
        <v>50</v>
      </c>
      <c r="AD76" s="3">
        <v>-1</v>
      </c>
      <c r="AE76" s="3">
        <v>0</v>
      </c>
      <c r="AF76" s="3">
        <v>0</v>
      </c>
      <c r="AG76" s="3">
        <v>0</v>
      </c>
      <c r="AH76" s="3">
        <v>0</v>
      </c>
      <c r="AI76" s="4">
        <v>0</v>
      </c>
      <c r="AJ76" s="4">
        <v>100000</v>
      </c>
      <c r="AK76" s="4">
        <v>0</v>
      </c>
      <c r="AL76" s="4">
        <v>0</v>
      </c>
      <c r="AM76" s="3">
        <v>2000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 t="str">
        <f t="shared" si="1"/>
        <v>tunhe074</v>
      </c>
      <c r="AZ76" s="4">
        <v>-1</v>
      </c>
      <c r="BA76" s="4">
        <v>2</v>
      </c>
      <c r="BB76" s="3"/>
    </row>
    <row r="77" spans="1:54" x14ac:dyDescent="0.25">
      <c r="A77" s="4" t="s">
        <v>183</v>
      </c>
      <c r="B77" s="4" t="s">
        <v>184</v>
      </c>
      <c r="C77" s="4">
        <v>100</v>
      </c>
      <c r="D77" s="4" t="s">
        <v>261</v>
      </c>
      <c r="E77" s="4">
        <v>0</v>
      </c>
      <c r="F77" s="4" t="s">
        <v>156</v>
      </c>
      <c r="G77" s="3">
        <v>-1</v>
      </c>
      <c r="H77" s="3">
        <v>-1</v>
      </c>
      <c r="I77" s="3">
        <v>-1</v>
      </c>
      <c r="J77" s="3">
        <v>0</v>
      </c>
      <c r="K77" s="3">
        <v>0</v>
      </c>
      <c r="L77" s="4">
        <v>100</v>
      </c>
      <c r="M77" s="4">
        <v>-1</v>
      </c>
      <c r="N77" s="4">
        <v>2</v>
      </c>
      <c r="O77" s="4">
        <v>100</v>
      </c>
      <c r="P77" s="4">
        <v>-1</v>
      </c>
      <c r="Q77" s="4">
        <v>-1</v>
      </c>
      <c r="R77" s="3">
        <v>1</v>
      </c>
      <c r="S77" s="3">
        <v>0</v>
      </c>
      <c r="T77" s="3">
        <v>0</v>
      </c>
      <c r="U77" s="3">
        <v>0</v>
      </c>
      <c r="V77" s="3">
        <v>0</v>
      </c>
      <c r="W77" s="3">
        <v>-1</v>
      </c>
      <c r="X77" s="3">
        <v>-1</v>
      </c>
      <c r="Y77" s="3">
        <v>50</v>
      </c>
      <c r="Z77" s="3">
        <v>50</v>
      </c>
      <c r="AA77" s="3">
        <v>50</v>
      </c>
      <c r="AB77" s="4">
        <v>0</v>
      </c>
      <c r="AC77" s="3">
        <v>50</v>
      </c>
      <c r="AD77" s="3">
        <v>-1</v>
      </c>
      <c r="AE77" s="3">
        <v>0</v>
      </c>
      <c r="AF77" s="3">
        <v>0</v>
      </c>
      <c r="AG77" s="3">
        <v>0</v>
      </c>
      <c r="AH77" s="3">
        <v>0</v>
      </c>
      <c r="AI77" s="4">
        <v>0</v>
      </c>
      <c r="AJ77" s="4">
        <v>100000</v>
      </c>
      <c r="AK77" s="4">
        <v>0</v>
      </c>
      <c r="AL77" s="4">
        <v>0</v>
      </c>
      <c r="AM77" s="3">
        <v>2000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str">
        <f t="shared" si="1"/>
        <v>tunhe075</v>
      </c>
      <c r="AZ77" s="4">
        <v>-1</v>
      </c>
      <c r="BA77" s="4">
        <v>2</v>
      </c>
      <c r="BB77" s="3"/>
    </row>
    <row r="78" spans="1:54" x14ac:dyDescent="0.25">
      <c r="A78" s="4" t="s">
        <v>185</v>
      </c>
      <c r="B78" s="4" t="s">
        <v>186</v>
      </c>
      <c r="C78" s="4">
        <v>100</v>
      </c>
      <c r="D78" s="4" t="s">
        <v>261</v>
      </c>
      <c r="E78" s="4">
        <v>0</v>
      </c>
      <c r="F78" s="4" t="s">
        <v>156</v>
      </c>
      <c r="G78" s="3">
        <v>-1</v>
      </c>
      <c r="H78" s="3">
        <v>-1</v>
      </c>
      <c r="I78" s="3">
        <v>-1</v>
      </c>
      <c r="J78" s="3">
        <v>0</v>
      </c>
      <c r="K78" s="3">
        <v>0</v>
      </c>
      <c r="L78" s="4">
        <v>100</v>
      </c>
      <c r="M78" s="4">
        <v>-1</v>
      </c>
      <c r="N78" s="4">
        <v>2</v>
      </c>
      <c r="O78" s="4">
        <v>100</v>
      </c>
      <c r="P78" s="4">
        <v>-1</v>
      </c>
      <c r="Q78" s="4">
        <v>-1</v>
      </c>
      <c r="R78" s="3">
        <v>1</v>
      </c>
      <c r="S78" s="3">
        <v>0</v>
      </c>
      <c r="T78" s="3">
        <v>0</v>
      </c>
      <c r="U78" s="3">
        <v>0</v>
      </c>
      <c r="V78" s="3">
        <v>0</v>
      </c>
      <c r="W78" s="3">
        <v>-1</v>
      </c>
      <c r="X78" s="3">
        <v>-1</v>
      </c>
      <c r="Y78" s="3">
        <v>50</v>
      </c>
      <c r="Z78" s="3">
        <v>50</v>
      </c>
      <c r="AA78" s="3">
        <v>50</v>
      </c>
      <c r="AB78" s="4">
        <v>0</v>
      </c>
      <c r="AC78" s="3">
        <v>50</v>
      </c>
      <c r="AD78" s="3">
        <v>-1</v>
      </c>
      <c r="AE78" s="3">
        <v>0</v>
      </c>
      <c r="AF78" s="3">
        <v>0</v>
      </c>
      <c r="AG78" s="3">
        <v>0</v>
      </c>
      <c r="AH78" s="3">
        <v>0</v>
      </c>
      <c r="AI78" s="4">
        <v>0</v>
      </c>
      <c r="AJ78" s="4">
        <v>100000</v>
      </c>
      <c r="AK78" s="4">
        <v>0</v>
      </c>
      <c r="AL78" s="4">
        <v>0</v>
      </c>
      <c r="AM78" s="3">
        <v>2000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 t="str">
        <f t="shared" si="1"/>
        <v>tunhe076</v>
      </c>
      <c r="AZ78" s="4">
        <v>-1</v>
      </c>
      <c r="BA78" s="4">
        <v>2</v>
      </c>
      <c r="BB78" s="3"/>
    </row>
    <row r="79" spans="1:54" x14ac:dyDescent="0.25">
      <c r="A79" s="4" t="s">
        <v>187</v>
      </c>
      <c r="B79" s="4" t="s">
        <v>188</v>
      </c>
      <c r="C79" s="4">
        <v>100</v>
      </c>
      <c r="D79" s="4" t="s">
        <v>261</v>
      </c>
      <c r="E79" s="4">
        <v>0</v>
      </c>
      <c r="F79" s="4" t="s">
        <v>156</v>
      </c>
      <c r="G79" s="3">
        <v>-1</v>
      </c>
      <c r="H79" s="3">
        <v>-1</v>
      </c>
      <c r="I79" s="3">
        <v>-1</v>
      </c>
      <c r="J79" s="3">
        <v>0</v>
      </c>
      <c r="K79" s="3">
        <v>0</v>
      </c>
      <c r="L79" s="4">
        <v>100</v>
      </c>
      <c r="M79" s="4">
        <v>-1</v>
      </c>
      <c r="N79" s="4">
        <v>2</v>
      </c>
      <c r="O79" s="4">
        <v>100</v>
      </c>
      <c r="P79" s="4">
        <v>-1</v>
      </c>
      <c r="Q79" s="4">
        <v>-1</v>
      </c>
      <c r="R79" s="3">
        <v>1</v>
      </c>
      <c r="S79" s="3">
        <v>0</v>
      </c>
      <c r="T79" s="3">
        <v>0</v>
      </c>
      <c r="U79" s="3">
        <v>0</v>
      </c>
      <c r="V79" s="3">
        <v>0</v>
      </c>
      <c r="W79" s="3">
        <v>-1</v>
      </c>
      <c r="X79" s="3">
        <v>-1</v>
      </c>
      <c r="Y79" s="3">
        <v>50</v>
      </c>
      <c r="Z79" s="3">
        <v>50</v>
      </c>
      <c r="AA79" s="3">
        <v>50</v>
      </c>
      <c r="AB79" s="4">
        <v>0</v>
      </c>
      <c r="AC79" s="3">
        <v>50</v>
      </c>
      <c r="AD79" s="3">
        <v>-1</v>
      </c>
      <c r="AE79" s="3">
        <v>0</v>
      </c>
      <c r="AF79" s="3">
        <v>0</v>
      </c>
      <c r="AG79" s="3">
        <v>0</v>
      </c>
      <c r="AH79" s="3">
        <v>0</v>
      </c>
      <c r="AI79" s="4">
        <v>0</v>
      </c>
      <c r="AJ79" s="4">
        <v>100000</v>
      </c>
      <c r="AK79" s="4">
        <v>0</v>
      </c>
      <c r="AL79" s="4">
        <v>0</v>
      </c>
      <c r="AM79" s="3">
        <v>2000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str">
        <f t="shared" si="1"/>
        <v>tunhe077</v>
      </c>
      <c r="AZ79" s="4">
        <v>-1</v>
      </c>
      <c r="BA79" s="4">
        <v>2</v>
      </c>
      <c r="BB79" s="3"/>
    </row>
    <row r="80" spans="1:54" x14ac:dyDescent="0.25">
      <c r="A80" s="4" t="s">
        <v>189</v>
      </c>
      <c r="B80" s="4" t="s">
        <v>190</v>
      </c>
      <c r="C80" s="4">
        <v>100</v>
      </c>
      <c r="D80" s="4" t="s">
        <v>261</v>
      </c>
      <c r="E80" s="4">
        <v>0</v>
      </c>
      <c r="F80" s="4" t="s">
        <v>156</v>
      </c>
      <c r="G80" s="3">
        <v>-1</v>
      </c>
      <c r="H80" s="3">
        <v>-1</v>
      </c>
      <c r="I80" s="3">
        <v>-1</v>
      </c>
      <c r="J80" s="3">
        <v>0</v>
      </c>
      <c r="K80" s="3">
        <v>0</v>
      </c>
      <c r="L80" s="4">
        <v>100</v>
      </c>
      <c r="M80" s="4">
        <v>-1</v>
      </c>
      <c r="N80" s="4">
        <v>2</v>
      </c>
      <c r="O80" s="4">
        <v>100</v>
      </c>
      <c r="P80" s="4">
        <v>-1</v>
      </c>
      <c r="Q80" s="4">
        <v>-1</v>
      </c>
      <c r="R80" s="3">
        <v>1</v>
      </c>
      <c r="S80" s="3">
        <v>0</v>
      </c>
      <c r="T80" s="3">
        <v>0</v>
      </c>
      <c r="U80" s="3">
        <v>0</v>
      </c>
      <c r="V80" s="3">
        <v>0</v>
      </c>
      <c r="W80" s="3">
        <v>-1</v>
      </c>
      <c r="X80" s="3">
        <v>-1</v>
      </c>
      <c r="Y80" s="3">
        <v>50</v>
      </c>
      <c r="Z80" s="3">
        <v>50</v>
      </c>
      <c r="AA80" s="3">
        <v>50</v>
      </c>
      <c r="AB80" s="4">
        <v>0</v>
      </c>
      <c r="AC80" s="3">
        <v>50</v>
      </c>
      <c r="AD80" s="3">
        <v>-1</v>
      </c>
      <c r="AE80" s="3">
        <v>0</v>
      </c>
      <c r="AF80" s="3">
        <v>0</v>
      </c>
      <c r="AG80" s="3">
        <v>0</v>
      </c>
      <c r="AH80" s="3">
        <v>0</v>
      </c>
      <c r="AI80" s="4">
        <v>0</v>
      </c>
      <c r="AJ80" s="4">
        <v>100000</v>
      </c>
      <c r="AK80" s="4">
        <v>0</v>
      </c>
      <c r="AL80" s="4">
        <v>0</v>
      </c>
      <c r="AM80" s="3">
        <v>2000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 t="str">
        <f t="shared" si="1"/>
        <v>tunhe078</v>
      </c>
      <c r="AZ80" s="4">
        <v>-1</v>
      </c>
      <c r="BA80" s="4">
        <v>2</v>
      </c>
      <c r="BB80" s="3"/>
    </row>
    <row r="81" spans="1:54" x14ac:dyDescent="0.25">
      <c r="A81" s="4" t="s">
        <v>191</v>
      </c>
      <c r="B81" s="4" t="s">
        <v>192</v>
      </c>
      <c r="C81" s="4">
        <v>100</v>
      </c>
      <c r="D81" s="4" t="s">
        <v>261</v>
      </c>
      <c r="E81" s="4">
        <v>0</v>
      </c>
      <c r="F81" s="4" t="s">
        <v>156</v>
      </c>
      <c r="G81" s="3">
        <v>-1</v>
      </c>
      <c r="H81" s="3">
        <v>-1</v>
      </c>
      <c r="I81" s="3">
        <v>-1</v>
      </c>
      <c r="J81" s="3">
        <v>0</v>
      </c>
      <c r="K81" s="3">
        <v>0</v>
      </c>
      <c r="L81" s="4">
        <v>100</v>
      </c>
      <c r="M81" s="4">
        <v>-1</v>
      </c>
      <c r="N81" s="4">
        <v>2</v>
      </c>
      <c r="O81" s="4">
        <v>100</v>
      </c>
      <c r="P81" s="4">
        <v>-1</v>
      </c>
      <c r="Q81" s="4">
        <v>-1</v>
      </c>
      <c r="R81" s="3">
        <v>1</v>
      </c>
      <c r="S81" s="3">
        <v>0</v>
      </c>
      <c r="T81" s="3">
        <v>0</v>
      </c>
      <c r="U81" s="3">
        <v>0</v>
      </c>
      <c r="V81" s="3">
        <v>0</v>
      </c>
      <c r="W81" s="3">
        <v>-1</v>
      </c>
      <c r="X81" s="3">
        <v>-1</v>
      </c>
      <c r="Y81" s="3">
        <v>50</v>
      </c>
      <c r="Z81" s="3">
        <v>50</v>
      </c>
      <c r="AA81" s="3">
        <v>50</v>
      </c>
      <c r="AB81" s="4">
        <v>0</v>
      </c>
      <c r="AC81" s="3">
        <v>50</v>
      </c>
      <c r="AD81" s="3">
        <v>-1</v>
      </c>
      <c r="AE81" s="3">
        <v>0</v>
      </c>
      <c r="AF81" s="3">
        <v>0</v>
      </c>
      <c r="AG81" s="3">
        <v>0</v>
      </c>
      <c r="AH81" s="3">
        <v>0</v>
      </c>
      <c r="AI81" s="4">
        <v>0</v>
      </c>
      <c r="AJ81" s="4">
        <v>100000</v>
      </c>
      <c r="AK81" s="4">
        <v>0</v>
      </c>
      <c r="AL81" s="4">
        <v>0</v>
      </c>
      <c r="AM81" s="3">
        <v>2000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 t="str">
        <f t="shared" si="1"/>
        <v>tunhe079</v>
      </c>
      <c r="AZ81" s="4">
        <v>-1</v>
      </c>
      <c r="BA81" s="4">
        <v>2</v>
      </c>
      <c r="BB81" s="3"/>
    </row>
    <row r="82" spans="1:54" x14ac:dyDescent="0.25">
      <c r="A82" s="4" t="s">
        <v>193</v>
      </c>
      <c r="B82" s="4" t="s">
        <v>194</v>
      </c>
      <c r="C82" s="4">
        <v>100</v>
      </c>
      <c r="D82" s="4" t="s">
        <v>261</v>
      </c>
      <c r="E82" s="4">
        <v>0</v>
      </c>
      <c r="F82" s="4" t="s">
        <v>156</v>
      </c>
      <c r="G82" s="3">
        <v>-1</v>
      </c>
      <c r="H82" s="3">
        <v>-1</v>
      </c>
      <c r="I82" s="3">
        <v>-1</v>
      </c>
      <c r="J82" s="3">
        <v>0</v>
      </c>
      <c r="K82" s="3">
        <v>0</v>
      </c>
      <c r="L82" s="4">
        <v>100</v>
      </c>
      <c r="M82" s="4">
        <v>-1</v>
      </c>
      <c r="N82" s="4">
        <v>2</v>
      </c>
      <c r="O82" s="4">
        <v>100</v>
      </c>
      <c r="P82" s="4">
        <v>-1</v>
      </c>
      <c r="Q82" s="4">
        <v>-1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-1</v>
      </c>
      <c r="X82" s="3">
        <v>-1</v>
      </c>
      <c r="Y82" s="3">
        <v>50</v>
      </c>
      <c r="Z82" s="3">
        <v>50</v>
      </c>
      <c r="AA82" s="3">
        <v>50</v>
      </c>
      <c r="AB82" s="4">
        <v>0</v>
      </c>
      <c r="AC82" s="3">
        <v>50</v>
      </c>
      <c r="AD82" s="3">
        <v>-1</v>
      </c>
      <c r="AE82" s="3">
        <v>0</v>
      </c>
      <c r="AF82" s="3">
        <v>0</v>
      </c>
      <c r="AG82" s="3">
        <v>0</v>
      </c>
      <c r="AH82" s="3">
        <v>0</v>
      </c>
      <c r="AI82" s="4">
        <v>0</v>
      </c>
      <c r="AJ82" s="4">
        <v>100000</v>
      </c>
      <c r="AK82" s="4">
        <v>0</v>
      </c>
      <c r="AL82" s="4">
        <v>0</v>
      </c>
      <c r="AM82" s="3">
        <v>2000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 t="str">
        <f t="shared" si="1"/>
        <v>tunhe080</v>
      </c>
      <c r="AZ82" s="4">
        <v>-1</v>
      </c>
      <c r="BA82" s="4">
        <v>2</v>
      </c>
      <c r="BB82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UnitHead!A2</f>
        <v>Code</v>
      </c>
      <c r="B2" t="str">
        <f>UnitHead!D2</f>
        <v>Name</v>
      </c>
      <c r="C2" s="1" t="str">
        <f>UnitHead!B2</f>
        <v>Model</v>
      </c>
      <c r="D2" t="str">
        <f>UnitHead!C2</f>
        <v>Icon</v>
      </c>
      <c r="E2" t="s">
        <v>201</v>
      </c>
      <c r="F2" t="s">
        <v>202</v>
      </c>
      <c r="G2" t="str">
        <f>UnitHead!AI2</f>
        <v>Money</v>
      </c>
      <c r="H2" t="s">
        <v>203</v>
      </c>
      <c r="I2" t="str">
        <f>UnitHead!AJ2</f>
        <v>StdPrice</v>
      </c>
      <c r="J2" t="str">
        <f>UnitHead!AK2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UnitHead!M2</f>
        <v>UpLvLim</v>
      </c>
      <c r="X2" t="str">
        <f>UnitHead!E2</f>
        <v>FixPart</v>
      </c>
      <c r="Y2" s="1" t="str">
        <f>UnitHead!F2</f>
        <v>DefFrame</v>
      </c>
      <c r="Z2" t="s">
        <v>203</v>
      </c>
      <c r="AA2" t="s">
        <v>203</v>
      </c>
      <c r="AB2" t="str">
        <f>UnitHead!AB2</f>
        <v>DefFc</v>
      </c>
      <c r="AC2" t="str">
        <f>UnitHead!AE2</f>
        <v>Fire</v>
      </c>
      <c r="AD2" t="str">
        <f>UnitHead!AF2</f>
        <v>Water</v>
      </c>
      <c r="AE2" t="str">
        <f>UnitHead!AG2</f>
        <v>Soil</v>
      </c>
      <c r="AF2" t="str">
        <f>UnitHead!AH2</f>
        <v>Wind</v>
      </c>
      <c r="AG2" t="str">
        <f>UnitHead!Y2</f>
        <v>AttMastery</v>
      </c>
      <c r="AH2" t="str">
        <f>UnitHead!AC2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UnitHead!L2</f>
        <v>LvLim</v>
      </c>
      <c r="AP2" t="str">
        <f>UnitHead!N2</f>
        <v>ExpertID1</v>
      </c>
      <c r="AQ2" t="str">
        <f>UnitHead!P2</f>
        <v>ExpertID2</v>
      </c>
      <c r="AR2" t="str">
        <f>UnitHead!O2</f>
        <v>ExpertLim1</v>
      </c>
      <c r="AS2" t="str">
        <f>UnitHead!Q2</f>
        <v>ExpertLim2</v>
      </c>
      <c r="AT2" t="s">
        <v>203</v>
      </c>
      <c r="AU2" t="s">
        <v>203</v>
      </c>
      <c r="AV2" t="str">
        <f>UnitHead!AL2</f>
        <v>RepPrice</v>
      </c>
      <c r="AW2" t="str">
        <f>UnitHead!AZ2</f>
        <v>AttEffType</v>
      </c>
      <c r="AX2" t="str">
        <f>UnitHead!BA2</f>
        <v>DefEffType</v>
      </c>
      <c r="AY2" t="s">
        <v>216</v>
      </c>
    </row>
    <row r="3" spans="1:52" x14ac:dyDescent="0.25">
      <c r="A3" t="str">
        <f>UnitHead!A3</f>
        <v>unhe001</v>
      </c>
      <c r="B3" t="str">
        <f>UnitHead!D3</f>
        <v>Goliath Head</v>
      </c>
      <c r="C3" s="1" t="str">
        <f>UnitHead!B3</f>
        <v>00100</v>
      </c>
      <c r="D3">
        <f>UnitHead!C3</f>
        <v>1</v>
      </c>
      <c r="E3" s="5" t="s">
        <v>254</v>
      </c>
      <c r="F3" s="5">
        <v>37</v>
      </c>
      <c r="G3">
        <f>UnitHead!AI3</f>
        <v>0</v>
      </c>
      <c r="H3" s="5">
        <v>0</v>
      </c>
      <c r="I3">
        <f>UnitHead!AJ3</f>
        <v>100000</v>
      </c>
      <c r="J3">
        <f>UnitHead!AK3</f>
        <v>1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>
        <f>UnitHead!M3</f>
        <v>-1</v>
      </c>
      <c r="X3">
        <f>UnitHead!E3</f>
        <v>0</v>
      </c>
      <c r="Y3" s="1" t="str">
        <f>UnitHead!F3</f>
        <v>10000000</v>
      </c>
      <c r="Z3" s="5">
        <v>0</v>
      </c>
      <c r="AA3" s="5">
        <v>0</v>
      </c>
      <c r="AB3">
        <f>UnitHead!AB3</f>
        <v>607</v>
      </c>
      <c r="AC3" s="5">
        <v>0</v>
      </c>
      <c r="AD3" s="5">
        <v>0</v>
      </c>
      <c r="AE3" s="5">
        <v>0</v>
      </c>
      <c r="AF3" s="5">
        <v>0</v>
      </c>
      <c r="AG3">
        <f>IF(UnitHead!Y3&gt;127,127,UnitHead!Y3)</f>
        <v>10</v>
      </c>
      <c r="AH3">
        <f>IF(UnitHead!AC3&gt;127,127,UnitHead!AC3)</f>
        <v>10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>
        <f>UnitHead!L3</f>
        <v>30</v>
      </c>
      <c r="AP3">
        <f>UnitHead!N3</f>
        <v>2</v>
      </c>
      <c r="AQ3">
        <f>UnitHead!P3</f>
        <v>-1</v>
      </c>
      <c r="AR3">
        <f>UnitHead!O3</f>
        <v>1</v>
      </c>
      <c r="AS3">
        <f>UnitHead!Q3</f>
        <v>-1</v>
      </c>
      <c r="AT3" s="5">
        <v>0</v>
      </c>
      <c r="AU3" s="5">
        <v>0</v>
      </c>
      <c r="AV3">
        <f>UnitHead!AL3</f>
        <v>1</v>
      </c>
      <c r="AW3">
        <f>UnitHead!AZ3</f>
        <v>-1</v>
      </c>
      <c r="AX3">
        <f>UnitHead!BA3</f>
        <v>2</v>
      </c>
      <c r="AY3" s="5">
        <v>0</v>
      </c>
    </row>
    <row r="4" spans="1:52" x14ac:dyDescent="0.25">
      <c r="A4" t="str">
        <f>UnitHead!A4</f>
        <v>unhe002</v>
      </c>
      <c r="B4" t="str">
        <f>UnitHead!D4</f>
        <v>Advance Goliath Head</v>
      </c>
      <c r="C4" s="1" t="str">
        <f>UnitHead!B4</f>
        <v>00100</v>
      </c>
      <c r="D4">
        <f>UnitHead!C4</f>
        <v>1</v>
      </c>
      <c r="E4" s="5" t="s">
        <v>254</v>
      </c>
      <c r="F4" s="5">
        <v>37</v>
      </c>
      <c r="G4">
        <f>UnitHead!AI4</f>
        <v>0</v>
      </c>
      <c r="H4" s="5">
        <v>0</v>
      </c>
      <c r="I4">
        <f>UnitHead!AJ4</f>
        <v>200000</v>
      </c>
      <c r="J4">
        <f>UnitHead!AK4</f>
        <v>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>
        <f>UnitHead!M4</f>
        <v>-1</v>
      </c>
      <c r="X4">
        <f>UnitHead!E4</f>
        <v>0</v>
      </c>
      <c r="Y4" s="1" t="str">
        <f>UnitHead!F4</f>
        <v>10000000</v>
      </c>
      <c r="Z4" s="5">
        <v>0</v>
      </c>
      <c r="AA4" s="5">
        <v>0</v>
      </c>
      <c r="AB4">
        <f>UnitHead!AB4</f>
        <v>607</v>
      </c>
      <c r="AC4" s="5">
        <v>0</v>
      </c>
      <c r="AD4" s="5">
        <v>0</v>
      </c>
      <c r="AE4" s="5">
        <v>0</v>
      </c>
      <c r="AF4" s="5">
        <v>0</v>
      </c>
      <c r="AG4">
        <f>IF(UnitHead!Y4&gt;127,127,UnitHead!Y4)</f>
        <v>11</v>
      </c>
      <c r="AH4">
        <f>IF(UnitHead!AC4&gt;127,127,UnitHead!AC4)</f>
        <v>12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>
        <f>UnitHead!L4</f>
        <v>30</v>
      </c>
      <c r="AP4">
        <f>UnitHead!N4</f>
        <v>2</v>
      </c>
      <c r="AQ4">
        <f>UnitHead!P4</f>
        <v>-1</v>
      </c>
      <c r="AR4">
        <f>UnitHead!O4</f>
        <v>12</v>
      </c>
      <c r="AS4">
        <f>UnitHead!Q4</f>
        <v>-1</v>
      </c>
      <c r="AT4" s="5">
        <v>0</v>
      </c>
      <c r="AU4" s="5">
        <v>0</v>
      </c>
      <c r="AV4">
        <f>UnitHead!AL4</f>
        <v>1</v>
      </c>
      <c r="AW4">
        <f>UnitHead!AZ4</f>
        <v>-1</v>
      </c>
      <c r="AX4">
        <f>UnitHead!BA4</f>
        <v>2</v>
      </c>
      <c r="AY4" s="5">
        <v>0</v>
      </c>
    </row>
    <row r="5" spans="1:52" x14ac:dyDescent="0.25">
      <c r="A5" t="str">
        <f>UnitHead!A5</f>
        <v>unhe003</v>
      </c>
      <c r="B5" t="str">
        <f>UnitHead!D5</f>
        <v>Advanced Mirage Head</v>
      </c>
      <c r="C5" s="1" t="str">
        <f>UnitHead!B5</f>
        <v>0012E</v>
      </c>
      <c r="D5">
        <f>UnitHead!C5</f>
        <v>16</v>
      </c>
      <c r="E5" s="5" t="s">
        <v>254</v>
      </c>
      <c r="F5" s="5">
        <v>37</v>
      </c>
      <c r="G5">
        <f>UnitHead!AI5</f>
        <v>0</v>
      </c>
      <c r="H5" s="5">
        <v>0</v>
      </c>
      <c r="I5">
        <f>UnitHead!AJ5</f>
        <v>45360000</v>
      </c>
      <c r="J5">
        <f>UnitHead!AK5</f>
        <v>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19</v>
      </c>
      <c r="T5" s="5">
        <v>0</v>
      </c>
      <c r="U5" s="5">
        <v>0</v>
      </c>
      <c r="V5" s="5">
        <v>0</v>
      </c>
      <c r="W5">
        <f>UnitHead!M5</f>
        <v>-1</v>
      </c>
      <c r="X5">
        <f>UnitHead!E5</f>
        <v>0</v>
      </c>
      <c r="Y5" s="1" t="str">
        <f>UnitHead!F5</f>
        <v>10000000</v>
      </c>
      <c r="Z5" s="5">
        <v>0</v>
      </c>
      <c r="AA5" s="5">
        <v>0</v>
      </c>
      <c r="AB5">
        <f>UnitHead!AB5</f>
        <v>9849</v>
      </c>
      <c r="AC5" s="5">
        <v>0</v>
      </c>
      <c r="AD5" s="5">
        <v>0</v>
      </c>
      <c r="AE5" s="5">
        <v>0</v>
      </c>
      <c r="AF5" s="5">
        <v>0</v>
      </c>
      <c r="AG5">
        <f>IF(UnitHead!Y5&gt;127,127,UnitHead!Y5)</f>
        <v>127</v>
      </c>
      <c r="AH5">
        <f>IF(UnitHead!AC5&gt;127,127,UnitHead!AC5)</f>
        <v>15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>
        <f>UnitHead!L5</f>
        <v>66</v>
      </c>
      <c r="AP5">
        <f>UnitHead!N5</f>
        <v>2</v>
      </c>
      <c r="AQ5">
        <f>UnitHead!P5</f>
        <v>-1</v>
      </c>
      <c r="AR5">
        <f>UnitHead!O5</f>
        <v>99</v>
      </c>
      <c r="AS5">
        <f>UnitHead!Q5</f>
        <v>-1</v>
      </c>
      <c r="AT5" s="5">
        <v>0</v>
      </c>
      <c r="AU5" s="5">
        <v>0</v>
      </c>
      <c r="AV5">
        <f>UnitHead!AL5</f>
        <v>9</v>
      </c>
      <c r="AW5">
        <f>UnitHead!AZ5</f>
        <v>-1</v>
      </c>
      <c r="AX5">
        <f>UnitHead!BA5</f>
        <v>2</v>
      </c>
      <c r="AY5" s="5">
        <v>0</v>
      </c>
    </row>
    <row r="6" spans="1:52" x14ac:dyDescent="0.25">
      <c r="A6" t="str">
        <f>UnitHead!A6</f>
        <v>unhe004</v>
      </c>
      <c r="B6" t="str">
        <f>UnitHead!D6</f>
        <v>Beelzebub Goliath Head</v>
      </c>
      <c r="C6" s="1" t="str">
        <f>UnitHead!B6</f>
        <v>00130</v>
      </c>
      <c r="D6">
        <f>UnitHead!C6</f>
        <v>17</v>
      </c>
      <c r="E6" s="5" t="s">
        <v>254</v>
      </c>
      <c r="F6" s="5">
        <v>37</v>
      </c>
      <c r="G6">
        <f>UnitHead!AI6</f>
        <v>0</v>
      </c>
      <c r="H6" s="5">
        <v>0</v>
      </c>
      <c r="I6">
        <f>UnitHead!AJ6</f>
        <v>75000000</v>
      </c>
      <c r="J6">
        <f>UnitHead!AK6</f>
        <v>3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3</v>
      </c>
      <c r="T6" s="5">
        <v>0</v>
      </c>
      <c r="U6" s="5">
        <v>0</v>
      </c>
      <c r="V6" s="5">
        <v>0</v>
      </c>
      <c r="W6">
        <f>UnitHead!M6</f>
        <v>-1</v>
      </c>
      <c r="X6">
        <f>UnitHead!E6</f>
        <v>0</v>
      </c>
      <c r="Y6" s="1" t="str">
        <f>UnitHead!F6</f>
        <v>10000000</v>
      </c>
      <c r="Z6" s="5">
        <v>0</v>
      </c>
      <c r="AA6" s="5">
        <v>0</v>
      </c>
      <c r="AB6">
        <f>UnitHead!AB6</f>
        <v>10500</v>
      </c>
      <c r="AC6" s="5">
        <v>0</v>
      </c>
      <c r="AD6" s="5">
        <v>0</v>
      </c>
      <c r="AE6" s="5">
        <v>0</v>
      </c>
      <c r="AF6" s="5">
        <v>0</v>
      </c>
      <c r="AG6">
        <f>IF(UnitHead!Y6&gt;127,127,UnitHead!Y6)</f>
        <v>127</v>
      </c>
      <c r="AH6">
        <f>IF(UnitHead!AC6&gt;127,127,UnitHead!AC6)</f>
        <v>20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>
        <f>UnitHead!L6</f>
        <v>71</v>
      </c>
      <c r="AP6">
        <f>UnitHead!N6</f>
        <v>2</v>
      </c>
      <c r="AQ6">
        <f>UnitHead!P6</f>
        <v>-1</v>
      </c>
      <c r="AR6">
        <f>UnitHead!O6</f>
        <v>99</v>
      </c>
      <c r="AS6">
        <f>UnitHead!Q6</f>
        <v>-1</v>
      </c>
      <c r="AT6" s="5">
        <v>0</v>
      </c>
      <c r="AU6" s="5">
        <v>0</v>
      </c>
      <c r="AV6">
        <f>UnitHead!AL6</f>
        <v>10</v>
      </c>
      <c r="AW6">
        <f>UnitHead!AZ6</f>
        <v>-1</v>
      </c>
      <c r="AX6">
        <f>UnitHead!BA6</f>
        <v>2</v>
      </c>
      <c r="AY6" s="5">
        <v>0</v>
      </c>
    </row>
    <row r="7" spans="1:52" x14ac:dyDescent="0.25">
      <c r="A7" t="str">
        <f>UnitHead!A7</f>
        <v>unhe005</v>
      </c>
      <c r="B7" t="str">
        <f>UnitHead!D7</f>
        <v>NotUsed</v>
      </c>
      <c r="C7" s="1" t="str">
        <f>UnitHead!B7</f>
        <v>00100</v>
      </c>
      <c r="D7">
        <f>UnitHead!C7</f>
        <v>100</v>
      </c>
      <c r="E7" s="5" t="s">
        <v>254</v>
      </c>
      <c r="F7" s="5">
        <v>37</v>
      </c>
      <c r="G7">
        <f>UnitHead!AI7</f>
        <v>0</v>
      </c>
      <c r="H7" s="5">
        <v>0</v>
      </c>
      <c r="I7">
        <f>UnitHead!AJ7</f>
        <v>7100000</v>
      </c>
      <c r="J7">
        <f>UnitHead!AK7</f>
        <v>1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0</v>
      </c>
      <c r="U7" s="5">
        <v>0</v>
      </c>
      <c r="V7" s="5">
        <v>0</v>
      </c>
      <c r="W7">
        <f>UnitHead!M7</f>
        <v>-1</v>
      </c>
      <c r="X7">
        <f>UnitHead!E7</f>
        <v>0</v>
      </c>
      <c r="Y7" s="1" t="str">
        <f>UnitHead!F7</f>
        <v>10000000</v>
      </c>
      <c r="Z7" s="5">
        <v>0</v>
      </c>
      <c r="AA7" s="5">
        <v>0</v>
      </c>
      <c r="AB7">
        <f>UnitHead!AB7</f>
        <v>720</v>
      </c>
      <c r="AC7" s="5">
        <v>0</v>
      </c>
      <c r="AD7" s="5">
        <v>0</v>
      </c>
      <c r="AE7" s="5">
        <v>0</v>
      </c>
      <c r="AF7" s="5">
        <v>0</v>
      </c>
      <c r="AG7">
        <f>IF(UnitHead!Y7&gt;127,127,UnitHead!Y7)</f>
        <v>127</v>
      </c>
      <c r="AH7">
        <f>IF(UnitHead!AC7&gt;127,127,UnitHead!AC7)</f>
        <v>20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>
        <f>UnitHead!L7</f>
        <v>100</v>
      </c>
      <c r="AP7">
        <f>UnitHead!N7</f>
        <v>2</v>
      </c>
      <c r="AQ7">
        <f>UnitHead!P7</f>
        <v>-1</v>
      </c>
      <c r="AR7">
        <f>UnitHead!O7</f>
        <v>100</v>
      </c>
      <c r="AS7">
        <f>UnitHead!Q7</f>
        <v>-1</v>
      </c>
      <c r="AT7" s="5">
        <v>0</v>
      </c>
      <c r="AU7" s="5">
        <v>0</v>
      </c>
      <c r="AV7">
        <f>UnitHead!AL7</f>
        <v>1</v>
      </c>
      <c r="AW7">
        <f>UnitHead!AZ7</f>
        <v>-1</v>
      </c>
      <c r="AX7">
        <f>UnitHead!BA7</f>
        <v>2</v>
      </c>
      <c r="AY7" s="5">
        <v>0</v>
      </c>
    </row>
    <row r="8" spans="1:52" x14ac:dyDescent="0.25">
      <c r="A8" t="str">
        <f>UnitHead!A8</f>
        <v>unhe006</v>
      </c>
      <c r="B8" t="str">
        <f>UnitHead!D8</f>
        <v>Exact Head</v>
      </c>
      <c r="C8" s="1" t="str">
        <f>UnitHead!B8</f>
        <v>00100</v>
      </c>
      <c r="D8">
        <f>UnitHead!C8</f>
        <v>1</v>
      </c>
      <c r="E8" s="5" t="s">
        <v>254</v>
      </c>
      <c r="F8" s="5">
        <v>37</v>
      </c>
      <c r="G8">
        <f>UnitHead!AI8</f>
        <v>0</v>
      </c>
      <c r="H8" s="5">
        <v>0</v>
      </c>
      <c r="I8">
        <f>UnitHead!AJ8</f>
        <v>600000</v>
      </c>
      <c r="J8">
        <f>UnitHead!AK8</f>
        <v>1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5</v>
      </c>
      <c r="T8" s="5">
        <v>0</v>
      </c>
      <c r="U8" s="5">
        <v>0</v>
      </c>
      <c r="V8" s="5">
        <v>0</v>
      </c>
      <c r="W8">
        <f>UnitHead!M8</f>
        <v>-1</v>
      </c>
      <c r="X8">
        <f>UnitHead!E8</f>
        <v>0</v>
      </c>
      <c r="Y8" s="1" t="str">
        <f>UnitHead!F8</f>
        <v>10000000</v>
      </c>
      <c r="Z8" s="5">
        <v>0</v>
      </c>
      <c r="AA8" s="5">
        <v>0</v>
      </c>
      <c r="AB8">
        <f>UnitHead!AB8</f>
        <v>1440</v>
      </c>
      <c r="AC8" s="5">
        <v>0</v>
      </c>
      <c r="AD8" s="5">
        <v>0</v>
      </c>
      <c r="AE8" s="5">
        <v>0</v>
      </c>
      <c r="AF8" s="5">
        <v>0</v>
      </c>
      <c r="AG8">
        <f>IF(UnitHead!Y8&gt;127,127,UnitHead!Y8)</f>
        <v>60</v>
      </c>
      <c r="AH8">
        <f>IF(UnitHead!AC8&gt;127,127,UnitHead!AC8)</f>
        <v>30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>
        <f>UnitHead!L8</f>
        <v>35</v>
      </c>
      <c r="AP8">
        <f>UnitHead!N8</f>
        <v>2</v>
      </c>
      <c r="AQ8">
        <f>UnitHead!P8</f>
        <v>-1</v>
      </c>
      <c r="AR8">
        <f>UnitHead!O8</f>
        <v>60</v>
      </c>
      <c r="AS8">
        <f>UnitHead!Q8</f>
        <v>-1</v>
      </c>
      <c r="AT8" s="5">
        <v>0</v>
      </c>
      <c r="AU8" s="5">
        <v>0</v>
      </c>
      <c r="AV8">
        <f>UnitHead!AL8</f>
        <v>1</v>
      </c>
      <c r="AW8">
        <f>UnitHead!AZ8</f>
        <v>-1</v>
      </c>
      <c r="AX8">
        <f>UnitHead!BA8</f>
        <v>2</v>
      </c>
      <c r="AY8" s="5">
        <v>0</v>
      </c>
    </row>
    <row r="9" spans="1:52" x14ac:dyDescent="0.25">
      <c r="A9" t="str">
        <f>UnitHead!A9</f>
        <v>unhe007</v>
      </c>
      <c r="B9" t="str">
        <f>UnitHead!D9</f>
        <v>Hard Exact Head</v>
      </c>
      <c r="C9" s="1" t="str">
        <f>UnitHead!B9</f>
        <v>00100</v>
      </c>
      <c r="D9">
        <f>UnitHead!C9</f>
        <v>1</v>
      </c>
      <c r="E9" s="5" t="s">
        <v>254</v>
      </c>
      <c r="F9" s="5">
        <v>37</v>
      </c>
      <c r="G9">
        <f>UnitHead!AI9</f>
        <v>0</v>
      </c>
      <c r="H9" s="5">
        <v>0</v>
      </c>
      <c r="I9">
        <f>UnitHead!AJ9</f>
        <v>800000</v>
      </c>
      <c r="J9">
        <f>UnitHead!AK9</f>
        <v>1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6</v>
      </c>
      <c r="T9" s="5">
        <v>0</v>
      </c>
      <c r="U9" s="5">
        <v>0</v>
      </c>
      <c r="V9" s="5">
        <v>0</v>
      </c>
      <c r="W9">
        <f>UnitHead!M9</f>
        <v>-1</v>
      </c>
      <c r="X9">
        <f>UnitHead!E9</f>
        <v>0</v>
      </c>
      <c r="Y9" s="1" t="str">
        <f>UnitHead!F9</f>
        <v>10000000</v>
      </c>
      <c r="Z9" s="5">
        <v>0</v>
      </c>
      <c r="AA9" s="5">
        <v>0</v>
      </c>
      <c r="AB9">
        <f>UnitHead!AB9</f>
        <v>1260</v>
      </c>
      <c r="AC9" s="5">
        <v>0</v>
      </c>
      <c r="AD9" s="5">
        <v>0</v>
      </c>
      <c r="AE9" s="5">
        <v>0</v>
      </c>
      <c r="AF9" s="5">
        <v>0</v>
      </c>
      <c r="AG9">
        <f>IF(UnitHead!Y9&gt;127,127,UnitHead!Y9)</f>
        <v>80</v>
      </c>
      <c r="AH9">
        <f>IF(UnitHead!AC9&gt;127,127,UnitHead!AC9)</f>
        <v>30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>
        <f>UnitHead!L9</f>
        <v>37</v>
      </c>
      <c r="AP9">
        <f>UnitHead!N9</f>
        <v>2</v>
      </c>
      <c r="AQ9">
        <f>UnitHead!P9</f>
        <v>-1</v>
      </c>
      <c r="AR9">
        <f>UnitHead!O9</f>
        <v>65</v>
      </c>
      <c r="AS9">
        <f>UnitHead!Q9</f>
        <v>-1</v>
      </c>
      <c r="AT9" s="5">
        <v>0</v>
      </c>
      <c r="AU9" s="5">
        <v>0</v>
      </c>
      <c r="AV9">
        <f>UnitHead!AL9</f>
        <v>1</v>
      </c>
      <c r="AW9">
        <f>UnitHead!AZ9</f>
        <v>-1</v>
      </c>
      <c r="AX9">
        <f>UnitHead!BA9</f>
        <v>2</v>
      </c>
      <c r="AY9" s="5">
        <v>0</v>
      </c>
    </row>
    <row r="10" spans="1:52" x14ac:dyDescent="0.25">
      <c r="A10" t="str">
        <f>UnitHead!A10</f>
        <v>unhe008</v>
      </c>
      <c r="B10" t="str">
        <f>UnitHead!D10</f>
        <v>NotUsed</v>
      </c>
      <c r="C10" s="1" t="str">
        <f>UnitHead!B10</f>
        <v>00107</v>
      </c>
      <c r="D10">
        <f>UnitHead!C10</f>
        <v>100</v>
      </c>
      <c r="E10" s="5" t="s">
        <v>254</v>
      </c>
      <c r="F10" s="5">
        <v>37</v>
      </c>
      <c r="G10">
        <f>UnitHead!AI10</f>
        <v>0</v>
      </c>
      <c r="H10" s="5">
        <v>0</v>
      </c>
      <c r="I10">
        <f>UnitHead!AJ10</f>
        <v>7100000</v>
      </c>
      <c r="J10">
        <f>UnitHead!AK10</f>
        <v>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7</v>
      </c>
      <c r="T10" s="5">
        <v>0</v>
      </c>
      <c r="U10" s="5">
        <v>0</v>
      </c>
      <c r="V10" s="5">
        <v>0</v>
      </c>
      <c r="W10">
        <f>UnitHead!M10</f>
        <v>-1</v>
      </c>
      <c r="X10">
        <f>UnitHead!E10</f>
        <v>0</v>
      </c>
      <c r="Y10" s="1" t="str">
        <f>UnitHead!F10</f>
        <v>10000000</v>
      </c>
      <c r="Z10" s="5">
        <v>0</v>
      </c>
      <c r="AA10" s="5">
        <v>0</v>
      </c>
      <c r="AB10">
        <f>UnitHead!AB10</f>
        <v>225</v>
      </c>
      <c r="AC10" s="5">
        <v>0</v>
      </c>
      <c r="AD10" s="5">
        <v>0</v>
      </c>
      <c r="AE10" s="5">
        <v>0</v>
      </c>
      <c r="AF10" s="5">
        <v>0</v>
      </c>
      <c r="AG10">
        <f>IF(UnitHead!Y10&gt;127,127,UnitHead!Y10)</f>
        <v>127</v>
      </c>
      <c r="AH10">
        <f>IF(UnitHead!AC10&gt;127,127,UnitHead!AC10)</f>
        <v>50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>
        <f>UnitHead!L10</f>
        <v>100</v>
      </c>
      <c r="AP10">
        <f>UnitHead!N10</f>
        <v>2</v>
      </c>
      <c r="AQ10">
        <f>UnitHead!P10</f>
        <v>-1</v>
      </c>
      <c r="AR10">
        <f>UnitHead!O10</f>
        <v>100</v>
      </c>
      <c r="AS10">
        <f>UnitHead!Q10</f>
        <v>-1</v>
      </c>
      <c r="AT10" s="5">
        <v>0</v>
      </c>
      <c r="AU10" s="5">
        <v>0</v>
      </c>
      <c r="AV10">
        <f>UnitHead!AL10</f>
        <v>1</v>
      </c>
      <c r="AW10">
        <f>UnitHead!AZ10</f>
        <v>-1</v>
      </c>
      <c r="AX10">
        <f>UnitHead!BA10</f>
        <v>2</v>
      </c>
      <c r="AY10" s="5">
        <v>0</v>
      </c>
    </row>
    <row r="11" spans="1:52" x14ac:dyDescent="0.25">
      <c r="A11" t="str">
        <f>UnitHead!A11</f>
        <v>unhe009</v>
      </c>
      <c r="B11" t="str">
        <f>UnitHead!D11</f>
        <v>NotUsed</v>
      </c>
      <c r="C11" s="1" t="str">
        <f>UnitHead!B11</f>
        <v>00108</v>
      </c>
      <c r="D11">
        <f>UnitHead!C11</f>
        <v>100</v>
      </c>
      <c r="E11" s="5" t="s">
        <v>254</v>
      </c>
      <c r="F11" s="5">
        <v>37</v>
      </c>
      <c r="G11">
        <f>UnitHead!AI11</f>
        <v>0</v>
      </c>
      <c r="H11" s="5">
        <v>0</v>
      </c>
      <c r="I11">
        <f>UnitHead!AJ11</f>
        <v>7100000</v>
      </c>
      <c r="J11">
        <f>UnitHead!AK11</f>
        <v>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8</v>
      </c>
      <c r="T11" s="5">
        <v>0</v>
      </c>
      <c r="U11" s="5">
        <v>0</v>
      </c>
      <c r="V11" s="5">
        <v>0</v>
      </c>
      <c r="W11">
        <f>UnitHead!M11</f>
        <v>-1</v>
      </c>
      <c r="X11">
        <f>UnitHead!E11</f>
        <v>0</v>
      </c>
      <c r="Y11" s="1" t="str">
        <f>UnitHead!F11</f>
        <v>10000000</v>
      </c>
      <c r="Z11" s="5">
        <v>0</v>
      </c>
      <c r="AA11" s="5">
        <v>0</v>
      </c>
      <c r="AB11">
        <f>UnitHead!AB11</f>
        <v>225</v>
      </c>
      <c r="AC11" s="5">
        <v>0</v>
      </c>
      <c r="AD11" s="5">
        <v>0</v>
      </c>
      <c r="AE11" s="5">
        <v>0</v>
      </c>
      <c r="AF11" s="5">
        <v>0</v>
      </c>
      <c r="AG11">
        <f>IF(UnitHead!Y11&gt;127,127,UnitHead!Y11)</f>
        <v>127</v>
      </c>
      <c r="AH11">
        <f>IF(UnitHead!AC11&gt;127,127,UnitHead!AC11)</f>
        <v>50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>
        <f>UnitHead!L11</f>
        <v>100</v>
      </c>
      <c r="AP11">
        <f>UnitHead!N11</f>
        <v>2</v>
      </c>
      <c r="AQ11">
        <f>UnitHead!P11</f>
        <v>-1</v>
      </c>
      <c r="AR11">
        <f>UnitHead!O11</f>
        <v>100</v>
      </c>
      <c r="AS11">
        <f>UnitHead!Q11</f>
        <v>-1</v>
      </c>
      <c r="AT11" s="5">
        <v>0</v>
      </c>
      <c r="AU11" s="5">
        <v>0</v>
      </c>
      <c r="AV11">
        <f>UnitHead!AL11</f>
        <v>1</v>
      </c>
      <c r="AW11">
        <f>UnitHead!AZ11</f>
        <v>-1</v>
      </c>
      <c r="AX11">
        <f>UnitHead!BA11</f>
        <v>2</v>
      </c>
      <c r="AY11" s="5">
        <v>0</v>
      </c>
    </row>
    <row r="12" spans="1:52" x14ac:dyDescent="0.25">
      <c r="A12" t="str">
        <f>UnitHead!A12</f>
        <v>unhe010</v>
      </c>
      <c r="B12" t="str">
        <f>UnitHead!D12</f>
        <v>Flash Goliath Head</v>
      </c>
      <c r="C12" s="1" t="str">
        <f>UnitHead!B12</f>
        <v>00109</v>
      </c>
      <c r="D12">
        <f>UnitHead!C12</f>
        <v>2</v>
      </c>
      <c r="E12" s="5" t="s">
        <v>254</v>
      </c>
      <c r="F12" s="5">
        <v>37</v>
      </c>
      <c r="G12">
        <f>UnitHead!AI12</f>
        <v>0</v>
      </c>
      <c r="H12" s="5">
        <v>0</v>
      </c>
      <c r="I12">
        <f>UnitHead!AJ12</f>
        <v>1100000</v>
      </c>
      <c r="J12">
        <f>UnitHead!AK12</f>
        <v>1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9</v>
      </c>
      <c r="T12" s="5">
        <v>0</v>
      </c>
      <c r="U12" s="5">
        <v>0</v>
      </c>
      <c r="V12" s="5">
        <v>0</v>
      </c>
      <c r="W12">
        <f>UnitHead!M12</f>
        <v>-1</v>
      </c>
      <c r="X12">
        <f>UnitHead!E12</f>
        <v>0</v>
      </c>
      <c r="Y12" s="1" t="str">
        <f>UnitHead!F12</f>
        <v>10000000</v>
      </c>
      <c r="Z12" s="5">
        <v>0</v>
      </c>
      <c r="AA12" s="5">
        <v>0</v>
      </c>
      <c r="AB12">
        <f>UnitHead!AB12</f>
        <v>1935</v>
      </c>
      <c r="AC12" s="5">
        <v>0</v>
      </c>
      <c r="AD12" s="5">
        <v>0</v>
      </c>
      <c r="AE12" s="5">
        <v>0</v>
      </c>
      <c r="AF12" s="5">
        <v>0</v>
      </c>
      <c r="AG12">
        <f>IF(UnitHead!Y12&gt;127,127,UnitHead!Y12)</f>
        <v>110</v>
      </c>
      <c r="AH12">
        <f>IF(UnitHead!AC12&gt;127,127,UnitHead!AC12)</f>
        <v>50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>
        <f>UnitHead!L12</f>
        <v>40</v>
      </c>
      <c r="AP12">
        <f>UnitHead!N12</f>
        <v>2</v>
      </c>
      <c r="AQ12">
        <f>UnitHead!P12</f>
        <v>-1</v>
      </c>
      <c r="AR12">
        <f>UnitHead!O12</f>
        <v>72</v>
      </c>
      <c r="AS12">
        <f>UnitHead!Q12</f>
        <v>-1</v>
      </c>
      <c r="AT12" s="5">
        <v>0</v>
      </c>
      <c r="AU12" s="5">
        <v>0</v>
      </c>
      <c r="AV12">
        <f>UnitHead!AL12</f>
        <v>1</v>
      </c>
      <c r="AW12">
        <f>UnitHead!AZ12</f>
        <v>-1</v>
      </c>
      <c r="AX12">
        <f>UnitHead!BA12</f>
        <v>2</v>
      </c>
      <c r="AY12" s="5">
        <v>0</v>
      </c>
    </row>
    <row r="13" spans="1:52" x14ac:dyDescent="0.25">
      <c r="A13" t="str">
        <f>UnitHead!A13</f>
        <v>unhe011</v>
      </c>
      <c r="B13" t="str">
        <f>UnitHead!D13</f>
        <v>Correct Eye Head</v>
      </c>
      <c r="C13" s="1" t="str">
        <f>UnitHead!B13</f>
        <v>00109</v>
      </c>
      <c r="D13">
        <f>UnitHead!C13</f>
        <v>2</v>
      </c>
      <c r="E13" s="5" t="s">
        <v>254</v>
      </c>
      <c r="F13" s="5">
        <v>37</v>
      </c>
      <c r="G13">
        <f>UnitHead!AI13</f>
        <v>0</v>
      </c>
      <c r="H13" s="5">
        <v>0</v>
      </c>
      <c r="I13">
        <f>UnitHead!AJ13</f>
        <v>1300000</v>
      </c>
      <c r="J13">
        <f>UnitHead!AK13</f>
        <v>1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10</v>
      </c>
      <c r="T13" s="5">
        <v>0</v>
      </c>
      <c r="U13" s="5">
        <v>0</v>
      </c>
      <c r="V13" s="5">
        <v>0</v>
      </c>
      <c r="W13">
        <f>UnitHead!M13</f>
        <v>-1</v>
      </c>
      <c r="X13">
        <f>UnitHead!E13</f>
        <v>0</v>
      </c>
      <c r="Y13" s="1" t="str">
        <f>UnitHead!F13</f>
        <v>10000000</v>
      </c>
      <c r="Z13" s="5">
        <v>0</v>
      </c>
      <c r="AA13" s="5">
        <v>0</v>
      </c>
      <c r="AB13">
        <f>UnitHead!AB13</f>
        <v>2025</v>
      </c>
      <c r="AC13" s="5">
        <v>0</v>
      </c>
      <c r="AD13" s="5">
        <v>0</v>
      </c>
      <c r="AE13" s="5">
        <v>0</v>
      </c>
      <c r="AF13" s="5">
        <v>0</v>
      </c>
      <c r="AG13">
        <f>IF(UnitHead!Y13&gt;127,127,UnitHead!Y13)</f>
        <v>127</v>
      </c>
      <c r="AH13">
        <f>IF(UnitHead!AC13&gt;127,127,UnitHead!AC13)</f>
        <v>50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>
        <f>UnitHead!L13</f>
        <v>42</v>
      </c>
      <c r="AP13">
        <f>UnitHead!N13</f>
        <v>2</v>
      </c>
      <c r="AQ13">
        <f>UnitHead!P13</f>
        <v>-1</v>
      </c>
      <c r="AR13">
        <f>UnitHead!O13</f>
        <v>88</v>
      </c>
      <c r="AS13">
        <f>UnitHead!Q13</f>
        <v>-1</v>
      </c>
      <c r="AT13" s="5">
        <v>0</v>
      </c>
      <c r="AU13" s="5">
        <v>0</v>
      </c>
      <c r="AV13">
        <f>UnitHead!AL13</f>
        <v>1</v>
      </c>
      <c r="AW13">
        <f>UnitHead!AZ13</f>
        <v>-1</v>
      </c>
      <c r="AX13">
        <f>UnitHead!BA13</f>
        <v>2</v>
      </c>
      <c r="AY13" s="5">
        <v>0</v>
      </c>
    </row>
    <row r="14" spans="1:52" x14ac:dyDescent="0.25">
      <c r="A14" t="str">
        <f>UnitHead!A14</f>
        <v>unhe012</v>
      </c>
      <c r="B14" t="str">
        <f>UnitHead!D14</f>
        <v>Correct Image Head</v>
      </c>
      <c r="C14" s="1" t="str">
        <f>UnitHead!B14</f>
        <v>00109</v>
      </c>
      <c r="D14">
        <f>UnitHead!C14</f>
        <v>2</v>
      </c>
      <c r="E14" s="5" t="s">
        <v>254</v>
      </c>
      <c r="F14" s="5">
        <v>37</v>
      </c>
      <c r="G14">
        <f>UnitHead!AI14</f>
        <v>0</v>
      </c>
      <c r="H14" s="5">
        <v>0</v>
      </c>
      <c r="I14">
        <f>UnitHead!AJ14</f>
        <v>3136363</v>
      </c>
      <c r="J14">
        <f>UnitHead!AK14</f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11</v>
      </c>
      <c r="T14" s="5">
        <v>0</v>
      </c>
      <c r="U14" s="5">
        <v>0</v>
      </c>
      <c r="V14" s="5">
        <v>0</v>
      </c>
      <c r="W14">
        <f>UnitHead!M14</f>
        <v>-1</v>
      </c>
      <c r="X14">
        <f>UnitHead!E14</f>
        <v>0</v>
      </c>
      <c r="Y14" s="1" t="str">
        <f>UnitHead!F14</f>
        <v>10000000</v>
      </c>
      <c r="Z14" s="5">
        <v>0</v>
      </c>
      <c r="AA14" s="5">
        <v>0</v>
      </c>
      <c r="AB14">
        <f>UnitHead!AB14</f>
        <v>1751</v>
      </c>
      <c r="AC14" s="5">
        <v>0</v>
      </c>
      <c r="AD14" s="5">
        <v>0</v>
      </c>
      <c r="AE14" s="5">
        <v>0</v>
      </c>
      <c r="AF14" s="5">
        <v>0</v>
      </c>
      <c r="AG14">
        <f>IF(UnitHead!Y14&gt;127,127,UnitHead!Y14)</f>
        <v>127</v>
      </c>
      <c r="AH14">
        <f>IF(UnitHead!AC14&gt;127,127,UnitHead!AC14)</f>
        <v>50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>
        <f>UnitHead!L14</f>
        <v>48</v>
      </c>
      <c r="AP14">
        <f>UnitHead!N14</f>
        <v>2</v>
      </c>
      <c r="AQ14">
        <f>UnitHead!P14</f>
        <v>-1</v>
      </c>
      <c r="AR14">
        <f>UnitHead!O14</f>
        <v>93</v>
      </c>
      <c r="AS14">
        <f>UnitHead!Q14</f>
        <v>-1</v>
      </c>
      <c r="AT14" s="5">
        <v>0</v>
      </c>
      <c r="AU14" s="5">
        <v>0</v>
      </c>
      <c r="AV14">
        <f>UnitHead!AL14</f>
        <v>1</v>
      </c>
      <c r="AW14">
        <f>UnitHead!AZ14</f>
        <v>-1</v>
      </c>
      <c r="AX14">
        <f>UnitHead!BA14</f>
        <v>2</v>
      </c>
      <c r="AY14" s="5">
        <v>0</v>
      </c>
    </row>
    <row r="15" spans="1:52" x14ac:dyDescent="0.25">
      <c r="A15" t="str">
        <f>UnitHead!A15</f>
        <v>unhe013</v>
      </c>
      <c r="B15" t="str">
        <f>UnitHead!D15</f>
        <v>Gigant Head</v>
      </c>
      <c r="C15" s="1" t="str">
        <f>UnitHead!B15</f>
        <v>0010C</v>
      </c>
      <c r="D15">
        <f>UnitHead!C15</f>
        <v>3</v>
      </c>
      <c r="E15" s="5" t="s">
        <v>254</v>
      </c>
      <c r="F15" s="5">
        <v>37</v>
      </c>
      <c r="G15">
        <f>UnitHead!AI15</f>
        <v>0</v>
      </c>
      <c r="H15" s="5">
        <v>0</v>
      </c>
      <c r="I15">
        <f>UnitHead!AJ15</f>
        <v>2100000</v>
      </c>
      <c r="J15">
        <f>UnitHead!AK15</f>
        <v>1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12</v>
      </c>
      <c r="T15" s="5">
        <v>0</v>
      </c>
      <c r="U15" s="5">
        <v>0</v>
      </c>
      <c r="V15" s="5">
        <v>0</v>
      </c>
      <c r="W15">
        <f>UnitHead!M15</f>
        <v>-1</v>
      </c>
      <c r="X15">
        <f>UnitHead!E15</f>
        <v>0</v>
      </c>
      <c r="Y15" s="1" t="str">
        <f>UnitHead!F15</f>
        <v>10000000</v>
      </c>
      <c r="Z15" s="5">
        <v>0</v>
      </c>
      <c r="AA15" s="5">
        <v>0</v>
      </c>
      <c r="AB15">
        <f>UnitHead!AB15</f>
        <v>2581</v>
      </c>
      <c r="AC15" s="5">
        <v>0</v>
      </c>
      <c r="AD15" s="5">
        <v>0</v>
      </c>
      <c r="AE15" s="5">
        <v>0</v>
      </c>
      <c r="AF15" s="5">
        <v>0</v>
      </c>
      <c r="AG15">
        <f>IF(UnitHead!Y15&gt;127,127,UnitHead!Y15)</f>
        <v>127</v>
      </c>
      <c r="AH15">
        <f>IF(UnitHead!AC15&gt;127,127,UnitHead!AC15)</f>
        <v>50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>
        <f>UnitHead!L15</f>
        <v>51</v>
      </c>
      <c r="AP15">
        <f>UnitHead!N15</f>
        <v>2</v>
      </c>
      <c r="AQ15">
        <f>UnitHead!P15</f>
        <v>-1</v>
      </c>
      <c r="AR15">
        <f>UnitHead!O15</f>
        <v>99</v>
      </c>
      <c r="AS15">
        <f>UnitHead!Q15</f>
        <v>-1</v>
      </c>
      <c r="AT15" s="5">
        <v>0</v>
      </c>
      <c r="AU15" s="5">
        <v>0</v>
      </c>
      <c r="AV15">
        <f>UnitHead!AL15</f>
        <v>1</v>
      </c>
      <c r="AW15">
        <f>UnitHead!AZ15</f>
        <v>-1</v>
      </c>
      <c r="AX15">
        <f>UnitHead!BA15</f>
        <v>2</v>
      </c>
      <c r="AY15" s="5">
        <v>0</v>
      </c>
    </row>
    <row r="16" spans="1:52" x14ac:dyDescent="0.25">
      <c r="A16" t="str">
        <f>UnitHead!A16</f>
        <v>unhe014</v>
      </c>
      <c r="B16" t="str">
        <f>UnitHead!D16</f>
        <v>T R O S Head</v>
      </c>
      <c r="C16" s="1" t="str">
        <f>UnitHead!B16</f>
        <v>0010C</v>
      </c>
      <c r="D16">
        <f>UnitHead!C16</f>
        <v>3</v>
      </c>
      <c r="E16" s="5" t="s">
        <v>254</v>
      </c>
      <c r="F16" s="5">
        <v>37</v>
      </c>
      <c r="G16">
        <f>UnitHead!AI16</f>
        <v>0</v>
      </c>
      <c r="H16" s="5">
        <v>0</v>
      </c>
      <c r="I16">
        <f>UnitHead!AJ16</f>
        <v>8400000</v>
      </c>
      <c r="J16">
        <f>UnitHead!AK16</f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13</v>
      </c>
      <c r="T16" s="5">
        <v>0</v>
      </c>
      <c r="U16" s="5">
        <v>0</v>
      </c>
      <c r="V16" s="5">
        <v>0</v>
      </c>
      <c r="W16">
        <f>UnitHead!M16</f>
        <v>-1</v>
      </c>
      <c r="X16">
        <f>UnitHead!E16</f>
        <v>0</v>
      </c>
      <c r="Y16" s="1" t="str">
        <f>UnitHead!F16</f>
        <v>10000000</v>
      </c>
      <c r="Z16" s="5">
        <v>0</v>
      </c>
      <c r="AA16" s="5">
        <v>0</v>
      </c>
      <c r="AB16">
        <f>UnitHead!AB16</f>
        <v>3097</v>
      </c>
      <c r="AC16" s="5">
        <v>0</v>
      </c>
      <c r="AD16" s="5">
        <v>0</v>
      </c>
      <c r="AE16" s="5">
        <v>0</v>
      </c>
      <c r="AF16" s="5">
        <v>0</v>
      </c>
      <c r="AG16">
        <f>IF(UnitHead!Y16&gt;127,127,UnitHead!Y16)</f>
        <v>127</v>
      </c>
      <c r="AH16">
        <f>IF(UnitHead!AC16&gt;127,127,UnitHead!AC16)</f>
        <v>50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>
        <f>UnitHead!L16</f>
        <v>51</v>
      </c>
      <c r="AP16">
        <f>UnitHead!N16</f>
        <v>2</v>
      </c>
      <c r="AQ16">
        <f>UnitHead!P16</f>
        <v>-1</v>
      </c>
      <c r="AR16">
        <f>UnitHead!O16</f>
        <v>99</v>
      </c>
      <c r="AS16">
        <f>UnitHead!Q16</f>
        <v>-1</v>
      </c>
      <c r="AT16" s="5">
        <v>0</v>
      </c>
      <c r="AU16" s="5">
        <v>0</v>
      </c>
      <c r="AV16">
        <f>UnitHead!AL16</f>
        <v>1</v>
      </c>
      <c r="AW16">
        <f>UnitHead!AZ16</f>
        <v>-1</v>
      </c>
      <c r="AX16">
        <f>UnitHead!BA16</f>
        <v>2</v>
      </c>
      <c r="AY16" s="5">
        <v>0</v>
      </c>
    </row>
    <row r="17" spans="1:51" x14ac:dyDescent="0.25">
      <c r="A17" t="str">
        <f>UnitHead!A17</f>
        <v>unhe015</v>
      </c>
      <c r="B17" t="str">
        <f>UnitHead!D17</f>
        <v>A R E S Head</v>
      </c>
      <c r="C17" s="1" t="str">
        <f>UnitHead!B17</f>
        <v>0010C</v>
      </c>
      <c r="D17">
        <f>UnitHead!C17</f>
        <v>3</v>
      </c>
      <c r="E17" s="5" t="s">
        <v>254</v>
      </c>
      <c r="F17" s="5">
        <v>37</v>
      </c>
      <c r="G17">
        <f>UnitHead!AI17</f>
        <v>0</v>
      </c>
      <c r="H17" s="5">
        <v>0</v>
      </c>
      <c r="I17">
        <f>UnitHead!AJ17</f>
        <v>18900000</v>
      </c>
      <c r="J17">
        <f>UnitHead!AK17</f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14</v>
      </c>
      <c r="T17" s="5">
        <v>0</v>
      </c>
      <c r="U17" s="5">
        <v>0</v>
      </c>
      <c r="V17" s="5">
        <v>0</v>
      </c>
      <c r="W17">
        <f>UnitHead!M17</f>
        <v>-1</v>
      </c>
      <c r="X17">
        <f>UnitHead!E17</f>
        <v>0</v>
      </c>
      <c r="Y17" s="1" t="str">
        <f>UnitHead!F17</f>
        <v>10000000</v>
      </c>
      <c r="Z17" s="5">
        <v>0</v>
      </c>
      <c r="AA17" s="5">
        <v>0</v>
      </c>
      <c r="AB17">
        <f>UnitHead!AB17</f>
        <v>4026</v>
      </c>
      <c r="AC17" s="5">
        <v>0</v>
      </c>
      <c r="AD17" s="5">
        <v>0</v>
      </c>
      <c r="AE17" s="5">
        <v>0</v>
      </c>
      <c r="AF17" s="5">
        <v>0</v>
      </c>
      <c r="AG17">
        <f>IF(UnitHead!Y17&gt;127,127,UnitHead!Y17)</f>
        <v>127</v>
      </c>
      <c r="AH17">
        <f>IF(UnitHead!AC17&gt;127,127,UnitHead!AC17)</f>
        <v>50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>
        <f>UnitHead!L17</f>
        <v>51</v>
      </c>
      <c r="AP17">
        <f>UnitHead!N17</f>
        <v>2</v>
      </c>
      <c r="AQ17">
        <f>UnitHead!P17</f>
        <v>-1</v>
      </c>
      <c r="AR17">
        <f>UnitHead!O17</f>
        <v>99</v>
      </c>
      <c r="AS17">
        <f>UnitHead!Q17</f>
        <v>-1</v>
      </c>
      <c r="AT17" s="5">
        <v>0</v>
      </c>
      <c r="AU17" s="5">
        <v>0</v>
      </c>
      <c r="AV17">
        <f>UnitHead!AL17</f>
        <v>1</v>
      </c>
      <c r="AW17">
        <f>UnitHead!AZ17</f>
        <v>-1</v>
      </c>
      <c r="AX17">
        <f>UnitHead!BA17</f>
        <v>2</v>
      </c>
      <c r="AY17" s="5">
        <v>0</v>
      </c>
    </row>
    <row r="18" spans="1:51" x14ac:dyDescent="0.25">
      <c r="A18" t="str">
        <f>UnitHead!A18</f>
        <v>unhe016</v>
      </c>
      <c r="B18" t="str">
        <f>UnitHead!D18</f>
        <v>Peace Keeper Head</v>
      </c>
      <c r="C18" s="1" t="str">
        <f>UnitHead!B18</f>
        <v>00112</v>
      </c>
      <c r="D18">
        <f>UnitHead!C18</f>
        <v>7</v>
      </c>
      <c r="E18" s="5" t="s">
        <v>254</v>
      </c>
      <c r="F18" s="5">
        <v>37</v>
      </c>
      <c r="G18">
        <f>UnitHead!AI18</f>
        <v>0</v>
      </c>
      <c r="H18" s="5">
        <v>0</v>
      </c>
      <c r="I18">
        <f>UnitHead!AJ18</f>
        <v>2600000</v>
      </c>
      <c r="J18">
        <f>UnitHead!AK18</f>
        <v>3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15</v>
      </c>
      <c r="T18" s="5">
        <v>0</v>
      </c>
      <c r="U18" s="5">
        <v>0</v>
      </c>
      <c r="V18" s="5">
        <v>0</v>
      </c>
      <c r="W18">
        <f>UnitHead!M18</f>
        <v>-1</v>
      </c>
      <c r="X18">
        <f>UnitHead!E18</f>
        <v>0</v>
      </c>
      <c r="Y18" s="1" t="str">
        <f>UnitHead!F18</f>
        <v>10000000</v>
      </c>
      <c r="Z18" s="5">
        <v>0</v>
      </c>
      <c r="AA18" s="5">
        <v>0</v>
      </c>
      <c r="AB18">
        <f>UnitHead!AB18</f>
        <v>4300</v>
      </c>
      <c r="AC18" s="5">
        <v>0</v>
      </c>
      <c r="AD18" s="5">
        <v>0</v>
      </c>
      <c r="AE18" s="5">
        <v>0</v>
      </c>
      <c r="AF18" s="5">
        <v>0</v>
      </c>
      <c r="AG18">
        <f>IF(UnitHead!Y18&gt;127,127,UnitHead!Y18)</f>
        <v>127</v>
      </c>
      <c r="AH18">
        <f>IF(UnitHead!AC18&gt;127,127,UnitHead!AC18)</f>
        <v>50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>
        <f>UnitHead!L18</f>
        <v>51</v>
      </c>
      <c r="AP18">
        <f>UnitHead!N18</f>
        <v>2</v>
      </c>
      <c r="AQ18">
        <f>UnitHead!P18</f>
        <v>-1</v>
      </c>
      <c r="AR18">
        <f>UnitHead!O18</f>
        <v>99</v>
      </c>
      <c r="AS18">
        <f>UnitHead!Q18</f>
        <v>-1</v>
      </c>
      <c r="AT18" s="5">
        <v>0</v>
      </c>
      <c r="AU18" s="5">
        <v>0</v>
      </c>
      <c r="AV18">
        <f>UnitHead!AL18</f>
        <v>3</v>
      </c>
      <c r="AW18">
        <f>UnitHead!AZ18</f>
        <v>-1</v>
      </c>
      <c r="AX18">
        <f>UnitHead!BA18</f>
        <v>2</v>
      </c>
      <c r="AY18" s="5">
        <v>0</v>
      </c>
    </row>
    <row r="19" spans="1:51" x14ac:dyDescent="0.25">
      <c r="A19" t="str">
        <f>UnitHead!A19</f>
        <v>unhe017</v>
      </c>
      <c r="B19" t="str">
        <f>UnitHead!D19</f>
        <v>Guardian Head</v>
      </c>
      <c r="C19" s="1" t="str">
        <f>UnitHead!B19</f>
        <v>00112</v>
      </c>
      <c r="D19">
        <f>UnitHead!C19</f>
        <v>7</v>
      </c>
      <c r="E19" s="5" t="s">
        <v>254</v>
      </c>
      <c r="F19" s="5">
        <v>37</v>
      </c>
      <c r="G19">
        <f>UnitHead!AI19</f>
        <v>0</v>
      </c>
      <c r="H19" s="5">
        <v>0</v>
      </c>
      <c r="I19">
        <f>UnitHead!AJ19</f>
        <v>8400000</v>
      </c>
      <c r="J19">
        <f>UnitHead!AK19</f>
        <v>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16</v>
      </c>
      <c r="T19" s="5">
        <v>0</v>
      </c>
      <c r="U19" s="5">
        <v>0</v>
      </c>
      <c r="V19" s="5">
        <v>0</v>
      </c>
      <c r="W19">
        <f>UnitHead!M19</f>
        <v>-1</v>
      </c>
      <c r="X19">
        <f>UnitHead!E19</f>
        <v>0</v>
      </c>
      <c r="Y19" s="1" t="str">
        <f>UnitHead!F19</f>
        <v>10000000</v>
      </c>
      <c r="Z19" s="5">
        <v>0</v>
      </c>
      <c r="AA19" s="5">
        <v>0</v>
      </c>
      <c r="AB19">
        <f>UnitHead!AB19</f>
        <v>5000</v>
      </c>
      <c r="AC19" s="5">
        <v>0</v>
      </c>
      <c r="AD19" s="5">
        <v>0</v>
      </c>
      <c r="AE19" s="5">
        <v>0</v>
      </c>
      <c r="AF19" s="5">
        <v>0</v>
      </c>
      <c r="AG19">
        <f>IF(UnitHead!Y19&gt;127,127,UnitHead!Y19)</f>
        <v>127</v>
      </c>
      <c r="AH19">
        <f>IF(UnitHead!AC19&gt;127,127,UnitHead!AC19)</f>
        <v>50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>
        <f>UnitHead!L19</f>
        <v>52</v>
      </c>
      <c r="AP19">
        <f>UnitHead!N19</f>
        <v>2</v>
      </c>
      <c r="AQ19">
        <f>UnitHead!P19</f>
        <v>-1</v>
      </c>
      <c r="AR19">
        <f>UnitHead!O19</f>
        <v>99</v>
      </c>
      <c r="AS19">
        <f>UnitHead!Q19</f>
        <v>-1</v>
      </c>
      <c r="AT19" s="5">
        <v>0</v>
      </c>
      <c r="AU19" s="5">
        <v>0</v>
      </c>
      <c r="AV19">
        <f>UnitHead!AL19</f>
        <v>3</v>
      </c>
      <c r="AW19">
        <f>UnitHead!AZ19</f>
        <v>-1</v>
      </c>
      <c r="AX19">
        <f>UnitHead!BA19</f>
        <v>2</v>
      </c>
      <c r="AY19" s="5">
        <v>0</v>
      </c>
    </row>
    <row r="20" spans="1:51" x14ac:dyDescent="0.25">
      <c r="A20" t="str">
        <f>UnitHead!A20</f>
        <v>unhe018</v>
      </c>
      <c r="B20" t="str">
        <f>UnitHead!D20</f>
        <v>Titan Head</v>
      </c>
      <c r="C20" s="1" t="str">
        <f>UnitHead!B20</f>
        <v>00112</v>
      </c>
      <c r="D20">
        <f>UnitHead!C20</f>
        <v>7</v>
      </c>
      <c r="E20" s="5" t="s">
        <v>254</v>
      </c>
      <c r="F20" s="5">
        <v>37</v>
      </c>
      <c r="G20">
        <f>UnitHead!AI20</f>
        <v>0</v>
      </c>
      <c r="H20" s="5">
        <v>0</v>
      </c>
      <c r="I20">
        <f>UnitHead!AJ20</f>
        <v>18900000</v>
      </c>
      <c r="J20">
        <f>UnitHead!AK20</f>
        <v>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17</v>
      </c>
      <c r="T20" s="5">
        <v>0</v>
      </c>
      <c r="U20" s="5">
        <v>0</v>
      </c>
      <c r="V20" s="5">
        <v>0</v>
      </c>
      <c r="W20">
        <f>UnitHead!M20</f>
        <v>-1</v>
      </c>
      <c r="X20">
        <f>UnitHead!E20</f>
        <v>0</v>
      </c>
      <c r="Y20" s="1" t="str">
        <f>UnitHead!F20</f>
        <v>10000000</v>
      </c>
      <c r="Z20" s="5">
        <v>0</v>
      </c>
      <c r="AA20" s="5">
        <v>0</v>
      </c>
      <c r="AB20">
        <f>UnitHead!AB20</f>
        <v>5700</v>
      </c>
      <c r="AC20" s="5">
        <v>0</v>
      </c>
      <c r="AD20" s="5">
        <v>0</v>
      </c>
      <c r="AE20" s="5">
        <v>0</v>
      </c>
      <c r="AF20" s="5">
        <v>0</v>
      </c>
      <c r="AG20">
        <f>IF(UnitHead!Y20&gt;127,127,UnitHead!Y20)</f>
        <v>127</v>
      </c>
      <c r="AH20">
        <f>IF(UnitHead!AC20&gt;127,127,UnitHead!AC20)</f>
        <v>50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>
        <f>UnitHead!L20</f>
        <v>53</v>
      </c>
      <c r="AP20">
        <f>UnitHead!N20</f>
        <v>2</v>
      </c>
      <c r="AQ20">
        <f>UnitHead!P20</f>
        <v>-1</v>
      </c>
      <c r="AR20">
        <f>UnitHead!O20</f>
        <v>99</v>
      </c>
      <c r="AS20">
        <f>UnitHead!Q20</f>
        <v>-1</v>
      </c>
      <c r="AT20" s="5">
        <v>0</v>
      </c>
      <c r="AU20" s="5">
        <v>0</v>
      </c>
      <c r="AV20">
        <f>UnitHead!AL20</f>
        <v>3</v>
      </c>
      <c r="AW20">
        <f>UnitHead!AZ20</f>
        <v>-1</v>
      </c>
      <c r="AX20">
        <f>UnitHead!BA20</f>
        <v>2</v>
      </c>
      <c r="AY20" s="5">
        <v>0</v>
      </c>
    </row>
    <row r="21" spans="1:51" x14ac:dyDescent="0.25">
      <c r="A21" t="str">
        <f>UnitHead!A21</f>
        <v>unhe019</v>
      </c>
      <c r="B21" t="str">
        <f>UnitHead!D21</f>
        <v>Venom Head</v>
      </c>
      <c r="C21" s="1" t="str">
        <f>UnitHead!B21</f>
        <v>0012D</v>
      </c>
      <c r="D21">
        <f>UnitHead!C21</f>
        <v>16</v>
      </c>
      <c r="E21" s="5" t="s">
        <v>254</v>
      </c>
      <c r="F21" s="5">
        <v>37</v>
      </c>
      <c r="G21">
        <f>UnitHead!AI21</f>
        <v>0</v>
      </c>
      <c r="H21" s="5">
        <v>0</v>
      </c>
      <c r="I21">
        <f>UnitHead!AJ21</f>
        <v>30240000</v>
      </c>
      <c r="J21">
        <f>UnitHead!AK21</f>
        <v>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18</v>
      </c>
      <c r="T21" s="5">
        <v>0</v>
      </c>
      <c r="U21" s="5">
        <v>0</v>
      </c>
      <c r="V21" s="5">
        <v>0</v>
      </c>
      <c r="W21">
        <f>UnitHead!M21</f>
        <v>-1</v>
      </c>
      <c r="X21">
        <f>UnitHead!E21</f>
        <v>0</v>
      </c>
      <c r="Y21" s="1" t="str">
        <f>UnitHead!F21</f>
        <v>10000000</v>
      </c>
      <c r="Z21" s="5">
        <v>0</v>
      </c>
      <c r="AA21" s="5">
        <v>0</v>
      </c>
      <c r="AB21">
        <f>UnitHead!AB21</f>
        <v>6840</v>
      </c>
      <c r="AC21" s="5">
        <v>0</v>
      </c>
      <c r="AD21" s="5">
        <v>0</v>
      </c>
      <c r="AE21" s="5">
        <v>0</v>
      </c>
      <c r="AF21" s="5">
        <v>0</v>
      </c>
      <c r="AG21">
        <f>IF(UnitHead!Y21&gt;127,127,UnitHead!Y21)</f>
        <v>127</v>
      </c>
      <c r="AH21">
        <f>IF(UnitHead!AC21&gt;127,127,UnitHead!AC21)</f>
        <v>50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>
        <f>UnitHead!L21</f>
        <v>56</v>
      </c>
      <c r="AP21">
        <f>UnitHead!N21</f>
        <v>2</v>
      </c>
      <c r="AQ21">
        <f>UnitHead!P21</f>
        <v>-1</v>
      </c>
      <c r="AR21">
        <f>UnitHead!O21</f>
        <v>99</v>
      </c>
      <c r="AS21">
        <f>UnitHead!Q21</f>
        <v>-1</v>
      </c>
      <c r="AT21" s="5">
        <v>0</v>
      </c>
      <c r="AU21" s="5">
        <v>0</v>
      </c>
      <c r="AV21">
        <f>UnitHead!AL21</f>
        <v>12</v>
      </c>
      <c r="AW21">
        <f>UnitHead!AZ21</f>
        <v>-1</v>
      </c>
      <c r="AX21">
        <f>UnitHead!BA21</f>
        <v>2</v>
      </c>
      <c r="AY21" s="5">
        <v>0</v>
      </c>
    </row>
    <row r="22" spans="1:51" x14ac:dyDescent="0.25">
      <c r="A22" t="str">
        <f>UnitHead!A22</f>
        <v>unhe020</v>
      </c>
      <c r="B22" t="str">
        <f>UnitHead!D22</f>
        <v>Mirage Head</v>
      </c>
      <c r="C22" s="1" t="str">
        <f>UnitHead!B22</f>
        <v>0012D</v>
      </c>
      <c r="D22">
        <f>UnitHead!C22</f>
        <v>16</v>
      </c>
      <c r="E22" s="5" t="s">
        <v>254</v>
      </c>
      <c r="F22" s="5">
        <v>37</v>
      </c>
      <c r="G22">
        <f>UnitHead!AI22</f>
        <v>0</v>
      </c>
      <c r="H22" s="5">
        <v>0</v>
      </c>
      <c r="I22">
        <f>UnitHead!AJ22</f>
        <v>37800000</v>
      </c>
      <c r="J22">
        <f>UnitHead!AK22</f>
        <v>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19</v>
      </c>
      <c r="T22" s="5">
        <v>0</v>
      </c>
      <c r="U22" s="5">
        <v>0</v>
      </c>
      <c r="V22" s="5">
        <v>0</v>
      </c>
      <c r="W22">
        <f>UnitHead!M22</f>
        <v>-1</v>
      </c>
      <c r="X22">
        <f>UnitHead!E22</f>
        <v>0</v>
      </c>
      <c r="Y22" s="1" t="str">
        <f>UnitHead!F22</f>
        <v>10000000</v>
      </c>
      <c r="Z22" s="5">
        <v>0</v>
      </c>
      <c r="AA22" s="5">
        <v>0</v>
      </c>
      <c r="AB22">
        <f>UnitHead!AB22</f>
        <v>8208</v>
      </c>
      <c r="AC22" s="5">
        <v>0</v>
      </c>
      <c r="AD22" s="5">
        <v>0</v>
      </c>
      <c r="AE22" s="5">
        <v>0</v>
      </c>
      <c r="AF22" s="5">
        <v>0</v>
      </c>
      <c r="AG22">
        <f>IF(UnitHead!Y22&gt;127,127,UnitHead!Y22)</f>
        <v>127</v>
      </c>
      <c r="AH22">
        <f>IF(UnitHead!AC22&gt;127,127,UnitHead!AC22)</f>
        <v>50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>
        <f>UnitHead!L22</f>
        <v>61</v>
      </c>
      <c r="AP22">
        <f>UnitHead!N22</f>
        <v>2</v>
      </c>
      <c r="AQ22">
        <f>UnitHead!P22</f>
        <v>-1</v>
      </c>
      <c r="AR22">
        <f>UnitHead!O22</f>
        <v>99</v>
      </c>
      <c r="AS22">
        <f>UnitHead!Q22</f>
        <v>-1</v>
      </c>
      <c r="AT22" s="5">
        <v>0</v>
      </c>
      <c r="AU22" s="5">
        <v>0</v>
      </c>
      <c r="AV22">
        <f>UnitHead!AL22</f>
        <v>15</v>
      </c>
      <c r="AW22">
        <f>UnitHead!AZ22</f>
        <v>-1</v>
      </c>
      <c r="AX22">
        <f>UnitHead!BA22</f>
        <v>2</v>
      </c>
      <c r="AY22" s="5">
        <v>0</v>
      </c>
    </row>
    <row r="23" spans="1:51" x14ac:dyDescent="0.25">
      <c r="A23" t="str">
        <f>UnitHead!A23</f>
        <v>unhe021</v>
      </c>
      <c r="B23" t="str">
        <f>UnitHead!D23</f>
        <v>Catapult Head</v>
      </c>
      <c r="C23" s="1" t="str">
        <f>UnitHead!B23</f>
        <v>10114</v>
      </c>
      <c r="D23">
        <f>UnitHead!C23</f>
        <v>4</v>
      </c>
      <c r="E23" s="5" t="s">
        <v>254</v>
      </c>
      <c r="F23" s="5">
        <v>37</v>
      </c>
      <c r="G23">
        <f>UnitHead!AI23</f>
        <v>0</v>
      </c>
      <c r="H23" s="5">
        <v>0</v>
      </c>
      <c r="I23">
        <f>UnitHead!AJ23</f>
        <v>100000</v>
      </c>
      <c r="J23">
        <f>UnitHead!AK23</f>
        <v>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20</v>
      </c>
      <c r="T23" s="5">
        <v>0</v>
      </c>
      <c r="U23" s="5">
        <v>0</v>
      </c>
      <c r="V23" s="5">
        <v>0</v>
      </c>
      <c r="W23">
        <f>UnitHead!M23</f>
        <v>-1</v>
      </c>
      <c r="X23">
        <f>UnitHead!E23</f>
        <v>0</v>
      </c>
      <c r="Y23" s="1" t="str">
        <f>UnitHead!F23</f>
        <v>01000000</v>
      </c>
      <c r="Z23" s="5">
        <v>0</v>
      </c>
      <c r="AA23" s="5">
        <v>0</v>
      </c>
      <c r="AB23">
        <f>UnitHead!AB23</f>
        <v>371</v>
      </c>
      <c r="AC23" s="5">
        <v>0</v>
      </c>
      <c r="AD23" s="5">
        <v>0</v>
      </c>
      <c r="AE23" s="5">
        <v>0</v>
      </c>
      <c r="AF23" s="5">
        <v>0</v>
      </c>
      <c r="AG23">
        <f>IF(UnitHead!Y23&gt;127,127,UnitHead!Y23)</f>
        <v>13</v>
      </c>
      <c r="AH23">
        <f>IF(UnitHead!AC23&gt;127,127,UnitHead!AC23)</f>
        <v>10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>
        <f>UnitHead!L23</f>
        <v>30</v>
      </c>
      <c r="AP23">
        <f>UnitHead!N23</f>
        <v>2</v>
      </c>
      <c r="AQ23">
        <f>UnitHead!P23</f>
        <v>-1</v>
      </c>
      <c r="AR23">
        <f>UnitHead!O23</f>
        <v>1</v>
      </c>
      <c r="AS23">
        <f>UnitHead!Q23</f>
        <v>-1</v>
      </c>
      <c r="AT23" s="5">
        <v>0</v>
      </c>
      <c r="AU23" s="5">
        <v>0</v>
      </c>
      <c r="AV23">
        <f>UnitHead!AL23</f>
        <v>1</v>
      </c>
      <c r="AW23">
        <f>UnitHead!AZ23</f>
        <v>-1</v>
      </c>
      <c r="AX23">
        <f>UnitHead!BA23</f>
        <v>2</v>
      </c>
      <c r="AY23" s="5">
        <v>0</v>
      </c>
    </row>
    <row r="24" spans="1:51" x14ac:dyDescent="0.25">
      <c r="A24" t="str">
        <f>UnitHead!A24</f>
        <v>unhe022</v>
      </c>
      <c r="B24" t="str">
        <f>UnitHead!D24</f>
        <v>Advance Catapult Head</v>
      </c>
      <c r="C24" s="1" t="str">
        <f>UnitHead!B24</f>
        <v>10114</v>
      </c>
      <c r="D24">
        <f>UnitHead!C24</f>
        <v>4</v>
      </c>
      <c r="E24" s="5" t="s">
        <v>254</v>
      </c>
      <c r="F24" s="5">
        <v>37</v>
      </c>
      <c r="G24">
        <f>UnitHead!AI24</f>
        <v>0</v>
      </c>
      <c r="H24" s="5">
        <v>0</v>
      </c>
      <c r="I24">
        <f>UnitHead!AJ24</f>
        <v>200000</v>
      </c>
      <c r="J24">
        <f>UnitHead!AK24</f>
        <v>1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21</v>
      </c>
      <c r="T24" s="5">
        <v>0</v>
      </c>
      <c r="U24" s="5">
        <v>0</v>
      </c>
      <c r="V24" s="5">
        <v>0</v>
      </c>
      <c r="W24">
        <f>UnitHead!M24</f>
        <v>-1</v>
      </c>
      <c r="X24">
        <f>UnitHead!E24</f>
        <v>0</v>
      </c>
      <c r="Y24" s="1" t="str">
        <f>UnitHead!F24</f>
        <v>01000000</v>
      </c>
      <c r="Z24" s="5">
        <v>0</v>
      </c>
      <c r="AA24" s="5">
        <v>0</v>
      </c>
      <c r="AB24">
        <f>UnitHead!AB24</f>
        <v>371</v>
      </c>
      <c r="AC24" s="5">
        <v>0</v>
      </c>
      <c r="AD24" s="5">
        <v>0</v>
      </c>
      <c r="AE24" s="5">
        <v>0</v>
      </c>
      <c r="AF24" s="5">
        <v>0</v>
      </c>
      <c r="AG24">
        <f>IF(UnitHead!Y24&gt;127,127,UnitHead!Y24)</f>
        <v>14</v>
      </c>
      <c r="AH24">
        <f>IF(UnitHead!AC24&gt;127,127,UnitHead!AC24)</f>
        <v>12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>
        <f>UnitHead!L24</f>
        <v>30</v>
      </c>
      <c r="AP24">
        <f>UnitHead!N24</f>
        <v>2</v>
      </c>
      <c r="AQ24">
        <f>UnitHead!P24</f>
        <v>-1</v>
      </c>
      <c r="AR24">
        <f>UnitHead!O24</f>
        <v>12</v>
      </c>
      <c r="AS24">
        <f>UnitHead!Q24</f>
        <v>-1</v>
      </c>
      <c r="AT24" s="5">
        <v>0</v>
      </c>
      <c r="AU24" s="5">
        <v>0</v>
      </c>
      <c r="AV24">
        <f>UnitHead!AL24</f>
        <v>1</v>
      </c>
      <c r="AW24">
        <f>UnitHead!AZ24</f>
        <v>-1</v>
      </c>
      <c r="AX24">
        <f>UnitHead!BA24</f>
        <v>2</v>
      </c>
      <c r="AY24" s="5">
        <v>0</v>
      </c>
    </row>
    <row r="25" spans="1:51" x14ac:dyDescent="0.25">
      <c r="A25" t="str">
        <f>UnitHead!A25</f>
        <v>unhe023</v>
      </c>
      <c r="B25" t="str">
        <f>UnitHead!D25</f>
        <v>Advanced Unique Head</v>
      </c>
      <c r="C25" s="1" t="str">
        <f>UnitHead!B25</f>
        <v>1012E</v>
      </c>
      <c r="D25">
        <f>UnitHead!C25</f>
        <v>16</v>
      </c>
      <c r="E25" s="5" t="s">
        <v>254</v>
      </c>
      <c r="F25" s="5">
        <v>37</v>
      </c>
      <c r="G25">
        <f>UnitHead!AI25</f>
        <v>0</v>
      </c>
      <c r="H25" s="5">
        <v>0</v>
      </c>
      <c r="I25">
        <f>UnitHead!AJ25</f>
        <v>45360000</v>
      </c>
      <c r="J25">
        <f>UnitHead!AK25</f>
        <v>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39</v>
      </c>
      <c r="T25" s="5">
        <v>0</v>
      </c>
      <c r="U25" s="5">
        <v>0</v>
      </c>
      <c r="V25" s="5">
        <v>0</v>
      </c>
      <c r="W25">
        <f>UnitHead!M25</f>
        <v>-1</v>
      </c>
      <c r="X25">
        <f>UnitHead!E25</f>
        <v>0</v>
      </c>
      <c r="Y25" s="1" t="str">
        <f>UnitHead!F25</f>
        <v>01000000</v>
      </c>
      <c r="Z25" s="5">
        <v>0</v>
      </c>
      <c r="AA25" s="5">
        <v>0</v>
      </c>
      <c r="AB25">
        <f>UnitHead!AB25</f>
        <v>6912</v>
      </c>
      <c r="AC25" s="5">
        <v>0</v>
      </c>
      <c r="AD25" s="5">
        <v>0</v>
      </c>
      <c r="AE25" s="5">
        <v>0</v>
      </c>
      <c r="AF25" s="5">
        <v>0</v>
      </c>
      <c r="AG25">
        <f>IF(UnitHead!Y25&gt;127,127,UnitHead!Y25)</f>
        <v>127</v>
      </c>
      <c r="AH25">
        <f>IF(UnitHead!AC25&gt;127,127,UnitHead!AC25)</f>
        <v>15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>
        <f>UnitHead!L25</f>
        <v>66</v>
      </c>
      <c r="AP25">
        <f>UnitHead!N25</f>
        <v>2</v>
      </c>
      <c r="AQ25">
        <f>UnitHead!P25</f>
        <v>-1</v>
      </c>
      <c r="AR25">
        <f>UnitHead!O25</f>
        <v>99</v>
      </c>
      <c r="AS25">
        <f>UnitHead!Q25</f>
        <v>-1</v>
      </c>
      <c r="AT25" s="5">
        <v>0</v>
      </c>
      <c r="AU25" s="5">
        <v>0</v>
      </c>
      <c r="AV25">
        <f>UnitHead!AL25</f>
        <v>9</v>
      </c>
      <c r="AW25">
        <f>UnitHead!AZ25</f>
        <v>-1</v>
      </c>
      <c r="AX25">
        <f>UnitHead!BA25</f>
        <v>2</v>
      </c>
      <c r="AY25" s="5">
        <v>0</v>
      </c>
    </row>
    <row r="26" spans="1:51" x14ac:dyDescent="0.25">
      <c r="A26" t="str">
        <f>UnitHead!A26</f>
        <v>unhe024</v>
      </c>
      <c r="B26" t="str">
        <f>UnitHead!D26</f>
        <v>Beelzebub Catapult Head</v>
      </c>
      <c r="C26" s="1" t="str">
        <f>UnitHead!B26</f>
        <v>10130</v>
      </c>
      <c r="D26">
        <f>UnitHead!C26</f>
        <v>18</v>
      </c>
      <c r="E26" s="5" t="s">
        <v>254</v>
      </c>
      <c r="F26" s="5">
        <v>37</v>
      </c>
      <c r="G26">
        <f>UnitHead!AI26</f>
        <v>0</v>
      </c>
      <c r="H26" s="5">
        <v>0</v>
      </c>
      <c r="I26">
        <f>UnitHead!AJ26</f>
        <v>75000000</v>
      </c>
      <c r="J26">
        <f>UnitHead!AK26</f>
        <v>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23</v>
      </c>
      <c r="T26" s="5">
        <v>0</v>
      </c>
      <c r="U26" s="5">
        <v>0</v>
      </c>
      <c r="V26" s="5">
        <v>0</v>
      </c>
      <c r="W26">
        <f>UnitHead!M26</f>
        <v>-1</v>
      </c>
      <c r="X26">
        <f>UnitHead!E26</f>
        <v>0</v>
      </c>
      <c r="Y26" s="1" t="str">
        <f>UnitHead!F26</f>
        <v>01000000</v>
      </c>
      <c r="Z26" s="5">
        <v>0</v>
      </c>
      <c r="AA26" s="5">
        <v>0</v>
      </c>
      <c r="AB26">
        <f>UnitHead!AB26</f>
        <v>15300</v>
      </c>
      <c r="AC26" s="5">
        <v>0</v>
      </c>
      <c r="AD26" s="5">
        <v>0</v>
      </c>
      <c r="AE26" s="5">
        <v>0</v>
      </c>
      <c r="AF26" s="5">
        <v>0</v>
      </c>
      <c r="AG26">
        <f>IF(UnitHead!Y26&gt;127,127,UnitHead!Y26)</f>
        <v>127</v>
      </c>
      <c r="AH26">
        <f>IF(UnitHead!AC26&gt;127,127,UnitHead!AC26)</f>
        <v>20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>
        <f>UnitHead!L26</f>
        <v>71</v>
      </c>
      <c r="AP26">
        <f>UnitHead!N26</f>
        <v>2</v>
      </c>
      <c r="AQ26">
        <f>UnitHead!P26</f>
        <v>-1</v>
      </c>
      <c r="AR26">
        <f>UnitHead!O26</f>
        <v>99</v>
      </c>
      <c r="AS26">
        <f>UnitHead!Q26</f>
        <v>-1</v>
      </c>
      <c r="AT26" s="5">
        <v>0</v>
      </c>
      <c r="AU26" s="5">
        <v>0</v>
      </c>
      <c r="AV26">
        <f>UnitHead!AL26</f>
        <v>10</v>
      </c>
      <c r="AW26">
        <f>UnitHead!AZ26</f>
        <v>-1</v>
      </c>
      <c r="AX26">
        <f>UnitHead!BA26</f>
        <v>2</v>
      </c>
      <c r="AY26" s="5">
        <v>0</v>
      </c>
    </row>
    <row r="27" spans="1:51" x14ac:dyDescent="0.25">
      <c r="A27" t="str">
        <f>UnitHead!A27</f>
        <v>unhe025</v>
      </c>
      <c r="B27" t="str">
        <f>UnitHead!D27</f>
        <v>NotUsed</v>
      </c>
      <c r="C27" s="1" t="str">
        <f>UnitHead!B27</f>
        <v>10114</v>
      </c>
      <c r="D27">
        <f>UnitHead!C27</f>
        <v>100</v>
      </c>
      <c r="E27" s="5" t="s">
        <v>254</v>
      </c>
      <c r="F27" s="5">
        <v>37</v>
      </c>
      <c r="G27">
        <f>UnitHead!AI27</f>
        <v>0</v>
      </c>
      <c r="H27" s="5">
        <v>0</v>
      </c>
      <c r="I27">
        <f>UnitHead!AJ27</f>
        <v>7100000</v>
      </c>
      <c r="J27">
        <f>UnitHead!AK27</f>
        <v>4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24</v>
      </c>
      <c r="T27" s="5">
        <v>0</v>
      </c>
      <c r="U27" s="5">
        <v>0</v>
      </c>
      <c r="V27" s="5">
        <v>0</v>
      </c>
      <c r="W27">
        <f>UnitHead!M27</f>
        <v>-1</v>
      </c>
      <c r="X27">
        <f>UnitHead!E27</f>
        <v>0</v>
      </c>
      <c r="Y27" s="1" t="str">
        <f>UnitHead!F27</f>
        <v>01000000</v>
      </c>
      <c r="Z27" s="5">
        <v>0</v>
      </c>
      <c r="AA27" s="5">
        <v>0</v>
      </c>
      <c r="AB27">
        <f>UnitHead!AB27</f>
        <v>371</v>
      </c>
      <c r="AC27" s="5">
        <v>0</v>
      </c>
      <c r="AD27" s="5">
        <v>0</v>
      </c>
      <c r="AE27" s="5">
        <v>0</v>
      </c>
      <c r="AF27" s="5">
        <v>0</v>
      </c>
      <c r="AG27">
        <f>IF(UnitHead!Y27&gt;127,127,UnitHead!Y27)</f>
        <v>127</v>
      </c>
      <c r="AH27">
        <f>IF(UnitHead!AC27&gt;127,127,UnitHead!AC27)</f>
        <v>25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>
        <f>UnitHead!L27</f>
        <v>100</v>
      </c>
      <c r="AP27">
        <f>UnitHead!N27</f>
        <v>2</v>
      </c>
      <c r="AQ27">
        <f>UnitHead!P27</f>
        <v>-1</v>
      </c>
      <c r="AR27">
        <f>UnitHead!O27</f>
        <v>100</v>
      </c>
      <c r="AS27">
        <f>UnitHead!Q27</f>
        <v>-1</v>
      </c>
      <c r="AT27" s="5">
        <v>0</v>
      </c>
      <c r="AU27" s="5">
        <v>0</v>
      </c>
      <c r="AV27">
        <f>UnitHead!AL27</f>
        <v>4</v>
      </c>
      <c r="AW27">
        <f>UnitHead!AZ27</f>
        <v>-1</v>
      </c>
      <c r="AX27">
        <f>UnitHead!BA27</f>
        <v>2</v>
      </c>
      <c r="AY27" s="5">
        <v>0</v>
      </c>
    </row>
    <row r="28" spans="1:51" x14ac:dyDescent="0.25">
      <c r="A28" t="str">
        <f>UnitHead!A28</f>
        <v>unhe026</v>
      </c>
      <c r="B28" t="str">
        <f>UnitHead!D28</f>
        <v>Correct Brain Head</v>
      </c>
      <c r="C28" s="1" t="str">
        <f>UnitHead!B28</f>
        <v>10114</v>
      </c>
      <c r="D28">
        <f>UnitHead!C28</f>
        <v>4</v>
      </c>
      <c r="E28" s="5" t="s">
        <v>254</v>
      </c>
      <c r="F28" s="5">
        <v>37</v>
      </c>
      <c r="G28">
        <f>UnitHead!AI28</f>
        <v>0</v>
      </c>
      <c r="H28" s="5">
        <v>0</v>
      </c>
      <c r="I28">
        <f>UnitHead!AJ28</f>
        <v>600000</v>
      </c>
      <c r="J28">
        <f>UnitHead!AK28</f>
        <v>1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25</v>
      </c>
      <c r="T28" s="5">
        <v>0</v>
      </c>
      <c r="U28" s="5">
        <v>0</v>
      </c>
      <c r="V28" s="5">
        <v>0</v>
      </c>
      <c r="W28">
        <f>UnitHead!M28</f>
        <v>-1</v>
      </c>
      <c r="X28">
        <f>UnitHead!E28</f>
        <v>0</v>
      </c>
      <c r="Y28" s="1" t="str">
        <f>UnitHead!F28</f>
        <v>01000000</v>
      </c>
      <c r="Z28" s="5">
        <v>0</v>
      </c>
      <c r="AA28" s="5">
        <v>0</v>
      </c>
      <c r="AB28">
        <f>UnitHead!AB28</f>
        <v>872</v>
      </c>
      <c r="AC28" s="5">
        <v>0</v>
      </c>
      <c r="AD28" s="5">
        <v>0</v>
      </c>
      <c r="AE28" s="5">
        <v>0</v>
      </c>
      <c r="AF28" s="5">
        <v>0</v>
      </c>
      <c r="AG28">
        <f>IF(UnitHead!Y28&gt;127,127,UnitHead!Y28)</f>
        <v>78</v>
      </c>
      <c r="AH28">
        <f>IF(UnitHead!AC28&gt;127,127,UnitHead!AC28)</f>
        <v>30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>
        <f>UnitHead!L28</f>
        <v>35</v>
      </c>
      <c r="AP28">
        <f>UnitHead!N28</f>
        <v>2</v>
      </c>
      <c r="AQ28">
        <f>UnitHead!P28</f>
        <v>-1</v>
      </c>
      <c r="AR28">
        <f>UnitHead!O28</f>
        <v>57</v>
      </c>
      <c r="AS28">
        <f>UnitHead!Q28</f>
        <v>-1</v>
      </c>
      <c r="AT28" s="5">
        <v>0</v>
      </c>
      <c r="AU28" s="5">
        <v>0</v>
      </c>
      <c r="AV28">
        <f>UnitHead!AL28</f>
        <v>1</v>
      </c>
      <c r="AW28">
        <f>UnitHead!AZ28</f>
        <v>-1</v>
      </c>
      <c r="AX28">
        <f>UnitHead!BA28</f>
        <v>2</v>
      </c>
      <c r="AY28" s="5">
        <v>0</v>
      </c>
    </row>
    <row r="29" spans="1:51" x14ac:dyDescent="0.25">
      <c r="A29" t="str">
        <f>UnitHead!A29</f>
        <v>unhe027</v>
      </c>
      <c r="B29" t="str">
        <f>UnitHead!D29</f>
        <v>Far Sight Brain Head</v>
      </c>
      <c r="C29" s="1" t="str">
        <f>UnitHead!B29</f>
        <v>10114</v>
      </c>
      <c r="D29">
        <f>UnitHead!C29</f>
        <v>4</v>
      </c>
      <c r="E29" s="5" t="s">
        <v>254</v>
      </c>
      <c r="F29" s="5">
        <v>37</v>
      </c>
      <c r="G29">
        <f>UnitHead!AI29</f>
        <v>0</v>
      </c>
      <c r="H29" s="5">
        <v>0</v>
      </c>
      <c r="I29">
        <f>UnitHead!AJ29</f>
        <v>800000</v>
      </c>
      <c r="J29">
        <f>UnitHead!AK29</f>
        <v>1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26</v>
      </c>
      <c r="T29" s="5">
        <v>0</v>
      </c>
      <c r="U29" s="5">
        <v>0</v>
      </c>
      <c r="V29" s="5">
        <v>0</v>
      </c>
      <c r="W29">
        <f>UnitHead!M29</f>
        <v>-1</v>
      </c>
      <c r="X29">
        <f>UnitHead!E29</f>
        <v>0</v>
      </c>
      <c r="Y29" s="1" t="str">
        <f>UnitHead!F29</f>
        <v>01000000</v>
      </c>
      <c r="Z29" s="5">
        <v>0</v>
      </c>
      <c r="AA29" s="5">
        <v>0</v>
      </c>
      <c r="AB29">
        <f>UnitHead!AB29</f>
        <v>872</v>
      </c>
      <c r="AC29" s="5">
        <v>0</v>
      </c>
      <c r="AD29" s="5">
        <v>0</v>
      </c>
      <c r="AE29" s="5">
        <v>0</v>
      </c>
      <c r="AF29" s="5">
        <v>0</v>
      </c>
      <c r="AG29">
        <f>IF(UnitHead!Y29&gt;127,127,UnitHead!Y29)</f>
        <v>104</v>
      </c>
      <c r="AH29">
        <f>IF(UnitHead!AC29&gt;127,127,UnitHead!AC29)</f>
        <v>35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>
        <f>UnitHead!L29</f>
        <v>37</v>
      </c>
      <c r="AP29">
        <f>UnitHead!N29</f>
        <v>2</v>
      </c>
      <c r="AQ29">
        <f>UnitHead!P29</f>
        <v>-1</v>
      </c>
      <c r="AR29">
        <f>UnitHead!O29</f>
        <v>63</v>
      </c>
      <c r="AS29">
        <f>UnitHead!Q29</f>
        <v>-1</v>
      </c>
      <c r="AT29" s="5">
        <v>0</v>
      </c>
      <c r="AU29" s="5">
        <v>0</v>
      </c>
      <c r="AV29">
        <f>UnitHead!AL29</f>
        <v>1</v>
      </c>
      <c r="AW29">
        <f>UnitHead!AZ29</f>
        <v>-1</v>
      </c>
      <c r="AX29">
        <f>UnitHead!BA29</f>
        <v>2</v>
      </c>
      <c r="AY29" s="5">
        <v>0</v>
      </c>
    </row>
    <row r="30" spans="1:51" x14ac:dyDescent="0.25">
      <c r="A30" t="str">
        <f>UnitHead!A30</f>
        <v>unhe028</v>
      </c>
      <c r="B30" t="str">
        <f>UnitHead!D30</f>
        <v>NotUsed</v>
      </c>
      <c r="C30" s="1" t="str">
        <f>UnitHead!B30</f>
        <v>1011B</v>
      </c>
      <c r="D30">
        <f>UnitHead!C30</f>
        <v>100</v>
      </c>
      <c r="E30" s="5" t="s">
        <v>254</v>
      </c>
      <c r="F30" s="5">
        <v>37</v>
      </c>
      <c r="G30">
        <f>UnitHead!AI30</f>
        <v>0</v>
      </c>
      <c r="H30" s="5">
        <v>0</v>
      </c>
      <c r="I30">
        <f>UnitHead!AJ30</f>
        <v>7100000</v>
      </c>
      <c r="J30">
        <f>UnitHead!AK30</f>
        <v>4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27</v>
      </c>
      <c r="T30" s="5">
        <v>0</v>
      </c>
      <c r="U30" s="5">
        <v>0</v>
      </c>
      <c r="V30" s="5">
        <v>0</v>
      </c>
      <c r="W30">
        <f>UnitHead!M30</f>
        <v>-1</v>
      </c>
      <c r="X30">
        <f>UnitHead!E30</f>
        <v>0</v>
      </c>
      <c r="Y30" s="1" t="str">
        <f>UnitHead!F30</f>
        <v>01000000</v>
      </c>
      <c r="Z30" s="5">
        <v>0</v>
      </c>
      <c r="AA30" s="5">
        <v>0</v>
      </c>
      <c r="AB30">
        <f>UnitHead!AB30</f>
        <v>153</v>
      </c>
      <c r="AC30" s="5">
        <v>0</v>
      </c>
      <c r="AD30" s="5">
        <v>0</v>
      </c>
      <c r="AE30" s="5">
        <v>0</v>
      </c>
      <c r="AF30" s="5">
        <v>0</v>
      </c>
      <c r="AG30">
        <f>IF(UnitHead!Y30&gt;127,127,UnitHead!Y30)</f>
        <v>127</v>
      </c>
      <c r="AH30">
        <f>IF(UnitHead!AC30&gt;127,127,UnitHead!AC30)</f>
        <v>50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>
        <f>UnitHead!L30</f>
        <v>100</v>
      </c>
      <c r="AP30">
        <f>UnitHead!N30</f>
        <v>2</v>
      </c>
      <c r="AQ30">
        <f>UnitHead!P30</f>
        <v>-1</v>
      </c>
      <c r="AR30">
        <f>UnitHead!O30</f>
        <v>100</v>
      </c>
      <c r="AS30">
        <f>UnitHead!Q30</f>
        <v>-1</v>
      </c>
      <c r="AT30" s="5">
        <v>0</v>
      </c>
      <c r="AU30" s="5">
        <v>0</v>
      </c>
      <c r="AV30">
        <f>UnitHead!AL30</f>
        <v>4</v>
      </c>
      <c r="AW30">
        <f>UnitHead!AZ30</f>
        <v>-1</v>
      </c>
      <c r="AX30">
        <f>UnitHead!BA30</f>
        <v>2</v>
      </c>
      <c r="AY30" s="5">
        <v>0</v>
      </c>
    </row>
    <row r="31" spans="1:51" x14ac:dyDescent="0.25">
      <c r="A31" t="str">
        <f>UnitHead!A31</f>
        <v>unhe029</v>
      </c>
      <c r="B31" t="str">
        <f>UnitHead!D31</f>
        <v>NotUsed</v>
      </c>
      <c r="C31" s="1" t="str">
        <f>UnitHead!B31</f>
        <v>1011C</v>
      </c>
      <c r="D31">
        <f>UnitHead!C31</f>
        <v>100</v>
      </c>
      <c r="E31" s="5" t="s">
        <v>254</v>
      </c>
      <c r="F31" s="5">
        <v>37</v>
      </c>
      <c r="G31">
        <f>UnitHead!AI31</f>
        <v>0</v>
      </c>
      <c r="H31" s="5">
        <v>0</v>
      </c>
      <c r="I31">
        <f>UnitHead!AJ31</f>
        <v>7100000</v>
      </c>
      <c r="J31">
        <f>UnitHead!AK31</f>
        <v>4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28</v>
      </c>
      <c r="T31" s="5">
        <v>0</v>
      </c>
      <c r="U31" s="5">
        <v>0</v>
      </c>
      <c r="V31" s="5">
        <v>0</v>
      </c>
      <c r="W31">
        <f>UnitHead!M31</f>
        <v>-1</v>
      </c>
      <c r="X31">
        <f>UnitHead!E31</f>
        <v>0</v>
      </c>
      <c r="Y31" s="1" t="str">
        <f>UnitHead!F31</f>
        <v>01000000</v>
      </c>
      <c r="Z31" s="5">
        <v>0</v>
      </c>
      <c r="AA31" s="5">
        <v>0</v>
      </c>
      <c r="AB31">
        <f>UnitHead!AB31</f>
        <v>153</v>
      </c>
      <c r="AC31" s="5">
        <v>0</v>
      </c>
      <c r="AD31" s="5">
        <v>0</v>
      </c>
      <c r="AE31" s="5">
        <v>0</v>
      </c>
      <c r="AF31" s="5">
        <v>0</v>
      </c>
      <c r="AG31">
        <f>IF(UnitHead!Y31&gt;127,127,UnitHead!Y31)</f>
        <v>127</v>
      </c>
      <c r="AH31">
        <f>IF(UnitHead!AC31&gt;127,127,UnitHead!AC31)</f>
        <v>50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>
        <f>UnitHead!L31</f>
        <v>100</v>
      </c>
      <c r="AP31">
        <f>UnitHead!N31</f>
        <v>2</v>
      </c>
      <c r="AQ31">
        <f>UnitHead!P31</f>
        <v>-1</v>
      </c>
      <c r="AR31">
        <f>UnitHead!O31</f>
        <v>100</v>
      </c>
      <c r="AS31">
        <f>UnitHead!Q31</f>
        <v>-1</v>
      </c>
      <c r="AT31" s="5">
        <v>0</v>
      </c>
      <c r="AU31" s="5">
        <v>0</v>
      </c>
      <c r="AV31">
        <f>UnitHead!AL31</f>
        <v>4</v>
      </c>
      <c r="AW31">
        <f>UnitHead!AZ31</f>
        <v>-1</v>
      </c>
      <c r="AX31">
        <f>UnitHead!BA31</f>
        <v>2</v>
      </c>
      <c r="AY31" s="5">
        <v>0</v>
      </c>
    </row>
    <row r="32" spans="1:51" x14ac:dyDescent="0.25">
      <c r="A32" t="str">
        <f>UnitHead!A32</f>
        <v>unhe030</v>
      </c>
      <c r="B32" t="str">
        <f>UnitHead!D32</f>
        <v>Delicate Brain Head</v>
      </c>
      <c r="C32" s="1" t="str">
        <f>UnitHead!B32</f>
        <v>1011D</v>
      </c>
      <c r="D32">
        <f>UnitHead!C32</f>
        <v>5</v>
      </c>
      <c r="E32" s="5" t="s">
        <v>254</v>
      </c>
      <c r="F32" s="5">
        <v>37</v>
      </c>
      <c r="G32">
        <f>UnitHead!AI32</f>
        <v>0</v>
      </c>
      <c r="H32" s="5">
        <v>0</v>
      </c>
      <c r="I32">
        <f>UnitHead!AJ32</f>
        <v>1100000</v>
      </c>
      <c r="J32">
        <f>UnitHead!AK32</f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29</v>
      </c>
      <c r="T32" s="5">
        <v>0</v>
      </c>
      <c r="U32" s="5">
        <v>0</v>
      </c>
      <c r="V32" s="5">
        <v>0</v>
      </c>
      <c r="W32">
        <f>UnitHead!M32</f>
        <v>-1</v>
      </c>
      <c r="X32">
        <f>UnitHead!E32</f>
        <v>0</v>
      </c>
      <c r="Y32" s="1" t="str">
        <f>UnitHead!F32</f>
        <v>01000000</v>
      </c>
      <c r="Z32" s="5">
        <v>0</v>
      </c>
      <c r="AA32" s="5">
        <v>0</v>
      </c>
      <c r="AB32">
        <f>UnitHead!AB32</f>
        <v>1162</v>
      </c>
      <c r="AC32" s="5">
        <v>0</v>
      </c>
      <c r="AD32" s="5">
        <v>0</v>
      </c>
      <c r="AE32" s="5">
        <v>0</v>
      </c>
      <c r="AF32" s="5">
        <v>0</v>
      </c>
      <c r="AG32">
        <f>IF(UnitHead!Y32&gt;127,127,UnitHead!Y32)</f>
        <v>127</v>
      </c>
      <c r="AH32">
        <f>IF(UnitHead!AC32&gt;127,127,UnitHead!AC32)</f>
        <v>50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>
        <f>UnitHead!L32</f>
        <v>40</v>
      </c>
      <c r="AP32">
        <f>UnitHead!N32</f>
        <v>2</v>
      </c>
      <c r="AQ32">
        <f>UnitHead!P32</f>
        <v>-1</v>
      </c>
      <c r="AR32">
        <f>UnitHead!O32</f>
        <v>72</v>
      </c>
      <c r="AS32">
        <f>UnitHead!Q32</f>
        <v>-1</v>
      </c>
      <c r="AT32" s="5">
        <v>0</v>
      </c>
      <c r="AU32" s="5">
        <v>0</v>
      </c>
      <c r="AV32">
        <f>UnitHead!AL32</f>
        <v>1</v>
      </c>
      <c r="AW32">
        <f>UnitHead!AZ32</f>
        <v>-1</v>
      </c>
      <c r="AX32">
        <f>UnitHead!BA32</f>
        <v>2</v>
      </c>
      <c r="AY32" s="5">
        <v>0</v>
      </c>
    </row>
    <row r="33" spans="1:51" x14ac:dyDescent="0.25">
      <c r="A33" t="str">
        <f>UnitHead!A33</f>
        <v>unhe031</v>
      </c>
      <c r="B33" t="str">
        <f>UnitHead!D33</f>
        <v>Correct Catapult Head</v>
      </c>
      <c r="C33" s="1" t="str">
        <f>UnitHead!B33</f>
        <v>1011D</v>
      </c>
      <c r="D33">
        <f>UnitHead!C33</f>
        <v>5</v>
      </c>
      <c r="E33" s="5" t="s">
        <v>254</v>
      </c>
      <c r="F33" s="5">
        <v>37</v>
      </c>
      <c r="G33">
        <f>UnitHead!AI33</f>
        <v>0</v>
      </c>
      <c r="H33" s="5">
        <v>0</v>
      </c>
      <c r="I33">
        <f>UnitHead!AJ33</f>
        <v>1300000</v>
      </c>
      <c r="J33">
        <f>UnitHead!AK33</f>
        <v>1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30</v>
      </c>
      <c r="T33" s="5">
        <v>0</v>
      </c>
      <c r="U33" s="5">
        <v>0</v>
      </c>
      <c r="V33" s="5">
        <v>0</v>
      </c>
      <c r="W33">
        <f>UnitHead!M33</f>
        <v>-1</v>
      </c>
      <c r="X33">
        <f>UnitHead!E33</f>
        <v>0</v>
      </c>
      <c r="Y33" s="1" t="str">
        <f>UnitHead!F33</f>
        <v>01000000</v>
      </c>
      <c r="Z33" s="5">
        <v>0</v>
      </c>
      <c r="AA33" s="5">
        <v>0</v>
      </c>
      <c r="AB33">
        <f>UnitHead!AB33</f>
        <v>1269</v>
      </c>
      <c r="AC33" s="5">
        <v>0</v>
      </c>
      <c r="AD33" s="5">
        <v>0</v>
      </c>
      <c r="AE33" s="5">
        <v>0</v>
      </c>
      <c r="AF33" s="5">
        <v>0</v>
      </c>
      <c r="AG33">
        <f>IF(UnitHead!Y33&gt;127,127,UnitHead!Y33)</f>
        <v>127</v>
      </c>
      <c r="AH33">
        <f>IF(UnitHead!AC33&gt;127,127,UnitHead!AC33)</f>
        <v>50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>
        <f>UnitHead!L33</f>
        <v>42</v>
      </c>
      <c r="AP33">
        <f>UnitHead!N33</f>
        <v>2</v>
      </c>
      <c r="AQ33">
        <f>UnitHead!P33</f>
        <v>-1</v>
      </c>
      <c r="AR33">
        <f>UnitHead!O33</f>
        <v>88</v>
      </c>
      <c r="AS33">
        <f>UnitHead!Q33</f>
        <v>-1</v>
      </c>
      <c r="AT33" s="5">
        <v>0</v>
      </c>
      <c r="AU33" s="5">
        <v>0</v>
      </c>
      <c r="AV33">
        <f>UnitHead!AL33</f>
        <v>1</v>
      </c>
      <c r="AW33">
        <f>UnitHead!AZ33</f>
        <v>-1</v>
      </c>
      <c r="AX33">
        <f>UnitHead!BA33</f>
        <v>2</v>
      </c>
      <c r="AY33" s="5">
        <v>0</v>
      </c>
    </row>
    <row r="34" spans="1:51" x14ac:dyDescent="0.25">
      <c r="A34" t="str">
        <f>UnitHead!A34</f>
        <v>unhe032</v>
      </c>
      <c r="B34" t="str">
        <f>UnitHead!D34</f>
        <v>Far Sight Head</v>
      </c>
      <c r="C34" s="1" t="str">
        <f>UnitHead!B34</f>
        <v>1011D</v>
      </c>
      <c r="D34">
        <f>UnitHead!C34</f>
        <v>5</v>
      </c>
      <c r="E34" s="5" t="s">
        <v>254</v>
      </c>
      <c r="F34" s="5">
        <v>37</v>
      </c>
      <c r="G34">
        <f>UnitHead!AI34</f>
        <v>0</v>
      </c>
      <c r="H34" s="5">
        <v>0</v>
      </c>
      <c r="I34">
        <f>UnitHead!AJ34</f>
        <v>6272726</v>
      </c>
      <c r="J34">
        <f>UnitHead!AK34</f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31</v>
      </c>
      <c r="T34" s="5">
        <v>0</v>
      </c>
      <c r="U34" s="5">
        <v>0</v>
      </c>
      <c r="V34" s="5">
        <v>0</v>
      </c>
      <c r="W34">
        <f>UnitHead!M34</f>
        <v>-1</v>
      </c>
      <c r="X34">
        <f>UnitHead!E34</f>
        <v>0</v>
      </c>
      <c r="Y34" s="1" t="str">
        <f>UnitHead!F34</f>
        <v>01000000</v>
      </c>
      <c r="Z34" s="5">
        <v>0</v>
      </c>
      <c r="AA34" s="5">
        <v>0</v>
      </c>
      <c r="AB34">
        <f>UnitHead!AB34</f>
        <v>1025</v>
      </c>
      <c r="AC34" s="5">
        <v>0</v>
      </c>
      <c r="AD34" s="5">
        <v>0</v>
      </c>
      <c r="AE34" s="5">
        <v>0</v>
      </c>
      <c r="AF34" s="5">
        <v>0</v>
      </c>
      <c r="AG34">
        <f>IF(UnitHead!Y34&gt;127,127,UnitHead!Y34)</f>
        <v>127</v>
      </c>
      <c r="AH34">
        <f>IF(UnitHead!AC34&gt;127,127,UnitHead!AC34)</f>
        <v>50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>
        <f>UnitHead!L34</f>
        <v>48</v>
      </c>
      <c r="AP34">
        <f>UnitHead!N34</f>
        <v>2</v>
      </c>
      <c r="AQ34">
        <f>UnitHead!P34</f>
        <v>-1</v>
      </c>
      <c r="AR34">
        <f>UnitHead!O34</f>
        <v>93</v>
      </c>
      <c r="AS34">
        <f>UnitHead!Q34</f>
        <v>-1</v>
      </c>
      <c r="AT34" s="5">
        <v>0</v>
      </c>
      <c r="AU34" s="5">
        <v>0</v>
      </c>
      <c r="AV34">
        <f>UnitHead!AL34</f>
        <v>1</v>
      </c>
      <c r="AW34">
        <f>UnitHead!AZ34</f>
        <v>-1</v>
      </c>
      <c r="AX34">
        <f>UnitHead!BA34</f>
        <v>2</v>
      </c>
      <c r="AY34" s="5">
        <v>0</v>
      </c>
    </row>
    <row r="35" spans="1:51" x14ac:dyDescent="0.25">
      <c r="A35" t="str">
        <f>UnitHead!A35</f>
        <v>unhe033</v>
      </c>
      <c r="B35" t="str">
        <f>UnitHead!D35</f>
        <v>HA Sight Head</v>
      </c>
      <c r="C35" s="1" t="str">
        <f>UnitHead!B35</f>
        <v>10120</v>
      </c>
      <c r="D35">
        <f>UnitHead!C35</f>
        <v>6</v>
      </c>
      <c r="E35" s="5" t="s">
        <v>254</v>
      </c>
      <c r="F35" s="5">
        <v>37</v>
      </c>
      <c r="G35">
        <f>UnitHead!AI35</f>
        <v>0</v>
      </c>
      <c r="H35" s="5">
        <v>0</v>
      </c>
      <c r="I35">
        <f>UnitHead!AJ35</f>
        <v>2100000</v>
      </c>
      <c r="J35">
        <f>UnitHead!AK35</f>
        <v>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32</v>
      </c>
      <c r="T35" s="5">
        <v>0</v>
      </c>
      <c r="U35" s="5">
        <v>0</v>
      </c>
      <c r="V35" s="5">
        <v>0</v>
      </c>
      <c r="W35">
        <f>UnitHead!M35</f>
        <v>-1</v>
      </c>
      <c r="X35">
        <f>UnitHead!E35</f>
        <v>0</v>
      </c>
      <c r="Y35" s="1" t="str">
        <f>UnitHead!F35</f>
        <v>01000000</v>
      </c>
      <c r="Z35" s="5">
        <v>0</v>
      </c>
      <c r="AA35" s="5">
        <v>0</v>
      </c>
      <c r="AB35">
        <f>UnitHead!AB35</f>
        <v>1589</v>
      </c>
      <c r="AC35" s="5">
        <v>0</v>
      </c>
      <c r="AD35" s="5">
        <v>0</v>
      </c>
      <c r="AE35" s="5">
        <v>0</v>
      </c>
      <c r="AF35" s="5">
        <v>0</v>
      </c>
      <c r="AG35">
        <f>IF(UnitHead!Y35&gt;127,127,UnitHead!Y35)</f>
        <v>127</v>
      </c>
      <c r="AH35">
        <f>IF(UnitHead!AC35&gt;127,127,UnitHead!AC35)</f>
        <v>50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>
        <f>UnitHead!L35</f>
        <v>51</v>
      </c>
      <c r="AP35">
        <f>UnitHead!N35</f>
        <v>2</v>
      </c>
      <c r="AQ35">
        <f>UnitHead!P35</f>
        <v>-1</v>
      </c>
      <c r="AR35">
        <f>UnitHead!O35</f>
        <v>99</v>
      </c>
      <c r="AS35">
        <f>UnitHead!Q35</f>
        <v>-1</v>
      </c>
      <c r="AT35" s="5">
        <v>0</v>
      </c>
      <c r="AU35" s="5">
        <v>0</v>
      </c>
      <c r="AV35">
        <f>UnitHead!AL35</f>
        <v>2</v>
      </c>
      <c r="AW35">
        <f>UnitHead!AZ35</f>
        <v>-1</v>
      </c>
      <c r="AX35">
        <f>UnitHead!BA35</f>
        <v>2</v>
      </c>
      <c r="AY35" s="5">
        <v>0</v>
      </c>
    </row>
    <row r="36" spans="1:51" x14ac:dyDescent="0.25">
      <c r="A36" t="str">
        <f>UnitHead!A36</f>
        <v>unhe034</v>
      </c>
      <c r="B36" t="str">
        <f>UnitHead!D36</f>
        <v>VR Sight Head</v>
      </c>
      <c r="C36" s="1" t="str">
        <f>UnitHead!B36</f>
        <v>10120</v>
      </c>
      <c r="D36">
        <f>UnitHead!C36</f>
        <v>6</v>
      </c>
      <c r="E36" s="5" t="s">
        <v>254</v>
      </c>
      <c r="F36" s="5">
        <v>37</v>
      </c>
      <c r="G36">
        <f>UnitHead!AI36</f>
        <v>0</v>
      </c>
      <c r="H36" s="5">
        <v>0</v>
      </c>
      <c r="I36">
        <f>UnitHead!AJ36</f>
        <v>8400000</v>
      </c>
      <c r="J36">
        <f>UnitHead!AK36</f>
        <v>5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33</v>
      </c>
      <c r="T36" s="5">
        <v>0</v>
      </c>
      <c r="U36" s="5">
        <v>0</v>
      </c>
      <c r="V36" s="5">
        <v>0</v>
      </c>
      <c r="W36">
        <f>UnitHead!M36</f>
        <v>-1</v>
      </c>
      <c r="X36">
        <f>UnitHead!E36</f>
        <v>0</v>
      </c>
      <c r="Y36" s="1" t="str">
        <f>UnitHead!F36</f>
        <v>01000000</v>
      </c>
      <c r="Z36" s="5">
        <v>0</v>
      </c>
      <c r="AA36" s="5">
        <v>0</v>
      </c>
      <c r="AB36">
        <f>UnitHead!AB36</f>
        <v>1907</v>
      </c>
      <c r="AC36" s="5">
        <v>0</v>
      </c>
      <c r="AD36" s="5">
        <v>0</v>
      </c>
      <c r="AE36" s="5">
        <v>0</v>
      </c>
      <c r="AF36" s="5">
        <v>0</v>
      </c>
      <c r="AG36">
        <f>IF(UnitHead!Y36&gt;127,127,UnitHead!Y36)</f>
        <v>127</v>
      </c>
      <c r="AH36">
        <f>IF(UnitHead!AC36&gt;127,127,UnitHead!AC36)</f>
        <v>50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>
        <f>UnitHead!L36</f>
        <v>51</v>
      </c>
      <c r="AP36">
        <f>UnitHead!N36</f>
        <v>2</v>
      </c>
      <c r="AQ36">
        <f>UnitHead!P36</f>
        <v>-1</v>
      </c>
      <c r="AR36">
        <f>UnitHead!O36</f>
        <v>99</v>
      </c>
      <c r="AS36">
        <f>UnitHead!Q36</f>
        <v>-1</v>
      </c>
      <c r="AT36" s="5">
        <v>0</v>
      </c>
      <c r="AU36" s="5">
        <v>0</v>
      </c>
      <c r="AV36">
        <f>UnitHead!AL36</f>
        <v>5</v>
      </c>
      <c r="AW36">
        <f>UnitHead!AZ36</f>
        <v>-1</v>
      </c>
      <c r="AX36">
        <f>UnitHead!BA36</f>
        <v>2</v>
      </c>
      <c r="AY36" s="5">
        <v>0</v>
      </c>
    </row>
    <row r="37" spans="1:51" x14ac:dyDescent="0.25">
      <c r="A37" t="str">
        <f>UnitHead!A37</f>
        <v>unhe035</v>
      </c>
      <c r="B37" t="str">
        <f>UnitHead!D37</f>
        <v>Artillery Sight Head</v>
      </c>
      <c r="C37" s="1" t="str">
        <f>UnitHead!B37</f>
        <v>10120</v>
      </c>
      <c r="D37">
        <f>UnitHead!C37</f>
        <v>6</v>
      </c>
      <c r="E37" s="5" t="s">
        <v>254</v>
      </c>
      <c r="F37" s="5">
        <v>37</v>
      </c>
      <c r="G37">
        <f>UnitHead!AI37</f>
        <v>0</v>
      </c>
      <c r="H37" s="5">
        <v>0</v>
      </c>
      <c r="I37">
        <f>UnitHead!AJ37</f>
        <v>18900000</v>
      </c>
      <c r="J37">
        <f>UnitHead!AK37</f>
        <v>10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34</v>
      </c>
      <c r="T37" s="5">
        <v>0</v>
      </c>
      <c r="U37" s="5">
        <v>0</v>
      </c>
      <c r="V37" s="5">
        <v>0</v>
      </c>
      <c r="W37">
        <f>UnitHead!M37</f>
        <v>-1</v>
      </c>
      <c r="X37">
        <f>UnitHead!E37</f>
        <v>0</v>
      </c>
      <c r="Y37" s="1" t="str">
        <f>UnitHead!F37</f>
        <v>01000000</v>
      </c>
      <c r="Z37" s="5">
        <v>0</v>
      </c>
      <c r="AA37" s="5">
        <v>0</v>
      </c>
      <c r="AB37">
        <f>UnitHead!AB37</f>
        <v>2479</v>
      </c>
      <c r="AC37" s="5">
        <v>0</v>
      </c>
      <c r="AD37" s="5">
        <v>0</v>
      </c>
      <c r="AE37" s="5">
        <v>0</v>
      </c>
      <c r="AF37" s="5">
        <v>0</v>
      </c>
      <c r="AG37">
        <f>IF(UnitHead!Y37&gt;127,127,UnitHead!Y37)</f>
        <v>127</v>
      </c>
      <c r="AH37">
        <f>IF(UnitHead!AC37&gt;127,127,UnitHead!AC37)</f>
        <v>50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>
        <f>UnitHead!L37</f>
        <v>51</v>
      </c>
      <c r="AP37">
        <f>UnitHead!N37</f>
        <v>2</v>
      </c>
      <c r="AQ37">
        <f>UnitHead!P37</f>
        <v>-1</v>
      </c>
      <c r="AR37">
        <f>UnitHead!O37</f>
        <v>99</v>
      </c>
      <c r="AS37">
        <f>UnitHead!Q37</f>
        <v>-1</v>
      </c>
      <c r="AT37" s="5">
        <v>0</v>
      </c>
      <c r="AU37" s="5">
        <v>0</v>
      </c>
      <c r="AV37">
        <f>UnitHead!AL37</f>
        <v>10</v>
      </c>
      <c r="AW37">
        <f>UnitHead!AZ37</f>
        <v>-1</v>
      </c>
      <c r="AX37">
        <f>UnitHead!BA37</f>
        <v>2</v>
      </c>
      <c r="AY37" s="5">
        <v>0</v>
      </c>
    </row>
    <row r="38" spans="1:51" x14ac:dyDescent="0.25">
      <c r="A38" t="str">
        <f>UnitHead!A38</f>
        <v>unhe036</v>
      </c>
      <c r="B38" t="str">
        <f>UnitHead!D38</f>
        <v>AAA Sight Head</v>
      </c>
      <c r="C38" s="1" t="str">
        <f>UnitHead!B38</f>
        <v>10126</v>
      </c>
      <c r="D38">
        <f>UnitHead!C38</f>
        <v>8</v>
      </c>
      <c r="E38" s="5" t="s">
        <v>254</v>
      </c>
      <c r="F38" s="5">
        <v>37</v>
      </c>
      <c r="G38">
        <f>UnitHead!AI38</f>
        <v>0</v>
      </c>
      <c r="H38" s="5">
        <v>0</v>
      </c>
      <c r="I38">
        <f>UnitHead!AJ38</f>
        <v>2100000</v>
      </c>
      <c r="J38">
        <f>UnitHead!AK38</f>
        <v>2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35</v>
      </c>
      <c r="T38" s="5">
        <v>0</v>
      </c>
      <c r="U38" s="5">
        <v>0</v>
      </c>
      <c r="V38" s="5">
        <v>0</v>
      </c>
      <c r="W38">
        <f>UnitHead!M38</f>
        <v>-1</v>
      </c>
      <c r="X38">
        <f>UnitHead!E38</f>
        <v>0</v>
      </c>
      <c r="Y38" s="1" t="str">
        <f>UnitHead!F38</f>
        <v>01000000</v>
      </c>
      <c r="Z38" s="5">
        <v>0</v>
      </c>
      <c r="AA38" s="5">
        <v>0</v>
      </c>
      <c r="AB38">
        <f>UnitHead!AB38</f>
        <v>2700</v>
      </c>
      <c r="AC38" s="5">
        <v>0</v>
      </c>
      <c r="AD38" s="5">
        <v>0</v>
      </c>
      <c r="AE38" s="5">
        <v>0</v>
      </c>
      <c r="AF38" s="5">
        <v>0</v>
      </c>
      <c r="AG38">
        <f>IF(UnitHead!Y38&gt;127,127,UnitHead!Y38)</f>
        <v>127</v>
      </c>
      <c r="AH38">
        <f>IF(UnitHead!AC38&gt;127,127,UnitHead!AC38)</f>
        <v>50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>
        <f>UnitHead!L38</f>
        <v>51</v>
      </c>
      <c r="AP38">
        <f>UnitHead!N38</f>
        <v>2</v>
      </c>
      <c r="AQ38">
        <f>UnitHead!P38</f>
        <v>-1</v>
      </c>
      <c r="AR38">
        <f>UnitHead!O38</f>
        <v>99</v>
      </c>
      <c r="AS38">
        <f>UnitHead!Q38</f>
        <v>-1</v>
      </c>
      <c r="AT38" s="5">
        <v>0</v>
      </c>
      <c r="AU38" s="5">
        <v>0</v>
      </c>
      <c r="AV38">
        <f>UnitHead!AL38</f>
        <v>2</v>
      </c>
      <c r="AW38">
        <f>UnitHead!AZ38</f>
        <v>-1</v>
      </c>
      <c r="AX38">
        <f>UnitHead!BA38</f>
        <v>2</v>
      </c>
      <c r="AY38" s="5">
        <v>0</v>
      </c>
    </row>
    <row r="39" spans="1:51" x14ac:dyDescent="0.25">
      <c r="A39" t="str">
        <f>UnitHead!A39</f>
        <v>unhe037</v>
      </c>
      <c r="B39" t="str">
        <f>UnitHead!D39</f>
        <v>A S W S Head</v>
      </c>
      <c r="C39" s="1" t="str">
        <f>UnitHead!B39</f>
        <v>10126</v>
      </c>
      <c r="D39">
        <f>UnitHead!C39</f>
        <v>8</v>
      </c>
      <c r="E39" s="5" t="s">
        <v>254</v>
      </c>
      <c r="F39" s="5">
        <v>37</v>
      </c>
      <c r="G39">
        <f>UnitHead!AI39</f>
        <v>0</v>
      </c>
      <c r="H39" s="5">
        <v>0</v>
      </c>
      <c r="I39">
        <f>UnitHead!AJ39</f>
        <v>8400000</v>
      </c>
      <c r="J39">
        <f>UnitHead!AK39</f>
        <v>5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36</v>
      </c>
      <c r="T39" s="5">
        <v>0</v>
      </c>
      <c r="U39" s="5">
        <v>0</v>
      </c>
      <c r="V39" s="5">
        <v>0</v>
      </c>
      <c r="W39">
        <f>UnitHead!M39</f>
        <v>-1</v>
      </c>
      <c r="X39">
        <f>UnitHead!E39</f>
        <v>0</v>
      </c>
      <c r="Y39" s="1" t="str">
        <f>UnitHead!F39</f>
        <v>01000000</v>
      </c>
      <c r="Z39" s="5">
        <v>0</v>
      </c>
      <c r="AA39" s="5">
        <v>0</v>
      </c>
      <c r="AB39">
        <f>UnitHead!AB39</f>
        <v>3200</v>
      </c>
      <c r="AC39" s="5">
        <v>0</v>
      </c>
      <c r="AD39" s="5">
        <v>0</v>
      </c>
      <c r="AE39" s="5">
        <v>0</v>
      </c>
      <c r="AF39" s="5">
        <v>0</v>
      </c>
      <c r="AG39">
        <f>IF(UnitHead!Y39&gt;127,127,UnitHead!Y39)</f>
        <v>127</v>
      </c>
      <c r="AH39">
        <f>IF(UnitHead!AC39&gt;127,127,UnitHead!AC39)</f>
        <v>50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>
        <f>UnitHead!L39</f>
        <v>52</v>
      </c>
      <c r="AP39">
        <f>UnitHead!N39</f>
        <v>2</v>
      </c>
      <c r="AQ39">
        <f>UnitHead!P39</f>
        <v>-1</v>
      </c>
      <c r="AR39">
        <f>UnitHead!O39</f>
        <v>99</v>
      </c>
      <c r="AS39">
        <f>UnitHead!Q39</f>
        <v>-1</v>
      </c>
      <c r="AT39" s="5">
        <v>0</v>
      </c>
      <c r="AU39" s="5">
        <v>0</v>
      </c>
      <c r="AV39">
        <f>UnitHead!AL39</f>
        <v>5</v>
      </c>
      <c r="AW39">
        <f>UnitHead!AZ39</f>
        <v>-1</v>
      </c>
      <c r="AX39">
        <f>UnitHead!BA39</f>
        <v>2</v>
      </c>
      <c r="AY39" s="5">
        <v>0</v>
      </c>
    </row>
    <row r="40" spans="1:51" x14ac:dyDescent="0.25">
      <c r="A40" t="str">
        <f>UnitHead!A40</f>
        <v>unhe038</v>
      </c>
      <c r="B40" t="str">
        <f>UnitHead!D40</f>
        <v>J A Sight Head</v>
      </c>
      <c r="C40" s="1" t="str">
        <f>UnitHead!B40</f>
        <v>10126</v>
      </c>
      <c r="D40">
        <f>UnitHead!C40</f>
        <v>8</v>
      </c>
      <c r="E40" s="5" t="s">
        <v>254</v>
      </c>
      <c r="F40" s="5">
        <v>37</v>
      </c>
      <c r="G40">
        <f>UnitHead!AI40</f>
        <v>0</v>
      </c>
      <c r="H40" s="5">
        <v>0</v>
      </c>
      <c r="I40">
        <f>UnitHead!AJ40</f>
        <v>18900000</v>
      </c>
      <c r="J40">
        <f>UnitHead!AK40</f>
        <v>10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37</v>
      </c>
      <c r="T40" s="5">
        <v>0</v>
      </c>
      <c r="U40" s="5">
        <v>0</v>
      </c>
      <c r="V40" s="5">
        <v>0</v>
      </c>
      <c r="W40">
        <f>UnitHead!M40</f>
        <v>-1</v>
      </c>
      <c r="X40">
        <f>UnitHead!E40</f>
        <v>0</v>
      </c>
      <c r="Y40" s="1" t="str">
        <f>UnitHead!F40</f>
        <v>01000000</v>
      </c>
      <c r="Z40" s="5">
        <v>0</v>
      </c>
      <c r="AA40" s="5">
        <v>0</v>
      </c>
      <c r="AB40">
        <f>UnitHead!AB40</f>
        <v>4000</v>
      </c>
      <c r="AC40" s="5">
        <v>0</v>
      </c>
      <c r="AD40" s="5">
        <v>0</v>
      </c>
      <c r="AE40" s="5">
        <v>0</v>
      </c>
      <c r="AF40" s="5">
        <v>0</v>
      </c>
      <c r="AG40">
        <f>IF(UnitHead!Y40&gt;127,127,UnitHead!Y40)</f>
        <v>127</v>
      </c>
      <c r="AH40">
        <f>IF(UnitHead!AC40&gt;127,127,UnitHead!AC40)</f>
        <v>50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>
        <f>UnitHead!L40</f>
        <v>53</v>
      </c>
      <c r="AP40">
        <f>UnitHead!N40</f>
        <v>2</v>
      </c>
      <c r="AQ40">
        <f>UnitHead!P40</f>
        <v>-1</v>
      </c>
      <c r="AR40">
        <f>UnitHead!O40</f>
        <v>99</v>
      </c>
      <c r="AS40">
        <f>UnitHead!Q40</f>
        <v>-1</v>
      </c>
      <c r="AT40" s="5">
        <v>0</v>
      </c>
      <c r="AU40" s="5">
        <v>0</v>
      </c>
      <c r="AV40">
        <f>UnitHead!AL40</f>
        <v>10</v>
      </c>
      <c r="AW40">
        <f>UnitHead!AZ40</f>
        <v>-1</v>
      </c>
      <c r="AX40">
        <f>UnitHead!BA40</f>
        <v>2</v>
      </c>
      <c r="AY40" s="5">
        <v>0</v>
      </c>
    </row>
    <row r="41" spans="1:51" x14ac:dyDescent="0.25">
      <c r="A41" t="str">
        <f>UnitHead!A41</f>
        <v>unhe039</v>
      </c>
      <c r="B41" t="str">
        <f>UnitHead!D41</f>
        <v>Alter Head</v>
      </c>
      <c r="C41" s="1" t="str">
        <f>UnitHead!B41</f>
        <v>1012D</v>
      </c>
      <c r="D41">
        <f>UnitHead!C41</f>
        <v>16</v>
      </c>
      <c r="E41" s="5" t="s">
        <v>254</v>
      </c>
      <c r="F41" s="5">
        <v>37</v>
      </c>
      <c r="G41">
        <f>UnitHead!AI41</f>
        <v>0</v>
      </c>
      <c r="H41" s="5">
        <v>0</v>
      </c>
      <c r="I41">
        <f>UnitHead!AJ41</f>
        <v>30240000</v>
      </c>
      <c r="J41">
        <f>UnitHead!AK41</f>
        <v>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38</v>
      </c>
      <c r="T41" s="5">
        <v>0</v>
      </c>
      <c r="U41" s="5">
        <v>0</v>
      </c>
      <c r="V41" s="5">
        <v>0</v>
      </c>
      <c r="W41">
        <f>UnitHead!M41</f>
        <v>-1</v>
      </c>
      <c r="X41">
        <f>UnitHead!E41</f>
        <v>0</v>
      </c>
      <c r="Y41" s="1" t="str">
        <f>UnitHead!F41</f>
        <v>01000000</v>
      </c>
      <c r="Z41" s="5">
        <v>0</v>
      </c>
      <c r="AA41" s="5">
        <v>0</v>
      </c>
      <c r="AB41">
        <f>UnitHead!AB41</f>
        <v>4800</v>
      </c>
      <c r="AC41" s="5">
        <v>0</v>
      </c>
      <c r="AD41" s="5">
        <v>0</v>
      </c>
      <c r="AE41" s="5">
        <v>0</v>
      </c>
      <c r="AF41" s="5">
        <v>0</v>
      </c>
      <c r="AG41">
        <f>IF(UnitHead!Y41&gt;127,127,UnitHead!Y41)</f>
        <v>127</v>
      </c>
      <c r="AH41">
        <f>IF(UnitHead!AC41&gt;127,127,UnitHead!AC41)</f>
        <v>50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>
        <f>UnitHead!L41</f>
        <v>56</v>
      </c>
      <c r="AP41">
        <f>UnitHead!N41</f>
        <v>2</v>
      </c>
      <c r="AQ41">
        <f>UnitHead!P41</f>
        <v>-1</v>
      </c>
      <c r="AR41">
        <f>UnitHead!O41</f>
        <v>99</v>
      </c>
      <c r="AS41">
        <f>UnitHead!Q41</f>
        <v>-1</v>
      </c>
      <c r="AT41" s="5">
        <v>0</v>
      </c>
      <c r="AU41" s="5">
        <v>0</v>
      </c>
      <c r="AV41">
        <f>UnitHead!AL41</f>
        <v>12</v>
      </c>
      <c r="AW41">
        <f>UnitHead!AZ41</f>
        <v>-1</v>
      </c>
      <c r="AX41">
        <f>UnitHead!BA41</f>
        <v>2</v>
      </c>
      <c r="AY41" s="5">
        <v>0</v>
      </c>
    </row>
    <row r="42" spans="1:51" x14ac:dyDescent="0.25">
      <c r="A42" t="str">
        <f>UnitHead!A42</f>
        <v>unhe040</v>
      </c>
      <c r="B42" t="str">
        <f>UnitHead!D42</f>
        <v>Irregular Head</v>
      </c>
      <c r="C42" s="1" t="str">
        <f>UnitHead!B42</f>
        <v>1012D</v>
      </c>
      <c r="D42">
        <f>UnitHead!C42</f>
        <v>16</v>
      </c>
      <c r="E42" s="5" t="s">
        <v>254</v>
      </c>
      <c r="F42" s="5">
        <v>37</v>
      </c>
      <c r="G42">
        <f>UnitHead!AI42</f>
        <v>0</v>
      </c>
      <c r="H42" s="5">
        <v>0</v>
      </c>
      <c r="I42">
        <f>UnitHead!AJ42</f>
        <v>37800000</v>
      </c>
      <c r="J42">
        <f>UnitHead!AK42</f>
        <v>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39</v>
      </c>
      <c r="T42" s="5">
        <v>0</v>
      </c>
      <c r="U42" s="5">
        <v>0</v>
      </c>
      <c r="V42" s="5">
        <v>0</v>
      </c>
      <c r="W42">
        <f>UnitHead!M42</f>
        <v>-1</v>
      </c>
      <c r="X42">
        <f>UnitHead!E42</f>
        <v>0</v>
      </c>
      <c r="Y42" s="1" t="str">
        <f>UnitHead!F42</f>
        <v>01000000</v>
      </c>
      <c r="Z42" s="5">
        <v>0</v>
      </c>
      <c r="AA42" s="5">
        <v>0</v>
      </c>
      <c r="AB42">
        <f>UnitHead!AB42</f>
        <v>5760</v>
      </c>
      <c r="AC42" s="5">
        <v>0</v>
      </c>
      <c r="AD42" s="5">
        <v>0</v>
      </c>
      <c r="AE42" s="5">
        <v>0</v>
      </c>
      <c r="AF42" s="5">
        <v>0</v>
      </c>
      <c r="AG42">
        <f>IF(UnitHead!Y42&gt;127,127,UnitHead!Y42)</f>
        <v>127</v>
      </c>
      <c r="AH42">
        <f>IF(UnitHead!AC42&gt;127,127,UnitHead!AC42)</f>
        <v>50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>
        <f>UnitHead!L42</f>
        <v>61</v>
      </c>
      <c r="AP42">
        <f>UnitHead!N42</f>
        <v>2</v>
      </c>
      <c r="AQ42">
        <f>UnitHead!P42</f>
        <v>-1</v>
      </c>
      <c r="AR42">
        <f>UnitHead!O42</f>
        <v>99</v>
      </c>
      <c r="AS42">
        <f>UnitHead!Q42</f>
        <v>-1</v>
      </c>
      <c r="AT42" s="5">
        <v>0</v>
      </c>
      <c r="AU42" s="5">
        <v>0</v>
      </c>
      <c r="AV42">
        <f>UnitHead!AL42</f>
        <v>15</v>
      </c>
      <c r="AW42">
        <f>UnitHead!AZ42</f>
        <v>-1</v>
      </c>
      <c r="AX42">
        <f>UnitHead!BA42</f>
        <v>2</v>
      </c>
      <c r="AY42" s="5">
        <v>0</v>
      </c>
    </row>
    <row r="43" spans="1:51" x14ac:dyDescent="0.25">
      <c r="A43" t="str">
        <f>UnitHead!A43</f>
        <v>unhe041</v>
      </c>
      <c r="B43" t="str">
        <f>UnitHead!D43</f>
        <v>NotUsed</v>
      </c>
      <c r="C43" s="1" t="str">
        <f>UnitHead!B43</f>
        <v>20128</v>
      </c>
      <c r="D43">
        <f>UnitHead!C43</f>
        <v>100</v>
      </c>
      <c r="E43" s="5" t="s">
        <v>254</v>
      </c>
      <c r="F43" s="5">
        <v>37</v>
      </c>
      <c r="G43">
        <f>UnitHead!AI43</f>
        <v>0</v>
      </c>
      <c r="H43" s="5">
        <v>0</v>
      </c>
      <c r="I43">
        <f>UnitHead!AJ43</f>
        <v>100000</v>
      </c>
      <c r="J43">
        <f>UnitHead!AK43</f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40</v>
      </c>
      <c r="T43" s="5">
        <v>0</v>
      </c>
      <c r="U43" s="5">
        <v>0</v>
      </c>
      <c r="V43" s="5">
        <v>0</v>
      </c>
      <c r="W43">
        <f>UnitHead!M43</f>
        <v>-1</v>
      </c>
      <c r="X43">
        <f>UnitHead!E43</f>
        <v>0</v>
      </c>
      <c r="Y43" s="1" t="str">
        <f>UnitHead!F43</f>
        <v>00100000</v>
      </c>
      <c r="Z43" s="5">
        <v>0</v>
      </c>
      <c r="AA43" s="5">
        <v>0</v>
      </c>
      <c r="AB43">
        <f>UnitHead!AB43</f>
        <v>0</v>
      </c>
      <c r="AC43" s="5">
        <v>0</v>
      </c>
      <c r="AD43" s="5">
        <v>0</v>
      </c>
      <c r="AE43" s="5">
        <v>0</v>
      </c>
      <c r="AF43" s="5">
        <v>0</v>
      </c>
      <c r="AG43">
        <f>IF(UnitHead!Y43&gt;127,127,UnitHead!Y43)</f>
        <v>50</v>
      </c>
      <c r="AH43">
        <f>IF(UnitHead!AC43&gt;127,127,UnitHead!AC43)</f>
        <v>50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>
        <f>UnitHead!L43</f>
        <v>100</v>
      </c>
      <c r="AP43">
        <f>UnitHead!N43</f>
        <v>2</v>
      </c>
      <c r="AQ43">
        <f>UnitHead!P43</f>
        <v>-1</v>
      </c>
      <c r="AR43">
        <f>UnitHead!O43</f>
        <v>100</v>
      </c>
      <c r="AS43">
        <f>UnitHead!Q43</f>
        <v>-1</v>
      </c>
      <c r="AT43" s="5">
        <v>0</v>
      </c>
      <c r="AU43" s="5">
        <v>0</v>
      </c>
      <c r="AV43">
        <f>UnitHead!AL43</f>
        <v>0</v>
      </c>
      <c r="AW43">
        <f>UnitHead!AZ43</f>
        <v>-1</v>
      </c>
      <c r="AX43">
        <f>UnitHead!BA43</f>
        <v>2</v>
      </c>
      <c r="AY43" s="5">
        <v>0</v>
      </c>
    </row>
    <row r="44" spans="1:51" x14ac:dyDescent="0.25">
      <c r="A44" t="str">
        <f>UnitHead!A44</f>
        <v>unhe042</v>
      </c>
      <c r="B44" t="str">
        <f>UnitHead!D44</f>
        <v>NotUsed</v>
      </c>
      <c r="C44" s="1" t="str">
        <f>UnitHead!B44</f>
        <v>20129</v>
      </c>
      <c r="D44">
        <f>UnitHead!C44</f>
        <v>100</v>
      </c>
      <c r="E44" s="5" t="s">
        <v>254</v>
      </c>
      <c r="F44" s="5">
        <v>37</v>
      </c>
      <c r="G44">
        <f>UnitHead!AI44</f>
        <v>0</v>
      </c>
      <c r="H44" s="5">
        <v>0</v>
      </c>
      <c r="I44">
        <f>UnitHead!AJ44</f>
        <v>100000</v>
      </c>
      <c r="J44">
        <f>UnitHead!AK44</f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41</v>
      </c>
      <c r="T44" s="5">
        <v>0</v>
      </c>
      <c r="U44" s="5">
        <v>0</v>
      </c>
      <c r="V44" s="5">
        <v>0</v>
      </c>
      <c r="W44">
        <f>UnitHead!M44</f>
        <v>-1</v>
      </c>
      <c r="X44">
        <f>UnitHead!E44</f>
        <v>0</v>
      </c>
      <c r="Y44" s="1" t="str">
        <f>UnitHead!F44</f>
        <v>00100000</v>
      </c>
      <c r="Z44" s="5">
        <v>0</v>
      </c>
      <c r="AA44" s="5">
        <v>0</v>
      </c>
      <c r="AB44">
        <f>UnitHead!AB44</f>
        <v>0</v>
      </c>
      <c r="AC44" s="5">
        <v>0</v>
      </c>
      <c r="AD44" s="5">
        <v>0</v>
      </c>
      <c r="AE44" s="5">
        <v>0</v>
      </c>
      <c r="AF44" s="5">
        <v>0</v>
      </c>
      <c r="AG44">
        <f>IF(UnitHead!Y44&gt;127,127,UnitHead!Y44)</f>
        <v>50</v>
      </c>
      <c r="AH44">
        <f>IF(UnitHead!AC44&gt;127,127,UnitHead!AC44)</f>
        <v>50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>
        <f>UnitHead!L44</f>
        <v>100</v>
      </c>
      <c r="AP44">
        <f>UnitHead!N44</f>
        <v>2</v>
      </c>
      <c r="AQ44">
        <f>UnitHead!P44</f>
        <v>-1</v>
      </c>
      <c r="AR44">
        <f>UnitHead!O44</f>
        <v>100</v>
      </c>
      <c r="AS44">
        <f>UnitHead!Q44</f>
        <v>-1</v>
      </c>
      <c r="AT44" s="5">
        <v>0</v>
      </c>
      <c r="AU44" s="5">
        <v>0</v>
      </c>
      <c r="AV44">
        <f>UnitHead!AL44</f>
        <v>0</v>
      </c>
      <c r="AW44">
        <f>UnitHead!AZ44</f>
        <v>-1</v>
      </c>
      <c r="AX44">
        <f>UnitHead!BA44</f>
        <v>2</v>
      </c>
      <c r="AY44" s="5">
        <v>0</v>
      </c>
    </row>
    <row r="45" spans="1:51" x14ac:dyDescent="0.25">
      <c r="A45" t="str">
        <f>UnitHead!A45</f>
        <v>unhe043</v>
      </c>
      <c r="B45" t="str">
        <f>UnitHead!D45</f>
        <v>NotUsed</v>
      </c>
      <c r="C45" s="1" t="str">
        <f>UnitHead!B45</f>
        <v>2012A</v>
      </c>
      <c r="D45">
        <f>UnitHead!C45</f>
        <v>100</v>
      </c>
      <c r="E45" s="5" t="s">
        <v>254</v>
      </c>
      <c r="F45" s="5">
        <v>37</v>
      </c>
      <c r="G45">
        <f>UnitHead!AI45</f>
        <v>0</v>
      </c>
      <c r="H45" s="5">
        <v>0</v>
      </c>
      <c r="I45">
        <f>UnitHead!AJ45</f>
        <v>100000</v>
      </c>
      <c r="J45">
        <f>UnitHead!AK45</f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42</v>
      </c>
      <c r="T45" s="5">
        <v>0</v>
      </c>
      <c r="U45" s="5">
        <v>0</v>
      </c>
      <c r="V45" s="5">
        <v>0</v>
      </c>
      <c r="W45">
        <f>UnitHead!M45</f>
        <v>-1</v>
      </c>
      <c r="X45">
        <f>UnitHead!E45</f>
        <v>0</v>
      </c>
      <c r="Y45" s="1" t="str">
        <f>UnitHead!F45</f>
        <v>00100000</v>
      </c>
      <c r="Z45" s="5">
        <v>0</v>
      </c>
      <c r="AA45" s="5">
        <v>0</v>
      </c>
      <c r="AB45">
        <f>UnitHead!AB45</f>
        <v>0</v>
      </c>
      <c r="AC45" s="5">
        <v>0</v>
      </c>
      <c r="AD45" s="5">
        <v>0</v>
      </c>
      <c r="AE45" s="5">
        <v>0</v>
      </c>
      <c r="AF45" s="5">
        <v>0</v>
      </c>
      <c r="AG45">
        <f>IF(UnitHead!Y45&gt;127,127,UnitHead!Y45)</f>
        <v>50</v>
      </c>
      <c r="AH45">
        <f>IF(UnitHead!AC45&gt;127,127,UnitHead!AC45)</f>
        <v>50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>
        <f>UnitHead!L45</f>
        <v>100</v>
      </c>
      <c r="AP45">
        <f>UnitHead!N45</f>
        <v>2</v>
      </c>
      <c r="AQ45">
        <f>UnitHead!P45</f>
        <v>-1</v>
      </c>
      <c r="AR45">
        <f>UnitHead!O45</f>
        <v>100</v>
      </c>
      <c r="AS45">
        <f>UnitHead!Q45</f>
        <v>-1</v>
      </c>
      <c r="AT45" s="5">
        <v>0</v>
      </c>
      <c r="AU45" s="5">
        <v>0</v>
      </c>
      <c r="AV45">
        <f>UnitHead!AL45</f>
        <v>0</v>
      </c>
      <c r="AW45">
        <f>UnitHead!AZ45</f>
        <v>-1</v>
      </c>
      <c r="AX45">
        <f>UnitHead!BA45</f>
        <v>2</v>
      </c>
      <c r="AY45" s="5">
        <v>0</v>
      </c>
    </row>
    <row r="46" spans="1:51" x14ac:dyDescent="0.25">
      <c r="A46" t="str">
        <f>UnitHead!A46</f>
        <v>unhe044</v>
      </c>
      <c r="B46" t="str">
        <f>UnitHead!D46</f>
        <v>NotUsed</v>
      </c>
      <c r="C46" s="1" t="str">
        <f>UnitHead!B46</f>
        <v>2012B</v>
      </c>
      <c r="D46">
        <f>UnitHead!C46</f>
        <v>100</v>
      </c>
      <c r="E46" s="5" t="s">
        <v>254</v>
      </c>
      <c r="F46" s="5">
        <v>37</v>
      </c>
      <c r="G46">
        <f>UnitHead!AI46</f>
        <v>0</v>
      </c>
      <c r="H46" s="5">
        <v>0</v>
      </c>
      <c r="I46">
        <f>UnitHead!AJ46</f>
        <v>100000</v>
      </c>
      <c r="J46">
        <f>UnitHead!AK46</f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43</v>
      </c>
      <c r="T46" s="5">
        <v>0</v>
      </c>
      <c r="U46" s="5">
        <v>0</v>
      </c>
      <c r="V46" s="5">
        <v>0</v>
      </c>
      <c r="W46">
        <f>UnitHead!M46</f>
        <v>-1</v>
      </c>
      <c r="X46">
        <f>UnitHead!E46</f>
        <v>0</v>
      </c>
      <c r="Y46" s="1" t="str">
        <f>UnitHead!F46</f>
        <v>00100000</v>
      </c>
      <c r="Z46" s="5">
        <v>0</v>
      </c>
      <c r="AA46" s="5">
        <v>0</v>
      </c>
      <c r="AB46">
        <f>UnitHead!AB46</f>
        <v>0</v>
      </c>
      <c r="AC46" s="5">
        <v>0</v>
      </c>
      <c r="AD46" s="5">
        <v>0</v>
      </c>
      <c r="AE46" s="5">
        <v>0</v>
      </c>
      <c r="AF46" s="5">
        <v>0</v>
      </c>
      <c r="AG46">
        <f>IF(UnitHead!Y46&gt;127,127,UnitHead!Y46)</f>
        <v>50</v>
      </c>
      <c r="AH46">
        <f>IF(UnitHead!AC46&gt;127,127,UnitHead!AC46)</f>
        <v>50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>
        <f>UnitHead!L46</f>
        <v>100</v>
      </c>
      <c r="AP46">
        <f>UnitHead!N46</f>
        <v>2</v>
      </c>
      <c r="AQ46">
        <f>UnitHead!P46</f>
        <v>-1</v>
      </c>
      <c r="AR46">
        <f>UnitHead!O46</f>
        <v>100</v>
      </c>
      <c r="AS46">
        <f>UnitHead!Q46</f>
        <v>-1</v>
      </c>
      <c r="AT46" s="5">
        <v>0</v>
      </c>
      <c r="AU46" s="5">
        <v>0</v>
      </c>
      <c r="AV46">
        <f>UnitHead!AL46</f>
        <v>0</v>
      </c>
      <c r="AW46">
        <f>UnitHead!AZ46</f>
        <v>-1</v>
      </c>
      <c r="AX46">
        <f>UnitHead!BA46</f>
        <v>2</v>
      </c>
      <c r="AY46" s="5">
        <v>0</v>
      </c>
    </row>
    <row r="47" spans="1:51" x14ac:dyDescent="0.25">
      <c r="A47" t="str">
        <f>UnitHead!A47</f>
        <v>unhe045</v>
      </c>
      <c r="B47" t="str">
        <f>UnitHead!D47</f>
        <v>NotUsed</v>
      </c>
      <c r="C47" s="1" t="str">
        <f>UnitHead!B47</f>
        <v>2012C</v>
      </c>
      <c r="D47">
        <f>UnitHead!C47</f>
        <v>100</v>
      </c>
      <c r="E47" s="5" t="s">
        <v>254</v>
      </c>
      <c r="F47" s="5">
        <v>37</v>
      </c>
      <c r="G47">
        <f>UnitHead!AI47</f>
        <v>0</v>
      </c>
      <c r="H47" s="5">
        <v>0</v>
      </c>
      <c r="I47">
        <f>UnitHead!AJ47</f>
        <v>100000</v>
      </c>
      <c r="J47">
        <f>UnitHead!AK47</f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44</v>
      </c>
      <c r="T47" s="5">
        <v>0</v>
      </c>
      <c r="U47" s="5">
        <v>0</v>
      </c>
      <c r="V47" s="5">
        <v>0</v>
      </c>
      <c r="W47">
        <f>UnitHead!M47</f>
        <v>-1</v>
      </c>
      <c r="X47">
        <f>UnitHead!E47</f>
        <v>0</v>
      </c>
      <c r="Y47" s="1" t="str">
        <f>UnitHead!F47</f>
        <v>00100000</v>
      </c>
      <c r="Z47" s="5">
        <v>0</v>
      </c>
      <c r="AA47" s="5">
        <v>0</v>
      </c>
      <c r="AB47">
        <f>UnitHead!AB47</f>
        <v>0</v>
      </c>
      <c r="AC47" s="5">
        <v>0</v>
      </c>
      <c r="AD47" s="5">
        <v>0</v>
      </c>
      <c r="AE47" s="5">
        <v>0</v>
      </c>
      <c r="AF47" s="5">
        <v>0</v>
      </c>
      <c r="AG47">
        <f>IF(UnitHead!Y47&gt;127,127,UnitHead!Y47)</f>
        <v>50</v>
      </c>
      <c r="AH47">
        <f>IF(UnitHead!AC47&gt;127,127,UnitHead!AC47)</f>
        <v>50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>
        <f>UnitHead!L47</f>
        <v>100</v>
      </c>
      <c r="AP47">
        <f>UnitHead!N47</f>
        <v>2</v>
      </c>
      <c r="AQ47">
        <f>UnitHead!P47</f>
        <v>-1</v>
      </c>
      <c r="AR47">
        <f>UnitHead!O47</f>
        <v>100</v>
      </c>
      <c r="AS47">
        <f>UnitHead!Q47</f>
        <v>-1</v>
      </c>
      <c r="AT47" s="5">
        <v>0</v>
      </c>
      <c r="AU47" s="5">
        <v>0</v>
      </c>
      <c r="AV47">
        <f>UnitHead!AL47</f>
        <v>0</v>
      </c>
      <c r="AW47">
        <f>UnitHead!AZ47</f>
        <v>-1</v>
      </c>
      <c r="AX47">
        <f>UnitHead!BA47</f>
        <v>2</v>
      </c>
      <c r="AY47" s="5">
        <v>0</v>
      </c>
    </row>
    <row r="48" spans="1:51" x14ac:dyDescent="0.25">
      <c r="A48" t="str">
        <f>UnitHead!A48</f>
        <v>unhe046</v>
      </c>
      <c r="B48" t="str">
        <f>UnitHead!D48</f>
        <v>NotUsed</v>
      </c>
      <c r="C48" s="1" t="str">
        <f>UnitHead!B48</f>
        <v>2012D</v>
      </c>
      <c r="D48">
        <f>UnitHead!C48</f>
        <v>100</v>
      </c>
      <c r="E48" s="5" t="s">
        <v>254</v>
      </c>
      <c r="F48" s="5">
        <v>37</v>
      </c>
      <c r="G48">
        <f>UnitHead!AI48</f>
        <v>0</v>
      </c>
      <c r="H48" s="5">
        <v>0</v>
      </c>
      <c r="I48">
        <f>UnitHead!AJ48</f>
        <v>100000</v>
      </c>
      <c r="J48">
        <f>UnitHead!AK48</f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45</v>
      </c>
      <c r="T48" s="5">
        <v>0</v>
      </c>
      <c r="U48" s="5">
        <v>0</v>
      </c>
      <c r="V48" s="5">
        <v>0</v>
      </c>
      <c r="W48">
        <f>UnitHead!M48</f>
        <v>-1</v>
      </c>
      <c r="X48">
        <f>UnitHead!E48</f>
        <v>0</v>
      </c>
      <c r="Y48" s="1" t="str">
        <f>UnitHead!F48</f>
        <v>00100000</v>
      </c>
      <c r="Z48" s="5">
        <v>0</v>
      </c>
      <c r="AA48" s="5">
        <v>0</v>
      </c>
      <c r="AB48">
        <f>UnitHead!AB48</f>
        <v>0</v>
      </c>
      <c r="AC48" s="5">
        <v>0</v>
      </c>
      <c r="AD48" s="5">
        <v>0</v>
      </c>
      <c r="AE48" s="5">
        <v>0</v>
      </c>
      <c r="AF48" s="5">
        <v>0</v>
      </c>
      <c r="AG48">
        <f>IF(UnitHead!Y48&gt;127,127,UnitHead!Y48)</f>
        <v>50</v>
      </c>
      <c r="AH48">
        <f>IF(UnitHead!AC48&gt;127,127,UnitHead!AC48)</f>
        <v>50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>
        <f>UnitHead!L48</f>
        <v>100</v>
      </c>
      <c r="AP48">
        <f>UnitHead!N48</f>
        <v>2</v>
      </c>
      <c r="AQ48">
        <f>UnitHead!P48</f>
        <v>-1</v>
      </c>
      <c r="AR48">
        <f>UnitHead!O48</f>
        <v>100</v>
      </c>
      <c r="AS48">
        <f>UnitHead!Q48</f>
        <v>-1</v>
      </c>
      <c r="AT48" s="5">
        <v>0</v>
      </c>
      <c r="AU48" s="5">
        <v>0</v>
      </c>
      <c r="AV48">
        <f>UnitHead!AL48</f>
        <v>0</v>
      </c>
      <c r="AW48">
        <f>UnitHead!AZ48</f>
        <v>-1</v>
      </c>
      <c r="AX48">
        <f>UnitHead!BA48</f>
        <v>2</v>
      </c>
      <c r="AY48" s="5">
        <v>0</v>
      </c>
    </row>
    <row r="49" spans="1:51" x14ac:dyDescent="0.25">
      <c r="A49" t="str">
        <f>UnitHead!A49</f>
        <v>unhe047</v>
      </c>
      <c r="B49" t="str">
        <f>UnitHead!D49</f>
        <v>NotUsed</v>
      </c>
      <c r="C49" s="1" t="str">
        <f>UnitHead!B49</f>
        <v>2012E</v>
      </c>
      <c r="D49">
        <f>UnitHead!C49</f>
        <v>100</v>
      </c>
      <c r="E49" s="5" t="s">
        <v>254</v>
      </c>
      <c r="F49" s="5">
        <v>37</v>
      </c>
      <c r="G49">
        <f>UnitHead!AI49</f>
        <v>0</v>
      </c>
      <c r="H49" s="5">
        <v>0</v>
      </c>
      <c r="I49">
        <f>UnitHead!AJ49</f>
        <v>100000</v>
      </c>
      <c r="J49">
        <f>UnitHead!AK49</f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46</v>
      </c>
      <c r="T49" s="5">
        <v>0</v>
      </c>
      <c r="U49" s="5">
        <v>0</v>
      </c>
      <c r="V49" s="5">
        <v>0</v>
      </c>
      <c r="W49">
        <f>UnitHead!M49</f>
        <v>-1</v>
      </c>
      <c r="X49">
        <f>UnitHead!E49</f>
        <v>0</v>
      </c>
      <c r="Y49" s="1" t="str">
        <f>UnitHead!F49</f>
        <v>00100000</v>
      </c>
      <c r="Z49" s="5">
        <v>0</v>
      </c>
      <c r="AA49" s="5">
        <v>0</v>
      </c>
      <c r="AB49">
        <f>UnitHead!AB49</f>
        <v>0</v>
      </c>
      <c r="AC49" s="5">
        <v>0</v>
      </c>
      <c r="AD49" s="5">
        <v>0</v>
      </c>
      <c r="AE49" s="5">
        <v>0</v>
      </c>
      <c r="AF49" s="5">
        <v>0</v>
      </c>
      <c r="AG49">
        <f>IF(UnitHead!Y49&gt;127,127,UnitHead!Y49)</f>
        <v>50</v>
      </c>
      <c r="AH49">
        <f>IF(UnitHead!AC49&gt;127,127,UnitHead!AC49)</f>
        <v>50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>
        <f>UnitHead!L49</f>
        <v>100</v>
      </c>
      <c r="AP49">
        <f>UnitHead!N49</f>
        <v>2</v>
      </c>
      <c r="AQ49">
        <f>UnitHead!P49</f>
        <v>-1</v>
      </c>
      <c r="AR49">
        <f>UnitHead!O49</f>
        <v>100</v>
      </c>
      <c r="AS49">
        <f>UnitHead!Q49</f>
        <v>-1</v>
      </c>
      <c r="AT49" s="5">
        <v>0</v>
      </c>
      <c r="AU49" s="5">
        <v>0</v>
      </c>
      <c r="AV49">
        <f>UnitHead!AL49</f>
        <v>0</v>
      </c>
      <c r="AW49">
        <f>UnitHead!AZ49</f>
        <v>-1</v>
      </c>
      <c r="AX49">
        <f>UnitHead!BA49</f>
        <v>2</v>
      </c>
      <c r="AY49" s="5">
        <v>0</v>
      </c>
    </row>
    <row r="50" spans="1:51" x14ac:dyDescent="0.25">
      <c r="A50" t="str">
        <f>UnitHead!A50</f>
        <v>unhe048</v>
      </c>
      <c r="B50" t="str">
        <f>UnitHead!D50</f>
        <v>NotUsed</v>
      </c>
      <c r="C50" s="1" t="str">
        <f>UnitHead!B50</f>
        <v>2012F</v>
      </c>
      <c r="D50">
        <f>UnitHead!C50</f>
        <v>100</v>
      </c>
      <c r="E50" s="5" t="s">
        <v>254</v>
      </c>
      <c r="F50" s="5">
        <v>37</v>
      </c>
      <c r="G50">
        <f>UnitHead!AI50</f>
        <v>0</v>
      </c>
      <c r="H50" s="5">
        <v>0</v>
      </c>
      <c r="I50">
        <f>UnitHead!AJ50</f>
        <v>100000</v>
      </c>
      <c r="J50">
        <f>UnitHead!AK50</f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47</v>
      </c>
      <c r="T50" s="5">
        <v>0</v>
      </c>
      <c r="U50" s="5">
        <v>0</v>
      </c>
      <c r="V50" s="5">
        <v>0</v>
      </c>
      <c r="W50">
        <f>UnitHead!M50</f>
        <v>-1</v>
      </c>
      <c r="X50">
        <f>UnitHead!E50</f>
        <v>0</v>
      </c>
      <c r="Y50" s="1" t="str">
        <f>UnitHead!F50</f>
        <v>00100000</v>
      </c>
      <c r="Z50" s="5">
        <v>0</v>
      </c>
      <c r="AA50" s="5">
        <v>0</v>
      </c>
      <c r="AB50">
        <f>UnitHead!AB50</f>
        <v>0</v>
      </c>
      <c r="AC50" s="5">
        <v>0</v>
      </c>
      <c r="AD50" s="5">
        <v>0</v>
      </c>
      <c r="AE50" s="5">
        <v>0</v>
      </c>
      <c r="AF50" s="5">
        <v>0</v>
      </c>
      <c r="AG50">
        <f>IF(UnitHead!Y50&gt;127,127,UnitHead!Y50)</f>
        <v>50</v>
      </c>
      <c r="AH50">
        <f>IF(UnitHead!AC50&gt;127,127,UnitHead!AC50)</f>
        <v>50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>
        <f>UnitHead!L50</f>
        <v>100</v>
      </c>
      <c r="AP50">
        <f>UnitHead!N50</f>
        <v>2</v>
      </c>
      <c r="AQ50">
        <f>UnitHead!P50</f>
        <v>-1</v>
      </c>
      <c r="AR50">
        <f>UnitHead!O50</f>
        <v>100</v>
      </c>
      <c r="AS50">
        <f>UnitHead!Q50</f>
        <v>-1</v>
      </c>
      <c r="AT50" s="5">
        <v>0</v>
      </c>
      <c r="AU50" s="5">
        <v>0</v>
      </c>
      <c r="AV50">
        <f>UnitHead!AL50</f>
        <v>0</v>
      </c>
      <c r="AW50">
        <f>UnitHead!AZ50</f>
        <v>-1</v>
      </c>
      <c r="AX50">
        <f>UnitHead!BA50</f>
        <v>2</v>
      </c>
      <c r="AY50" s="5">
        <v>0</v>
      </c>
    </row>
    <row r="51" spans="1:51" x14ac:dyDescent="0.25">
      <c r="A51" t="str">
        <f>UnitHead!A51</f>
        <v>unhe049</v>
      </c>
      <c r="B51" t="str">
        <f>UnitHead!D51</f>
        <v>NotUsed</v>
      </c>
      <c r="C51" s="1" t="str">
        <f>UnitHead!B51</f>
        <v>20130</v>
      </c>
      <c r="D51">
        <f>UnitHead!C51</f>
        <v>100</v>
      </c>
      <c r="E51" s="5" t="s">
        <v>254</v>
      </c>
      <c r="F51" s="5">
        <v>37</v>
      </c>
      <c r="G51">
        <f>UnitHead!AI51</f>
        <v>0</v>
      </c>
      <c r="H51" s="5">
        <v>0</v>
      </c>
      <c r="I51">
        <f>UnitHead!AJ51</f>
        <v>100000</v>
      </c>
      <c r="J51">
        <f>UnitHead!AK51</f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48</v>
      </c>
      <c r="T51" s="5">
        <v>0</v>
      </c>
      <c r="U51" s="5">
        <v>0</v>
      </c>
      <c r="V51" s="5">
        <v>0</v>
      </c>
      <c r="W51">
        <f>UnitHead!M51</f>
        <v>-1</v>
      </c>
      <c r="X51">
        <f>UnitHead!E51</f>
        <v>0</v>
      </c>
      <c r="Y51" s="1" t="str">
        <f>UnitHead!F51</f>
        <v>00100000</v>
      </c>
      <c r="Z51" s="5">
        <v>0</v>
      </c>
      <c r="AA51" s="5">
        <v>0</v>
      </c>
      <c r="AB51">
        <f>UnitHead!AB51</f>
        <v>0</v>
      </c>
      <c r="AC51" s="5">
        <v>0</v>
      </c>
      <c r="AD51" s="5">
        <v>0</v>
      </c>
      <c r="AE51" s="5">
        <v>0</v>
      </c>
      <c r="AF51" s="5">
        <v>0</v>
      </c>
      <c r="AG51">
        <f>IF(UnitHead!Y51&gt;127,127,UnitHead!Y51)</f>
        <v>50</v>
      </c>
      <c r="AH51">
        <f>IF(UnitHead!AC51&gt;127,127,UnitHead!AC51)</f>
        <v>50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>
        <f>UnitHead!L51</f>
        <v>100</v>
      </c>
      <c r="AP51">
        <f>UnitHead!N51</f>
        <v>2</v>
      </c>
      <c r="AQ51">
        <f>UnitHead!P51</f>
        <v>-1</v>
      </c>
      <c r="AR51">
        <f>UnitHead!O51</f>
        <v>100</v>
      </c>
      <c r="AS51">
        <f>UnitHead!Q51</f>
        <v>-1</v>
      </c>
      <c r="AT51" s="5">
        <v>0</v>
      </c>
      <c r="AU51" s="5">
        <v>0</v>
      </c>
      <c r="AV51">
        <f>UnitHead!AL51</f>
        <v>0</v>
      </c>
      <c r="AW51">
        <f>UnitHead!AZ51</f>
        <v>-1</v>
      </c>
      <c r="AX51">
        <f>UnitHead!BA51</f>
        <v>2</v>
      </c>
      <c r="AY51" s="5">
        <v>0</v>
      </c>
    </row>
    <row r="52" spans="1:51" x14ac:dyDescent="0.25">
      <c r="A52" t="str">
        <f>UnitHead!A52</f>
        <v>unhe050</v>
      </c>
      <c r="B52" t="str">
        <f>UnitHead!D52</f>
        <v>NotUsed</v>
      </c>
      <c r="C52" s="1" t="str">
        <f>UnitHead!B52</f>
        <v>20131</v>
      </c>
      <c r="D52">
        <f>UnitHead!C52</f>
        <v>100</v>
      </c>
      <c r="E52" s="5" t="s">
        <v>254</v>
      </c>
      <c r="F52" s="5">
        <v>37</v>
      </c>
      <c r="G52">
        <f>UnitHead!AI52</f>
        <v>0</v>
      </c>
      <c r="H52" s="5">
        <v>0</v>
      </c>
      <c r="I52">
        <f>UnitHead!AJ52</f>
        <v>100000</v>
      </c>
      <c r="J52">
        <f>UnitHead!AK52</f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49</v>
      </c>
      <c r="T52" s="5">
        <v>0</v>
      </c>
      <c r="U52" s="5">
        <v>0</v>
      </c>
      <c r="V52" s="5">
        <v>0</v>
      </c>
      <c r="W52">
        <f>UnitHead!M52</f>
        <v>-1</v>
      </c>
      <c r="X52">
        <f>UnitHead!E52</f>
        <v>0</v>
      </c>
      <c r="Y52" s="1" t="str">
        <f>UnitHead!F52</f>
        <v>00100000</v>
      </c>
      <c r="Z52" s="5">
        <v>0</v>
      </c>
      <c r="AA52" s="5">
        <v>0</v>
      </c>
      <c r="AB52">
        <f>UnitHead!AB52</f>
        <v>0</v>
      </c>
      <c r="AC52" s="5">
        <v>0</v>
      </c>
      <c r="AD52" s="5">
        <v>0</v>
      </c>
      <c r="AE52" s="5">
        <v>0</v>
      </c>
      <c r="AF52" s="5">
        <v>0</v>
      </c>
      <c r="AG52">
        <f>IF(UnitHead!Y52&gt;127,127,UnitHead!Y52)</f>
        <v>50</v>
      </c>
      <c r="AH52">
        <f>IF(UnitHead!AC52&gt;127,127,UnitHead!AC52)</f>
        <v>50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>
        <f>UnitHead!L52</f>
        <v>100</v>
      </c>
      <c r="AP52">
        <f>UnitHead!N52</f>
        <v>2</v>
      </c>
      <c r="AQ52">
        <f>UnitHead!P52</f>
        <v>-1</v>
      </c>
      <c r="AR52">
        <f>UnitHead!O52</f>
        <v>100</v>
      </c>
      <c r="AS52">
        <f>UnitHead!Q52</f>
        <v>-1</v>
      </c>
      <c r="AT52" s="5">
        <v>0</v>
      </c>
      <c r="AU52" s="5">
        <v>0</v>
      </c>
      <c r="AV52">
        <f>UnitHead!AL52</f>
        <v>0</v>
      </c>
      <c r="AW52">
        <f>UnitHead!AZ52</f>
        <v>-1</v>
      </c>
      <c r="AX52">
        <f>UnitHead!BA52</f>
        <v>2</v>
      </c>
      <c r="AY52" s="5">
        <v>0</v>
      </c>
    </row>
    <row r="53" spans="1:51" x14ac:dyDescent="0.25">
      <c r="A53" t="str">
        <f>UnitHead!A53</f>
        <v>unhe051</v>
      </c>
      <c r="B53" t="str">
        <f>UnitHead!D53</f>
        <v>NotUsed</v>
      </c>
      <c r="C53" s="1" t="str">
        <f>UnitHead!B53</f>
        <v>20132</v>
      </c>
      <c r="D53">
        <f>UnitHead!C53</f>
        <v>100</v>
      </c>
      <c r="E53" s="5" t="s">
        <v>254</v>
      </c>
      <c r="F53" s="5">
        <v>37</v>
      </c>
      <c r="G53">
        <f>UnitHead!AI53</f>
        <v>0</v>
      </c>
      <c r="H53" s="5">
        <v>0</v>
      </c>
      <c r="I53">
        <f>UnitHead!AJ53</f>
        <v>100000</v>
      </c>
      <c r="J53">
        <f>UnitHead!AK53</f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50</v>
      </c>
      <c r="T53" s="5">
        <v>0</v>
      </c>
      <c r="U53" s="5">
        <v>0</v>
      </c>
      <c r="V53" s="5">
        <v>0</v>
      </c>
      <c r="W53">
        <f>UnitHead!M53</f>
        <v>-1</v>
      </c>
      <c r="X53">
        <f>UnitHead!E53</f>
        <v>0</v>
      </c>
      <c r="Y53" s="1" t="str">
        <f>UnitHead!F53</f>
        <v>00100000</v>
      </c>
      <c r="Z53" s="5">
        <v>0</v>
      </c>
      <c r="AA53" s="5">
        <v>0</v>
      </c>
      <c r="AB53">
        <f>UnitHead!AB53</f>
        <v>0</v>
      </c>
      <c r="AC53" s="5">
        <v>0</v>
      </c>
      <c r="AD53" s="5">
        <v>0</v>
      </c>
      <c r="AE53" s="5">
        <v>0</v>
      </c>
      <c r="AF53" s="5">
        <v>0</v>
      </c>
      <c r="AG53">
        <f>IF(UnitHead!Y53&gt;127,127,UnitHead!Y53)</f>
        <v>50</v>
      </c>
      <c r="AH53">
        <f>IF(UnitHead!AC53&gt;127,127,UnitHead!AC53)</f>
        <v>50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>
        <f>UnitHead!L53</f>
        <v>100</v>
      </c>
      <c r="AP53">
        <f>UnitHead!N53</f>
        <v>2</v>
      </c>
      <c r="AQ53">
        <f>UnitHead!P53</f>
        <v>-1</v>
      </c>
      <c r="AR53">
        <f>UnitHead!O53</f>
        <v>100</v>
      </c>
      <c r="AS53">
        <f>UnitHead!Q53</f>
        <v>-1</v>
      </c>
      <c r="AT53" s="5">
        <v>0</v>
      </c>
      <c r="AU53" s="5">
        <v>0</v>
      </c>
      <c r="AV53">
        <f>UnitHead!AL53</f>
        <v>0</v>
      </c>
      <c r="AW53">
        <f>UnitHead!AZ53</f>
        <v>-1</v>
      </c>
      <c r="AX53">
        <f>UnitHead!BA53</f>
        <v>2</v>
      </c>
      <c r="AY53" s="5">
        <v>0</v>
      </c>
    </row>
    <row r="54" spans="1:51" x14ac:dyDescent="0.25">
      <c r="A54" t="str">
        <f>UnitHead!A54</f>
        <v>unhe052</v>
      </c>
      <c r="B54" t="str">
        <f>UnitHead!D54</f>
        <v>NotUsed</v>
      </c>
      <c r="C54" s="1" t="str">
        <f>UnitHead!B54</f>
        <v>20133</v>
      </c>
      <c r="D54">
        <f>UnitHead!C54</f>
        <v>100</v>
      </c>
      <c r="E54" s="5" t="s">
        <v>254</v>
      </c>
      <c r="F54" s="5">
        <v>37</v>
      </c>
      <c r="G54">
        <f>UnitHead!AI54</f>
        <v>0</v>
      </c>
      <c r="H54" s="5">
        <v>0</v>
      </c>
      <c r="I54">
        <f>UnitHead!AJ54</f>
        <v>100000</v>
      </c>
      <c r="J54">
        <f>UnitHead!AK54</f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51</v>
      </c>
      <c r="T54" s="5">
        <v>0</v>
      </c>
      <c r="U54" s="5">
        <v>0</v>
      </c>
      <c r="V54" s="5">
        <v>0</v>
      </c>
      <c r="W54">
        <f>UnitHead!M54</f>
        <v>-1</v>
      </c>
      <c r="X54">
        <f>UnitHead!E54</f>
        <v>0</v>
      </c>
      <c r="Y54" s="1" t="str">
        <f>UnitHead!F54</f>
        <v>00100000</v>
      </c>
      <c r="Z54" s="5">
        <v>0</v>
      </c>
      <c r="AA54" s="5">
        <v>0</v>
      </c>
      <c r="AB54">
        <f>UnitHead!AB54</f>
        <v>0</v>
      </c>
      <c r="AC54" s="5">
        <v>0</v>
      </c>
      <c r="AD54" s="5">
        <v>0</v>
      </c>
      <c r="AE54" s="5">
        <v>0</v>
      </c>
      <c r="AF54" s="5">
        <v>0</v>
      </c>
      <c r="AG54">
        <f>IF(UnitHead!Y54&gt;127,127,UnitHead!Y54)</f>
        <v>50</v>
      </c>
      <c r="AH54">
        <f>IF(UnitHead!AC54&gt;127,127,UnitHead!AC54)</f>
        <v>50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>
        <f>UnitHead!L54</f>
        <v>100</v>
      </c>
      <c r="AP54">
        <f>UnitHead!N54</f>
        <v>2</v>
      </c>
      <c r="AQ54">
        <f>UnitHead!P54</f>
        <v>-1</v>
      </c>
      <c r="AR54">
        <f>UnitHead!O54</f>
        <v>100</v>
      </c>
      <c r="AS54">
        <f>UnitHead!Q54</f>
        <v>-1</v>
      </c>
      <c r="AT54" s="5">
        <v>0</v>
      </c>
      <c r="AU54" s="5">
        <v>0</v>
      </c>
      <c r="AV54">
        <f>UnitHead!AL54</f>
        <v>0</v>
      </c>
      <c r="AW54">
        <f>UnitHead!AZ54</f>
        <v>-1</v>
      </c>
      <c r="AX54">
        <f>UnitHead!BA54</f>
        <v>2</v>
      </c>
      <c r="AY54" s="5">
        <v>0</v>
      </c>
    </row>
    <row r="55" spans="1:51" x14ac:dyDescent="0.25">
      <c r="A55" t="str">
        <f>UnitHead!A55</f>
        <v>unhe053</v>
      </c>
      <c r="B55" t="str">
        <f>UnitHead!D55</f>
        <v>NotUsed</v>
      </c>
      <c r="C55" s="1" t="str">
        <f>UnitHead!B55</f>
        <v>20134</v>
      </c>
      <c r="D55">
        <f>UnitHead!C55</f>
        <v>100</v>
      </c>
      <c r="E55" s="5" t="s">
        <v>254</v>
      </c>
      <c r="F55" s="5">
        <v>37</v>
      </c>
      <c r="G55">
        <f>UnitHead!AI55</f>
        <v>0</v>
      </c>
      <c r="H55" s="5">
        <v>0</v>
      </c>
      <c r="I55">
        <f>UnitHead!AJ55</f>
        <v>100000</v>
      </c>
      <c r="J55">
        <f>UnitHead!AK55</f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52</v>
      </c>
      <c r="T55" s="5">
        <v>0</v>
      </c>
      <c r="U55" s="5">
        <v>0</v>
      </c>
      <c r="V55" s="5">
        <v>0</v>
      </c>
      <c r="W55">
        <f>UnitHead!M55</f>
        <v>-1</v>
      </c>
      <c r="X55">
        <f>UnitHead!E55</f>
        <v>0</v>
      </c>
      <c r="Y55" s="1" t="str">
        <f>UnitHead!F55</f>
        <v>00100000</v>
      </c>
      <c r="Z55" s="5">
        <v>0</v>
      </c>
      <c r="AA55" s="5">
        <v>0</v>
      </c>
      <c r="AB55">
        <f>UnitHead!AB55</f>
        <v>0</v>
      </c>
      <c r="AC55" s="5">
        <v>0</v>
      </c>
      <c r="AD55" s="5">
        <v>0</v>
      </c>
      <c r="AE55" s="5">
        <v>0</v>
      </c>
      <c r="AF55" s="5">
        <v>0</v>
      </c>
      <c r="AG55">
        <f>IF(UnitHead!Y55&gt;127,127,UnitHead!Y55)</f>
        <v>50</v>
      </c>
      <c r="AH55">
        <f>IF(UnitHead!AC55&gt;127,127,UnitHead!AC55)</f>
        <v>50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>
        <f>UnitHead!L55</f>
        <v>100</v>
      </c>
      <c r="AP55">
        <f>UnitHead!N55</f>
        <v>2</v>
      </c>
      <c r="AQ55">
        <f>UnitHead!P55</f>
        <v>-1</v>
      </c>
      <c r="AR55">
        <f>UnitHead!O55</f>
        <v>100</v>
      </c>
      <c r="AS55">
        <f>UnitHead!Q55</f>
        <v>-1</v>
      </c>
      <c r="AT55" s="5">
        <v>0</v>
      </c>
      <c r="AU55" s="5">
        <v>0</v>
      </c>
      <c r="AV55">
        <f>UnitHead!AL55</f>
        <v>0</v>
      </c>
      <c r="AW55">
        <f>UnitHead!AZ55</f>
        <v>-1</v>
      </c>
      <c r="AX55">
        <f>UnitHead!BA55</f>
        <v>2</v>
      </c>
      <c r="AY55" s="5">
        <v>0</v>
      </c>
    </row>
    <row r="56" spans="1:51" x14ac:dyDescent="0.25">
      <c r="A56" t="str">
        <f>UnitHead!A56</f>
        <v>unhe054</v>
      </c>
      <c r="B56" t="str">
        <f>UnitHead!D56</f>
        <v>NotUsed</v>
      </c>
      <c r="C56" s="1" t="str">
        <f>UnitHead!B56</f>
        <v>20135</v>
      </c>
      <c r="D56">
        <f>UnitHead!C56</f>
        <v>100</v>
      </c>
      <c r="E56" s="5" t="s">
        <v>254</v>
      </c>
      <c r="F56" s="5">
        <v>37</v>
      </c>
      <c r="G56">
        <f>UnitHead!AI56</f>
        <v>0</v>
      </c>
      <c r="H56" s="5">
        <v>0</v>
      </c>
      <c r="I56">
        <f>UnitHead!AJ56</f>
        <v>100000</v>
      </c>
      <c r="J56">
        <f>UnitHead!AK56</f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53</v>
      </c>
      <c r="T56" s="5">
        <v>0</v>
      </c>
      <c r="U56" s="5">
        <v>0</v>
      </c>
      <c r="V56" s="5">
        <v>0</v>
      </c>
      <c r="W56">
        <f>UnitHead!M56</f>
        <v>-1</v>
      </c>
      <c r="X56">
        <f>UnitHead!E56</f>
        <v>0</v>
      </c>
      <c r="Y56" s="1" t="str">
        <f>UnitHead!F56</f>
        <v>00100000</v>
      </c>
      <c r="Z56" s="5">
        <v>0</v>
      </c>
      <c r="AA56" s="5">
        <v>0</v>
      </c>
      <c r="AB56">
        <f>UnitHead!AB56</f>
        <v>0</v>
      </c>
      <c r="AC56" s="5">
        <v>0</v>
      </c>
      <c r="AD56" s="5">
        <v>0</v>
      </c>
      <c r="AE56" s="5">
        <v>0</v>
      </c>
      <c r="AF56" s="5">
        <v>0</v>
      </c>
      <c r="AG56">
        <f>IF(UnitHead!Y56&gt;127,127,UnitHead!Y56)</f>
        <v>50</v>
      </c>
      <c r="AH56">
        <f>IF(UnitHead!AC56&gt;127,127,UnitHead!AC56)</f>
        <v>50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>
        <f>UnitHead!L56</f>
        <v>100</v>
      </c>
      <c r="AP56">
        <f>UnitHead!N56</f>
        <v>2</v>
      </c>
      <c r="AQ56">
        <f>UnitHead!P56</f>
        <v>-1</v>
      </c>
      <c r="AR56">
        <f>UnitHead!O56</f>
        <v>100</v>
      </c>
      <c r="AS56">
        <f>UnitHead!Q56</f>
        <v>-1</v>
      </c>
      <c r="AT56" s="5">
        <v>0</v>
      </c>
      <c r="AU56" s="5">
        <v>0</v>
      </c>
      <c r="AV56">
        <f>UnitHead!AL56</f>
        <v>0</v>
      </c>
      <c r="AW56">
        <f>UnitHead!AZ56</f>
        <v>-1</v>
      </c>
      <c r="AX56">
        <f>UnitHead!BA56</f>
        <v>2</v>
      </c>
      <c r="AY56" s="5">
        <v>0</v>
      </c>
    </row>
    <row r="57" spans="1:51" x14ac:dyDescent="0.25">
      <c r="A57" t="str">
        <f>UnitHead!A57</f>
        <v>unhe055</v>
      </c>
      <c r="B57" t="str">
        <f>UnitHead!D57</f>
        <v>NotUsed</v>
      </c>
      <c r="C57" s="1" t="str">
        <f>UnitHead!B57</f>
        <v>20136</v>
      </c>
      <c r="D57">
        <f>UnitHead!C57</f>
        <v>100</v>
      </c>
      <c r="E57" s="5" t="s">
        <v>254</v>
      </c>
      <c r="F57" s="5">
        <v>37</v>
      </c>
      <c r="G57">
        <f>UnitHead!AI57</f>
        <v>0</v>
      </c>
      <c r="H57" s="5">
        <v>0</v>
      </c>
      <c r="I57">
        <f>UnitHead!AJ57</f>
        <v>100000</v>
      </c>
      <c r="J57">
        <f>UnitHead!AK57</f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54</v>
      </c>
      <c r="T57" s="5">
        <v>0</v>
      </c>
      <c r="U57" s="5">
        <v>0</v>
      </c>
      <c r="V57" s="5">
        <v>0</v>
      </c>
      <c r="W57">
        <f>UnitHead!M57</f>
        <v>-1</v>
      </c>
      <c r="X57">
        <f>UnitHead!E57</f>
        <v>0</v>
      </c>
      <c r="Y57" s="1" t="str">
        <f>UnitHead!F57</f>
        <v>00100000</v>
      </c>
      <c r="Z57" s="5">
        <v>0</v>
      </c>
      <c r="AA57" s="5">
        <v>0</v>
      </c>
      <c r="AB57">
        <f>UnitHead!AB57</f>
        <v>0</v>
      </c>
      <c r="AC57" s="5">
        <v>0</v>
      </c>
      <c r="AD57" s="5">
        <v>0</v>
      </c>
      <c r="AE57" s="5">
        <v>0</v>
      </c>
      <c r="AF57" s="5">
        <v>0</v>
      </c>
      <c r="AG57">
        <f>IF(UnitHead!Y57&gt;127,127,UnitHead!Y57)</f>
        <v>50</v>
      </c>
      <c r="AH57">
        <f>IF(UnitHead!AC57&gt;127,127,UnitHead!AC57)</f>
        <v>50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>
        <f>UnitHead!L57</f>
        <v>100</v>
      </c>
      <c r="AP57">
        <f>UnitHead!N57</f>
        <v>2</v>
      </c>
      <c r="AQ57">
        <f>UnitHead!P57</f>
        <v>-1</v>
      </c>
      <c r="AR57">
        <f>UnitHead!O57</f>
        <v>100</v>
      </c>
      <c r="AS57">
        <f>UnitHead!Q57</f>
        <v>-1</v>
      </c>
      <c r="AT57" s="5">
        <v>0</v>
      </c>
      <c r="AU57" s="5">
        <v>0</v>
      </c>
      <c r="AV57">
        <f>UnitHead!AL57</f>
        <v>0</v>
      </c>
      <c r="AW57">
        <f>UnitHead!AZ57</f>
        <v>-1</v>
      </c>
      <c r="AX57">
        <f>UnitHead!BA57</f>
        <v>2</v>
      </c>
      <c r="AY57" s="5">
        <v>0</v>
      </c>
    </row>
    <row r="58" spans="1:51" x14ac:dyDescent="0.25">
      <c r="A58" t="str">
        <f>UnitHead!A58</f>
        <v>unhe056</v>
      </c>
      <c r="B58" t="str">
        <f>UnitHead!D58</f>
        <v>NotUsed</v>
      </c>
      <c r="C58" s="1" t="str">
        <f>UnitHead!B58</f>
        <v>20137</v>
      </c>
      <c r="D58">
        <f>UnitHead!C58</f>
        <v>100</v>
      </c>
      <c r="E58" s="5" t="s">
        <v>254</v>
      </c>
      <c r="F58" s="5">
        <v>37</v>
      </c>
      <c r="G58">
        <f>UnitHead!AI58</f>
        <v>0</v>
      </c>
      <c r="H58" s="5">
        <v>0</v>
      </c>
      <c r="I58">
        <f>UnitHead!AJ58</f>
        <v>100000</v>
      </c>
      <c r="J58">
        <f>UnitHead!AK58</f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55</v>
      </c>
      <c r="T58" s="5">
        <v>0</v>
      </c>
      <c r="U58" s="5">
        <v>0</v>
      </c>
      <c r="V58" s="5">
        <v>0</v>
      </c>
      <c r="W58">
        <f>UnitHead!M58</f>
        <v>-1</v>
      </c>
      <c r="X58">
        <f>UnitHead!E58</f>
        <v>0</v>
      </c>
      <c r="Y58" s="1" t="str">
        <f>UnitHead!F58</f>
        <v>00100000</v>
      </c>
      <c r="Z58" s="5">
        <v>0</v>
      </c>
      <c r="AA58" s="5">
        <v>0</v>
      </c>
      <c r="AB58">
        <f>UnitHead!AB58</f>
        <v>0</v>
      </c>
      <c r="AC58" s="5">
        <v>0</v>
      </c>
      <c r="AD58" s="5">
        <v>0</v>
      </c>
      <c r="AE58" s="5">
        <v>0</v>
      </c>
      <c r="AF58" s="5">
        <v>0</v>
      </c>
      <c r="AG58">
        <f>IF(UnitHead!Y58&gt;127,127,UnitHead!Y58)</f>
        <v>50</v>
      </c>
      <c r="AH58">
        <f>IF(UnitHead!AC58&gt;127,127,UnitHead!AC58)</f>
        <v>50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>
        <f>UnitHead!L58</f>
        <v>100</v>
      </c>
      <c r="AP58">
        <f>UnitHead!N58</f>
        <v>2</v>
      </c>
      <c r="AQ58">
        <f>UnitHead!P58</f>
        <v>-1</v>
      </c>
      <c r="AR58">
        <f>UnitHead!O58</f>
        <v>100</v>
      </c>
      <c r="AS58">
        <f>UnitHead!Q58</f>
        <v>-1</v>
      </c>
      <c r="AT58" s="5">
        <v>0</v>
      </c>
      <c r="AU58" s="5">
        <v>0</v>
      </c>
      <c r="AV58">
        <f>UnitHead!AL58</f>
        <v>0</v>
      </c>
      <c r="AW58">
        <f>UnitHead!AZ58</f>
        <v>-1</v>
      </c>
      <c r="AX58">
        <f>UnitHead!BA58</f>
        <v>2</v>
      </c>
      <c r="AY58" s="5">
        <v>0</v>
      </c>
    </row>
    <row r="59" spans="1:51" x14ac:dyDescent="0.25">
      <c r="A59" t="str">
        <f>UnitHead!A59</f>
        <v>unhe057</v>
      </c>
      <c r="B59" t="str">
        <f>UnitHead!D59</f>
        <v>NotUsed</v>
      </c>
      <c r="C59" s="1" t="str">
        <f>UnitHead!B59</f>
        <v>20138</v>
      </c>
      <c r="D59">
        <f>UnitHead!C59</f>
        <v>100</v>
      </c>
      <c r="E59" s="5" t="s">
        <v>254</v>
      </c>
      <c r="F59" s="5">
        <v>37</v>
      </c>
      <c r="G59">
        <f>UnitHead!AI59</f>
        <v>0</v>
      </c>
      <c r="H59" s="5">
        <v>0</v>
      </c>
      <c r="I59">
        <f>UnitHead!AJ59</f>
        <v>100000</v>
      </c>
      <c r="J59">
        <f>UnitHead!AK59</f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56</v>
      </c>
      <c r="T59" s="5">
        <v>0</v>
      </c>
      <c r="U59" s="5">
        <v>0</v>
      </c>
      <c r="V59" s="5">
        <v>0</v>
      </c>
      <c r="W59">
        <f>UnitHead!M59</f>
        <v>-1</v>
      </c>
      <c r="X59">
        <f>UnitHead!E59</f>
        <v>0</v>
      </c>
      <c r="Y59" s="1" t="str">
        <f>UnitHead!F59</f>
        <v>00100000</v>
      </c>
      <c r="Z59" s="5">
        <v>0</v>
      </c>
      <c r="AA59" s="5">
        <v>0</v>
      </c>
      <c r="AB59">
        <f>UnitHead!AB59</f>
        <v>0</v>
      </c>
      <c r="AC59" s="5">
        <v>0</v>
      </c>
      <c r="AD59" s="5">
        <v>0</v>
      </c>
      <c r="AE59" s="5">
        <v>0</v>
      </c>
      <c r="AF59" s="5">
        <v>0</v>
      </c>
      <c r="AG59">
        <f>IF(UnitHead!Y59&gt;127,127,UnitHead!Y59)</f>
        <v>50</v>
      </c>
      <c r="AH59">
        <f>IF(UnitHead!AC59&gt;127,127,UnitHead!AC59)</f>
        <v>50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>
        <f>UnitHead!L59</f>
        <v>100</v>
      </c>
      <c r="AP59">
        <f>UnitHead!N59</f>
        <v>2</v>
      </c>
      <c r="AQ59">
        <f>UnitHead!P59</f>
        <v>-1</v>
      </c>
      <c r="AR59">
        <f>UnitHead!O59</f>
        <v>100</v>
      </c>
      <c r="AS59">
        <f>UnitHead!Q59</f>
        <v>-1</v>
      </c>
      <c r="AT59" s="5">
        <v>0</v>
      </c>
      <c r="AU59" s="5">
        <v>0</v>
      </c>
      <c r="AV59">
        <f>UnitHead!AL59</f>
        <v>0</v>
      </c>
      <c r="AW59">
        <f>UnitHead!AZ59</f>
        <v>-1</v>
      </c>
      <c r="AX59">
        <f>UnitHead!BA59</f>
        <v>2</v>
      </c>
      <c r="AY59" s="5">
        <v>0</v>
      </c>
    </row>
    <row r="60" spans="1:51" x14ac:dyDescent="0.25">
      <c r="A60" t="str">
        <f>UnitHead!A60</f>
        <v>unhe058</v>
      </c>
      <c r="B60" t="str">
        <f>UnitHead!D60</f>
        <v>NotUsed</v>
      </c>
      <c r="C60" s="1" t="str">
        <f>UnitHead!B60</f>
        <v>20139</v>
      </c>
      <c r="D60">
        <f>UnitHead!C60</f>
        <v>100</v>
      </c>
      <c r="E60" s="5" t="s">
        <v>254</v>
      </c>
      <c r="F60" s="5">
        <v>37</v>
      </c>
      <c r="G60">
        <f>UnitHead!AI60</f>
        <v>0</v>
      </c>
      <c r="H60" s="5">
        <v>0</v>
      </c>
      <c r="I60">
        <f>UnitHead!AJ60</f>
        <v>100000</v>
      </c>
      <c r="J60">
        <f>UnitHead!AK60</f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57</v>
      </c>
      <c r="T60" s="5">
        <v>0</v>
      </c>
      <c r="U60" s="5">
        <v>0</v>
      </c>
      <c r="V60" s="5">
        <v>0</v>
      </c>
      <c r="W60">
        <f>UnitHead!M60</f>
        <v>-1</v>
      </c>
      <c r="X60">
        <f>UnitHead!E60</f>
        <v>0</v>
      </c>
      <c r="Y60" s="1" t="str">
        <f>UnitHead!F60</f>
        <v>00100000</v>
      </c>
      <c r="Z60" s="5">
        <v>0</v>
      </c>
      <c r="AA60" s="5">
        <v>0</v>
      </c>
      <c r="AB60">
        <f>UnitHead!AB60</f>
        <v>0</v>
      </c>
      <c r="AC60" s="5">
        <v>0</v>
      </c>
      <c r="AD60" s="5">
        <v>0</v>
      </c>
      <c r="AE60" s="5">
        <v>0</v>
      </c>
      <c r="AF60" s="5">
        <v>0</v>
      </c>
      <c r="AG60">
        <f>IF(UnitHead!Y60&gt;127,127,UnitHead!Y60)</f>
        <v>50</v>
      </c>
      <c r="AH60">
        <f>IF(UnitHead!AC60&gt;127,127,UnitHead!AC60)</f>
        <v>50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>
        <f>UnitHead!L60</f>
        <v>100</v>
      </c>
      <c r="AP60">
        <f>UnitHead!N60</f>
        <v>2</v>
      </c>
      <c r="AQ60">
        <f>UnitHead!P60</f>
        <v>-1</v>
      </c>
      <c r="AR60">
        <f>UnitHead!O60</f>
        <v>100</v>
      </c>
      <c r="AS60">
        <f>UnitHead!Q60</f>
        <v>-1</v>
      </c>
      <c r="AT60" s="5">
        <v>0</v>
      </c>
      <c r="AU60" s="5">
        <v>0</v>
      </c>
      <c r="AV60">
        <f>UnitHead!AL60</f>
        <v>0</v>
      </c>
      <c r="AW60">
        <f>UnitHead!AZ60</f>
        <v>-1</v>
      </c>
      <c r="AX60">
        <f>UnitHead!BA60</f>
        <v>2</v>
      </c>
      <c r="AY60" s="5">
        <v>0</v>
      </c>
    </row>
    <row r="61" spans="1:51" x14ac:dyDescent="0.25">
      <c r="A61" t="str">
        <f>UnitHead!A61</f>
        <v>unhe059</v>
      </c>
      <c r="B61" t="str">
        <f>UnitHead!D61</f>
        <v>NotUsed</v>
      </c>
      <c r="C61" s="1" t="str">
        <f>UnitHead!B61</f>
        <v>2013A</v>
      </c>
      <c r="D61">
        <f>UnitHead!C61</f>
        <v>100</v>
      </c>
      <c r="E61" s="5" t="s">
        <v>254</v>
      </c>
      <c r="F61" s="5">
        <v>37</v>
      </c>
      <c r="G61">
        <f>UnitHead!AI61</f>
        <v>0</v>
      </c>
      <c r="H61" s="5">
        <v>0</v>
      </c>
      <c r="I61">
        <f>UnitHead!AJ61</f>
        <v>100000</v>
      </c>
      <c r="J61">
        <f>UnitHead!AK61</f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58</v>
      </c>
      <c r="T61" s="5">
        <v>0</v>
      </c>
      <c r="U61" s="5">
        <v>0</v>
      </c>
      <c r="V61" s="5">
        <v>0</v>
      </c>
      <c r="W61">
        <f>UnitHead!M61</f>
        <v>-1</v>
      </c>
      <c r="X61">
        <f>UnitHead!E61</f>
        <v>0</v>
      </c>
      <c r="Y61" s="1" t="str">
        <f>UnitHead!F61</f>
        <v>00100000</v>
      </c>
      <c r="Z61" s="5">
        <v>0</v>
      </c>
      <c r="AA61" s="5">
        <v>0</v>
      </c>
      <c r="AB61">
        <f>UnitHead!AB61</f>
        <v>0</v>
      </c>
      <c r="AC61" s="5">
        <v>0</v>
      </c>
      <c r="AD61" s="5">
        <v>0</v>
      </c>
      <c r="AE61" s="5">
        <v>0</v>
      </c>
      <c r="AF61" s="5">
        <v>0</v>
      </c>
      <c r="AG61">
        <f>IF(UnitHead!Y61&gt;127,127,UnitHead!Y61)</f>
        <v>50</v>
      </c>
      <c r="AH61">
        <f>IF(UnitHead!AC61&gt;127,127,UnitHead!AC61)</f>
        <v>50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>
        <f>UnitHead!L61</f>
        <v>100</v>
      </c>
      <c r="AP61">
        <f>UnitHead!N61</f>
        <v>2</v>
      </c>
      <c r="AQ61">
        <f>UnitHead!P61</f>
        <v>-1</v>
      </c>
      <c r="AR61">
        <f>UnitHead!O61</f>
        <v>100</v>
      </c>
      <c r="AS61">
        <f>UnitHead!Q61</f>
        <v>-1</v>
      </c>
      <c r="AT61" s="5">
        <v>0</v>
      </c>
      <c r="AU61" s="5">
        <v>0</v>
      </c>
      <c r="AV61">
        <f>UnitHead!AL61</f>
        <v>0</v>
      </c>
      <c r="AW61">
        <f>UnitHead!AZ61</f>
        <v>-1</v>
      </c>
      <c r="AX61">
        <f>UnitHead!BA61</f>
        <v>2</v>
      </c>
      <c r="AY61" s="5">
        <v>0</v>
      </c>
    </row>
    <row r="62" spans="1:51" x14ac:dyDescent="0.25">
      <c r="A62" t="str">
        <f>UnitHead!A62</f>
        <v>unhe060</v>
      </c>
      <c r="B62" t="str">
        <f>UnitHead!D62</f>
        <v>NotUsed</v>
      </c>
      <c r="C62" s="1" t="str">
        <f>UnitHead!B62</f>
        <v>2013B</v>
      </c>
      <c r="D62">
        <f>UnitHead!C62</f>
        <v>100</v>
      </c>
      <c r="E62" s="5" t="s">
        <v>254</v>
      </c>
      <c r="F62" s="5">
        <v>37</v>
      </c>
      <c r="G62">
        <f>UnitHead!AI62</f>
        <v>0</v>
      </c>
      <c r="H62" s="5">
        <v>0</v>
      </c>
      <c r="I62">
        <f>UnitHead!AJ62</f>
        <v>100000</v>
      </c>
      <c r="J62">
        <f>UnitHead!AK62</f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59</v>
      </c>
      <c r="T62" s="5">
        <v>0</v>
      </c>
      <c r="U62" s="5">
        <v>0</v>
      </c>
      <c r="V62" s="5">
        <v>0</v>
      </c>
      <c r="W62">
        <f>UnitHead!M62</f>
        <v>-1</v>
      </c>
      <c r="X62">
        <f>UnitHead!E62</f>
        <v>0</v>
      </c>
      <c r="Y62" s="1" t="str">
        <f>UnitHead!F62</f>
        <v>00100000</v>
      </c>
      <c r="Z62" s="5">
        <v>0</v>
      </c>
      <c r="AA62" s="5">
        <v>0</v>
      </c>
      <c r="AB62">
        <f>UnitHead!AB62</f>
        <v>0</v>
      </c>
      <c r="AC62" s="5">
        <v>0</v>
      </c>
      <c r="AD62" s="5">
        <v>0</v>
      </c>
      <c r="AE62" s="5">
        <v>0</v>
      </c>
      <c r="AF62" s="5">
        <v>0</v>
      </c>
      <c r="AG62">
        <f>IF(UnitHead!Y62&gt;127,127,UnitHead!Y62)</f>
        <v>50</v>
      </c>
      <c r="AH62">
        <f>IF(UnitHead!AC62&gt;127,127,UnitHead!AC62)</f>
        <v>50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>
        <f>UnitHead!L62</f>
        <v>100</v>
      </c>
      <c r="AP62">
        <f>UnitHead!N62</f>
        <v>2</v>
      </c>
      <c r="AQ62">
        <f>UnitHead!P62</f>
        <v>-1</v>
      </c>
      <c r="AR62">
        <f>UnitHead!O62</f>
        <v>100</v>
      </c>
      <c r="AS62">
        <f>UnitHead!Q62</f>
        <v>-1</v>
      </c>
      <c r="AT62" s="5">
        <v>0</v>
      </c>
      <c r="AU62" s="5">
        <v>0</v>
      </c>
      <c r="AV62">
        <f>UnitHead!AL62</f>
        <v>0</v>
      </c>
      <c r="AW62">
        <f>UnitHead!AZ62</f>
        <v>-1</v>
      </c>
      <c r="AX62">
        <f>UnitHead!BA62</f>
        <v>2</v>
      </c>
      <c r="AY62" s="5">
        <v>0</v>
      </c>
    </row>
    <row r="63" spans="1:51" x14ac:dyDescent="0.25">
      <c r="A63" t="str">
        <f>UnitHead!A63</f>
        <v>unhe061</v>
      </c>
      <c r="B63" t="str">
        <f>UnitHead!D63</f>
        <v>NotUsed</v>
      </c>
      <c r="C63" s="1" t="str">
        <f>UnitHead!B63</f>
        <v>3013C</v>
      </c>
      <c r="D63">
        <f>UnitHead!C63</f>
        <v>100</v>
      </c>
      <c r="E63" s="5" t="s">
        <v>254</v>
      </c>
      <c r="F63" s="5">
        <v>37</v>
      </c>
      <c r="G63">
        <f>UnitHead!AI63</f>
        <v>0</v>
      </c>
      <c r="H63" s="5">
        <v>0</v>
      </c>
      <c r="I63">
        <f>UnitHead!AJ63</f>
        <v>100000</v>
      </c>
      <c r="J63">
        <f>UnitHead!AK63</f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60</v>
      </c>
      <c r="T63" s="5">
        <v>0</v>
      </c>
      <c r="U63" s="5">
        <v>0</v>
      </c>
      <c r="V63" s="5">
        <v>0</v>
      </c>
      <c r="W63">
        <f>UnitHead!M63</f>
        <v>-1</v>
      </c>
      <c r="X63">
        <f>UnitHead!E63</f>
        <v>0</v>
      </c>
      <c r="Y63" s="1" t="str">
        <f>UnitHead!F63</f>
        <v>00010000</v>
      </c>
      <c r="Z63" s="5">
        <v>0</v>
      </c>
      <c r="AA63" s="5">
        <v>0</v>
      </c>
      <c r="AB63">
        <f>UnitHead!AB63</f>
        <v>0</v>
      </c>
      <c r="AC63" s="5">
        <v>0</v>
      </c>
      <c r="AD63" s="5">
        <v>0</v>
      </c>
      <c r="AE63" s="5">
        <v>0</v>
      </c>
      <c r="AF63" s="5">
        <v>0</v>
      </c>
      <c r="AG63">
        <f>IF(UnitHead!Y63&gt;127,127,UnitHead!Y63)</f>
        <v>50</v>
      </c>
      <c r="AH63">
        <f>IF(UnitHead!AC63&gt;127,127,UnitHead!AC63)</f>
        <v>50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>
        <f>UnitHead!L63</f>
        <v>100</v>
      </c>
      <c r="AP63">
        <f>UnitHead!N63</f>
        <v>2</v>
      </c>
      <c r="AQ63">
        <f>UnitHead!P63</f>
        <v>-1</v>
      </c>
      <c r="AR63">
        <f>UnitHead!O63</f>
        <v>100</v>
      </c>
      <c r="AS63">
        <f>UnitHead!Q63</f>
        <v>-1</v>
      </c>
      <c r="AT63" s="5">
        <v>0</v>
      </c>
      <c r="AU63" s="5">
        <v>0</v>
      </c>
      <c r="AV63">
        <f>UnitHead!AL63</f>
        <v>0</v>
      </c>
      <c r="AW63">
        <f>UnitHead!AZ63</f>
        <v>-1</v>
      </c>
      <c r="AX63">
        <f>UnitHead!BA63</f>
        <v>2</v>
      </c>
      <c r="AY63" s="5">
        <v>0</v>
      </c>
    </row>
    <row r="64" spans="1:51" x14ac:dyDescent="0.25">
      <c r="A64" t="str">
        <f>UnitHead!A64</f>
        <v>unhe062</v>
      </c>
      <c r="B64" t="str">
        <f>UnitHead!D64</f>
        <v>NotUsed</v>
      </c>
      <c r="C64" s="1" t="str">
        <f>UnitHead!B64</f>
        <v>3013D</v>
      </c>
      <c r="D64">
        <f>UnitHead!C64</f>
        <v>100</v>
      </c>
      <c r="E64" s="5" t="s">
        <v>254</v>
      </c>
      <c r="F64" s="5">
        <v>37</v>
      </c>
      <c r="G64">
        <f>UnitHead!AI64</f>
        <v>0</v>
      </c>
      <c r="H64" s="5">
        <v>0</v>
      </c>
      <c r="I64">
        <f>UnitHead!AJ64</f>
        <v>100000</v>
      </c>
      <c r="J64">
        <f>UnitHead!AK64</f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61</v>
      </c>
      <c r="T64" s="5">
        <v>0</v>
      </c>
      <c r="U64" s="5">
        <v>0</v>
      </c>
      <c r="V64" s="5">
        <v>0</v>
      </c>
      <c r="W64">
        <f>UnitHead!M64</f>
        <v>-1</v>
      </c>
      <c r="X64">
        <f>UnitHead!E64</f>
        <v>0</v>
      </c>
      <c r="Y64" s="1" t="str">
        <f>UnitHead!F64</f>
        <v>00010000</v>
      </c>
      <c r="Z64" s="5">
        <v>0</v>
      </c>
      <c r="AA64" s="5">
        <v>0</v>
      </c>
      <c r="AB64">
        <f>UnitHead!AB64</f>
        <v>0</v>
      </c>
      <c r="AC64" s="5">
        <v>0</v>
      </c>
      <c r="AD64" s="5">
        <v>0</v>
      </c>
      <c r="AE64" s="5">
        <v>0</v>
      </c>
      <c r="AF64" s="5">
        <v>0</v>
      </c>
      <c r="AG64">
        <f>IF(UnitHead!Y64&gt;127,127,UnitHead!Y64)</f>
        <v>50</v>
      </c>
      <c r="AH64">
        <f>IF(UnitHead!AC64&gt;127,127,UnitHead!AC64)</f>
        <v>50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>
        <f>UnitHead!L64</f>
        <v>100</v>
      </c>
      <c r="AP64">
        <f>UnitHead!N64</f>
        <v>2</v>
      </c>
      <c r="AQ64">
        <f>UnitHead!P64</f>
        <v>-1</v>
      </c>
      <c r="AR64">
        <f>UnitHead!O64</f>
        <v>100</v>
      </c>
      <c r="AS64">
        <f>UnitHead!Q64</f>
        <v>-1</v>
      </c>
      <c r="AT64" s="5">
        <v>0</v>
      </c>
      <c r="AU64" s="5">
        <v>0</v>
      </c>
      <c r="AV64">
        <f>UnitHead!AL64</f>
        <v>0</v>
      </c>
      <c r="AW64">
        <f>UnitHead!AZ64</f>
        <v>-1</v>
      </c>
      <c r="AX64">
        <f>UnitHead!BA64</f>
        <v>2</v>
      </c>
      <c r="AY64" s="5">
        <v>0</v>
      </c>
    </row>
    <row r="65" spans="1:51" x14ac:dyDescent="0.25">
      <c r="A65" t="str">
        <f>UnitHead!A65</f>
        <v>unhe063</v>
      </c>
      <c r="B65" t="str">
        <f>UnitHead!D65</f>
        <v>NotUsed</v>
      </c>
      <c r="C65" s="1" t="str">
        <f>UnitHead!B65</f>
        <v>3013E</v>
      </c>
      <c r="D65">
        <f>UnitHead!C65</f>
        <v>100</v>
      </c>
      <c r="E65" s="5" t="s">
        <v>254</v>
      </c>
      <c r="F65" s="5">
        <v>37</v>
      </c>
      <c r="G65">
        <f>UnitHead!AI65</f>
        <v>0</v>
      </c>
      <c r="H65" s="5">
        <v>0</v>
      </c>
      <c r="I65">
        <f>UnitHead!AJ65</f>
        <v>100000</v>
      </c>
      <c r="J65">
        <f>UnitHead!AK65</f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62</v>
      </c>
      <c r="T65" s="5">
        <v>0</v>
      </c>
      <c r="U65" s="5">
        <v>0</v>
      </c>
      <c r="V65" s="5">
        <v>0</v>
      </c>
      <c r="W65">
        <f>UnitHead!M65</f>
        <v>-1</v>
      </c>
      <c r="X65">
        <f>UnitHead!E65</f>
        <v>0</v>
      </c>
      <c r="Y65" s="1" t="str">
        <f>UnitHead!F65</f>
        <v>00010000</v>
      </c>
      <c r="Z65" s="5">
        <v>0</v>
      </c>
      <c r="AA65" s="5">
        <v>0</v>
      </c>
      <c r="AB65">
        <f>UnitHead!AB65</f>
        <v>0</v>
      </c>
      <c r="AC65" s="5">
        <v>0</v>
      </c>
      <c r="AD65" s="5">
        <v>0</v>
      </c>
      <c r="AE65" s="5">
        <v>0</v>
      </c>
      <c r="AF65" s="5">
        <v>0</v>
      </c>
      <c r="AG65">
        <f>IF(UnitHead!Y65&gt;127,127,UnitHead!Y65)</f>
        <v>50</v>
      </c>
      <c r="AH65">
        <f>IF(UnitHead!AC65&gt;127,127,UnitHead!AC65)</f>
        <v>50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>
        <f>UnitHead!L65</f>
        <v>100</v>
      </c>
      <c r="AP65">
        <f>UnitHead!N65</f>
        <v>2</v>
      </c>
      <c r="AQ65">
        <f>UnitHead!P65</f>
        <v>-1</v>
      </c>
      <c r="AR65">
        <f>UnitHead!O65</f>
        <v>100</v>
      </c>
      <c r="AS65">
        <f>UnitHead!Q65</f>
        <v>-1</v>
      </c>
      <c r="AT65" s="5">
        <v>0</v>
      </c>
      <c r="AU65" s="5">
        <v>0</v>
      </c>
      <c r="AV65">
        <f>UnitHead!AL65</f>
        <v>0</v>
      </c>
      <c r="AW65">
        <f>UnitHead!AZ65</f>
        <v>-1</v>
      </c>
      <c r="AX65">
        <f>UnitHead!BA65</f>
        <v>2</v>
      </c>
      <c r="AY65" s="5">
        <v>0</v>
      </c>
    </row>
    <row r="66" spans="1:51" x14ac:dyDescent="0.25">
      <c r="A66" t="str">
        <f>UnitHead!A66</f>
        <v>unhe064</v>
      </c>
      <c r="B66" t="str">
        <f>UnitHead!D66</f>
        <v>NotUsed</v>
      </c>
      <c r="C66" s="1" t="str">
        <f>UnitHead!B66</f>
        <v>3013F</v>
      </c>
      <c r="D66">
        <f>UnitHead!C66</f>
        <v>100</v>
      </c>
      <c r="E66" s="5" t="s">
        <v>254</v>
      </c>
      <c r="F66" s="5">
        <v>37</v>
      </c>
      <c r="G66">
        <f>UnitHead!AI66</f>
        <v>0</v>
      </c>
      <c r="H66" s="5">
        <v>0</v>
      </c>
      <c r="I66">
        <f>UnitHead!AJ66</f>
        <v>100000</v>
      </c>
      <c r="J66">
        <f>UnitHead!AK66</f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63</v>
      </c>
      <c r="T66" s="5">
        <v>0</v>
      </c>
      <c r="U66" s="5">
        <v>0</v>
      </c>
      <c r="V66" s="5">
        <v>0</v>
      </c>
      <c r="W66">
        <f>UnitHead!M66</f>
        <v>-1</v>
      </c>
      <c r="X66">
        <f>UnitHead!E66</f>
        <v>0</v>
      </c>
      <c r="Y66" s="1" t="str">
        <f>UnitHead!F66</f>
        <v>00010000</v>
      </c>
      <c r="Z66" s="5">
        <v>0</v>
      </c>
      <c r="AA66" s="5">
        <v>0</v>
      </c>
      <c r="AB66">
        <f>UnitHead!AB66</f>
        <v>0</v>
      </c>
      <c r="AC66" s="5">
        <v>0</v>
      </c>
      <c r="AD66" s="5">
        <v>0</v>
      </c>
      <c r="AE66" s="5">
        <v>0</v>
      </c>
      <c r="AF66" s="5">
        <v>0</v>
      </c>
      <c r="AG66">
        <f>IF(UnitHead!Y66&gt;127,127,UnitHead!Y66)</f>
        <v>50</v>
      </c>
      <c r="AH66">
        <f>IF(UnitHead!AC66&gt;127,127,UnitHead!AC66)</f>
        <v>50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>
        <f>UnitHead!L66</f>
        <v>100</v>
      </c>
      <c r="AP66">
        <f>UnitHead!N66</f>
        <v>2</v>
      </c>
      <c r="AQ66">
        <f>UnitHead!P66</f>
        <v>-1</v>
      </c>
      <c r="AR66">
        <f>UnitHead!O66</f>
        <v>100</v>
      </c>
      <c r="AS66">
        <f>UnitHead!Q66</f>
        <v>-1</v>
      </c>
      <c r="AT66" s="5">
        <v>0</v>
      </c>
      <c r="AU66" s="5">
        <v>0</v>
      </c>
      <c r="AV66">
        <f>UnitHead!AL66</f>
        <v>0</v>
      </c>
      <c r="AW66">
        <f>UnitHead!AZ66</f>
        <v>-1</v>
      </c>
      <c r="AX66">
        <f>UnitHead!BA66</f>
        <v>2</v>
      </c>
      <c r="AY66" s="5">
        <v>0</v>
      </c>
    </row>
    <row r="67" spans="1:51" x14ac:dyDescent="0.25">
      <c r="A67" t="str">
        <f>UnitHead!A67</f>
        <v>unhe065</v>
      </c>
      <c r="B67" t="str">
        <f>UnitHead!D67</f>
        <v>NotUsed</v>
      </c>
      <c r="C67" s="1" t="str">
        <f>UnitHead!B67</f>
        <v>30140</v>
      </c>
      <c r="D67">
        <f>UnitHead!C67</f>
        <v>100</v>
      </c>
      <c r="E67" s="5" t="s">
        <v>254</v>
      </c>
      <c r="F67" s="5">
        <v>37</v>
      </c>
      <c r="G67">
        <f>UnitHead!AI67</f>
        <v>0</v>
      </c>
      <c r="H67" s="5">
        <v>0</v>
      </c>
      <c r="I67">
        <f>UnitHead!AJ67</f>
        <v>100000</v>
      </c>
      <c r="J67">
        <f>UnitHead!AK67</f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64</v>
      </c>
      <c r="T67" s="5">
        <v>0</v>
      </c>
      <c r="U67" s="5">
        <v>0</v>
      </c>
      <c r="V67" s="5">
        <v>0</v>
      </c>
      <c r="W67">
        <f>UnitHead!M67</f>
        <v>-1</v>
      </c>
      <c r="X67">
        <f>UnitHead!E67</f>
        <v>0</v>
      </c>
      <c r="Y67" s="1" t="str">
        <f>UnitHead!F67</f>
        <v>00010000</v>
      </c>
      <c r="Z67" s="5">
        <v>0</v>
      </c>
      <c r="AA67" s="5">
        <v>0</v>
      </c>
      <c r="AB67">
        <f>UnitHead!AB67</f>
        <v>0</v>
      </c>
      <c r="AC67" s="5">
        <v>0</v>
      </c>
      <c r="AD67" s="5">
        <v>0</v>
      </c>
      <c r="AE67" s="5">
        <v>0</v>
      </c>
      <c r="AF67" s="5">
        <v>0</v>
      </c>
      <c r="AG67">
        <f>IF(UnitHead!Y67&gt;127,127,UnitHead!Y67)</f>
        <v>50</v>
      </c>
      <c r="AH67">
        <f>IF(UnitHead!AC67&gt;127,127,UnitHead!AC67)</f>
        <v>50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>
        <f>UnitHead!L67</f>
        <v>100</v>
      </c>
      <c r="AP67">
        <f>UnitHead!N67</f>
        <v>2</v>
      </c>
      <c r="AQ67">
        <f>UnitHead!P67</f>
        <v>-1</v>
      </c>
      <c r="AR67">
        <f>UnitHead!O67</f>
        <v>100</v>
      </c>
      <c r="AS67">
        <f>UnitHead!Q67</f>
        <v>-1</v>
      </c>
      <c r="AT67" s="5">
        <v>0</v>
      </c>
      <c r="AU67" s="5">
        <v>0</v>
      </c>
      <c r="AV67">
        <f>UnitHead!AL67</f>
        <v>0</v>
      </c>
      <c r="AW67">
        <f>UnitHead!AZ67</f>
        <v>-1</v>
      </c>
      <c r="AX67">
        <f>UnitHead!BA67</f>
        <v>2</v>
      </c>
      <c r="AY67" s="5">
        <v>0</v>
      </c>
    </row>
    <row r="68" spans="1:51" x14ac:dyDescent="0.25">
      <c r="A68" t="str">
        <f>UnitHead!A68</f>
        <v>unhe066</v>
      </c>
      <c r="B68" t="str">
        <f>UnitHead!D68</f>
        <v>NotUsed</v>
      </c>
      <c r="C68" s="1" t="str">
        <f>UnitHead!B68</f>
        <v>30141</v>
      </c>
      <c r="D68">
        <f>UnitHead!C68</f>
        <v>100</v>
      </c>
      <c r="E68" s="5" t="s">
        <v>254</v>
      </c>
      <c r="F68" s="5">
        <v>37</v>
      </c>
      <c r="G68">
        <f>UnitHead!AI68</f>
        <v>0</v>
      </c>
      <c r="H68" s="5">
        <v>0</v>
      </c>
      <c r="I68">
        <f>UnitHead!AJ68</f>
        <v>100000</v>
      </c>
      <c r="J68">
        <f>UnitHead!AK68</f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65</v>
      </c>
      <c r="T68" s="5">
        <v>0</v>
      </c>
      <c r="U68" s="5">
        <v>0</v>
      </c>
      <c r="V68" s="5">
        <v>0</v>
      </c>
      <c r="W68">
        <f>UnitHead!M68</f>
        <v>-1</v>
      </c>
      <c r="X68">
        <f>UnitHead!E68</f>
        <v>0</v>
      </c>
      <c r="Y68" s="1" t="str">
        <f>UnitHead!F68</f>
        <v>00010000</v>
      </c>
      <c r="Z68" s="5">
        <v>0</v>
      </c>
      <c r="AA68" s="5">
        <v>0</v>
      </c>
      <c r="AB68">
        <f>UnitHead!AB68</f>
        <v>0</v>
      </c>
      <c r="AC68" s="5">
        <v>0</v>
      </c>
      <c r="AD68" s="5">
        <v>0</v>
      </c>
      <c r="AE68" s="5">
        <v>0</v>
      </c>
      <c r="AF68" s="5">
        <v>0</v>
      </c>
      <c r="AG68">
        <f>IF(UnitHead!Y68&gt;127,127,UnitHead!Y68)</f>
        <v>50</v>
      </c>
      <c r="AH68">
        <f>IF(UnitHead!AC68&gt;127,127,UnitHead!AC68)</f>
        <v>50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>
        <f>UnitHead!L68</f>
        <v>100</v>
      </c>
      <c r="AP68">
        <f>UnitHead!N68</f>
        <v>2</v>
      </c>
      <c r="AQ68">
        <f>UnitHead!P68</f>
        <v>-1</v>
      </c>
      <c r="AR68">
        <f>UnitHead!O68</f>
        <v>100</v>
      </c>
      <c r="AS68">
        <f>UnitHead!Q68</f>
        <v>-1</v>
      </c>
      <c r="AT68" s="5">
        <v>0</v>
      </c>
      <c r="AU68" s="5">
        <v>0</v>
      </c>
      <c r="AV68">
        <f>UnitHead!AL68</f>
        <v>0</v>
      </c>
      <c r="AW68">
        <f>UnitHead!AZ68</f>
        <v>-1</v>
      </c>
      <c r="AX68">
        <f>UnitHead!BA68</f>
        <v>2</v>
      </c>
      <c r="AY68" s="5">
        <v>0</v>
      </c>
    </row>
    <row r="69" spans="1:51" x14ac:dyDescent="0.25">
      <c r="A69" t="str">
        <f>UnitHead!A69</f>
        <v>unhe067</v>
      </c>
      <c r="B69" t="str">
        <f>UnitHead!D69</f>
        <v>NotUsed</v>
      </c>
      <c r="C69" s="1" t="str">
        <f>UnitHead!B69</f>
        <v>30142</v>
      </c>
      <c r="D69">
        <f>UnitHead!C69</f>
        <v>100</v>
      </c>
      <c r="E69" s="5" t="s">
        <v>254</v>
      </c>
      <c r="F69" s="5">
        <v>37</v>
      </c>
      <c r="G69">
        <f>UnitHead!AI69</f>
        <v>0</v>
      </c>
      <c r="H69" s="5">
        <v>0</v>
      </c>
      <c r="I69">
        <f>UnitHead!AJ69</f>
        <v>100000</v>
      </c>
      <c r="J69">
        <f>UnitHead!AK69</f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66</v>
      </c>
      <c r="T69" s="5">
        <v>0</v>
      </c>
      <c r="U69" s="5">
        <v>0</v>
      </c>
      <c r="V69" s="5">
        <v>0</v>
      </c>
      <c r="W69">
        <f>UnitHead!M69</f>
        <v>-1</v>
      </c>
      <c r="X69">
        <f>UnitHead!E69</f>
        <v>0</v>
      </c>
      <c r="Y69" s="1" t="str">
        <f>UnitHead!F69</f>
        <v>00010000</v>
      </c>
      <c r="Z69" s="5">
        <v>0</v>
      </c>
      <c r="AA69" s="5">
        <v>0</v>
      </c>
      <c r="AB69">
        <f>UnitHead!AB69</f>
        <v>0</v>
      </c>
      <c r="AC69" s="5">
        <v>0</v>
      </c>
      <c r="AD69" s="5">
        <v>0</v>
      </c>
      <c r="AE69" s="5">
        <v>0</v>
      </c>
      <c r="AF69" s="5">
        <v>0</v>
      </c>
      <c r="AG69">
        <f>IF(UnitHead!Y69&gt;127,127,UnitHead!Y69)</f>
        <v>50</v>
      </c>
      <c r="AH69">
        <f>IF(UnitHead!AC69&gt;127,127,UnitHead!AC69)</f>
        <v>50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>
        <f>UnitHead!L69</f>
        <v>100</v>
      </c>
      <c r="AP69">
        <f>UnitHead!N69</f>
        <v>2</v>
      </c>
      <c r="AQ69">
        <f>UnitHead!P69</f>
        <v>-1</v>
      </c>
      <c r="AR69">
        <f>UnitHead!O69</f>
        <v>100</v>
      </c>
      <c r="AS69">
        <f>UnitHead!Q69</f>
        <v>-1</v>
      </c>
      <c r="AT69" s="5">
        <v>0</v>
      </c>
      <c r="AU69" s="5">
        <v>0</v>
      </c>
      <c r="AV69">
        <f>UnitHead!AL69</f>
        <v>0</v>
      </c>
      <c r="AW69">
        <f>UnitHead!AZ69</f>
        <v>-1</v>
      </c>
      <c r="AX69">
        <f>UnitHead!BA69</f>
        <v>2</v>
      </c>
      <c r="AY69" s="5">
        <v>0</v>
      </c>
    </row>
    <row r="70" spans="1:51" x14ac:dyDescent="0.25">
      <c r="A70" t="str">
        <f>UnitHead!A70</f>
        <v>unhe068</v>
      </c>
      <c r="B70" t="str">
        <f>UnitHead!D70</f>
        <v>NotUsed</v>
      </c>
      <c r="C70" s="1" t="str">
        <f>UnitHead!B70</f>
        <v>30143</v>
      </c>
      <c r="D70">
        <f>UnitHead!C70</f>
        <v>100</v>
      </c>
      <c r="E70" s="5" t="s">
        <v>254</v>
      </c>
      <c r="F70" s="5">
        <v>37</v>
      </c>
      <c r="G70">
        <f>UnitHead!AI70</f>
        <v>0</v>
      </c>
      <c r="H70" s="5">
        <v>0</v>
      </c>
      <c r="I70">
        <f>UnitHead!AJ70</f>
        <v>100000</v>
      </c>
      <c r="J70">
        <f>UnitHead!AK70</f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67</v>
      </c>
      <c r="T70" s="5">
        <v>0</v>
      </c>
      <c r="U70" s="5">
        <v>0</v>
      </c>
      <c r="V70" s="5">
        <v>0</v>
      </c>
      <c r="W70">
        <f>UnitHead!M70</f>
        <v>-1</v>
      </c>
      <c r="X70">
        <f>UnitHead!E70</f>
        <v>0</v>
      </c>
      <c r="Y70" s="1" t="str">
        <f>UnitHead!F70</f>
        <v>00010000</v>
      </c>
      <c r="Z70" s="5">
        <v>0</v>
      </c>
      <c r="AA70" s="5">
        <v>0</v>
      </c>
      <c r="AB70">
        <f>UnitHead!AB70</f>
        <v>0</v>
      </c>
      <c r="AC70" s="5">
        <v>0</v>
      </c>
      <c r="AD70" s="5">
        <v>0</v>
      </c>
      <c r="AE70" s="5">
        <v>0</v>
      </c>
      <c r="AF70" s="5">
        <v>0</v>
      </c>
      <c r="AG70">
        <f>IF(UnitHead!Y70&gt;127,127,UnitHead!Y70)</f>
        <v>50</v>
      </c>
      <c r="AH70">
        <f>IF(UnitHead!AC70&gt;127,127,UnitHead!AC70)</f>
        <v>50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>
        <f>UnitHead!L70</f>
        <v>100</v>
      </c>
      <c r="AP70">
        <f>UnitHead!N70</f>
        <v>2</v>
      </c>
      <c r="AQ70">
        <f>UnitHead!P70</f>
        <v>-1</v>
      </c>
      <c r="AR70">
        <f>UnitHead!O70</f>
        <v>100</v>
      </c>
      <c r="AS70">
        <f>UnitHead!Q70</f>
        <v>-1</v>
      </c>
      <c r="AT70" s="5">
        <v>0</v>
      </c>
      <c r="AU70" s="5">
        <v>0</v>
      </c>
      <c r="AV70">
        <f>UnitHead!AL70</f>
        <v>0</v>
      </c>
      <c r="AW70">
        <f>UnitHead!AZ70</f>
        <v>-1</v>
      </c>
      <c r="AX70">
        <f>UnitHead!BA70</f>
        <v>2</v>
      </c>
      <c r="AY70" s="5">
        <v>0</v>
      </c>
    </row>
    <row r="71" spans="1:51" x14ac:dyDescent="0.25">
      <c r="A71" t="str">
        <f>UnitHead!A71</f>
        <v>unhe069</v>
      </c>
      <c r="B71" t="str">
        <f>UnitHead!D71</f>
        <v>NotUsed</v>
      </c>
      <c r="C71" s="1" t="str">
        <f>UnitHead!B71</f>
        <v>30144</v>
      </c>
      <c r="D71">
        <f>UnitHead!C71</f>
        <v>100</v>
      </c>
      <c r="E71" s="5" t="s">
        <v>254</v>
      </c>
      <c r="F71" s="5">
        <v>37</v>
      </c>
      <c r="G71">
        <f>UnitHead!AI71</f>
        <v>0</v>
      </c>
      <c r="H71" s="5">
        <v>0</v>
      </c>
      <c r="I71">
        <f>UnitHead!AJ71</f>
        <v>100000</v>
      </c>
      <c r="J71">
        <f>UnitHead!AK71</f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68</v>
      </c>
      <c r="T71" s="5">
        <v>0</v>
      </c>
      <c r="U71" s="5">
        <v>0</v>
      </c>
      <c r="V71" s="5">
        <v>0</v>
      </c>
      <c r="W71">
        <f>UnitHead!M71</f>
        <v>-1</v>
      </c>
      <c r="X71">
        <f>UnitHead!E71</f>
        <v>0</v>
      </c>
      <c r="Y71" s="1" t="str">
        <f>UnitHead!F71</f>
        <v>00010000</v>
      </c>
      <c r="Z71" s="5">
        <v>0</v>
      </c>
      <c r="AA71" s="5">
        <v>0</v>
      </c>
      <c r="AB71">
        <f>UnitHead!AB71</f>
        <v>0</v>
      </c>
      <c r="AC71" s="5">
        <v>0</v>
      </c>
      <c r="AD71" s="5">
        <v>0</v>
      </c>
      <c r="AE71" s="5">
        <v>0</v>
      </c>
      <c r="AF71" s="5">
        <v>0</v>
      </c>
      <c r="AG71">
        <f>IF(UnitHead!Y71&gt;127,127,UnitHead!Y71)</f>
        <v>50</v>
      </c>
      <c r="AH71">
        <f>IF(UnitHead!AC71&gt;127,127,UnitHead!AC71)</f>
        <v>50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>
        <f>UnitHead!L71</f>
        <v>100</v>
      </c>
      <c r="AP71">
        <f>UnitHead!N71</f>
        <v>2</v>
      </c>
      <c r="AQ71">
        <f>UnitHead!P71</f>
        <v>-1</v>
      </c>
      <c r="AR71">
        <f>UnitHead!O71</f>
        <v>100</v>
      </c>
      <c r="AS71">
        <f>UnitHead!Q71</f>
        <v>-1</v>
      </c>
      <c r="AT71" s="5">
        <v>0</v>
      </c>
      <c r="AU71" s="5">
        <v>0</v>
      </c>
      <c r="AV71">
        <f>UnitHead!AL71</f>
        <v>0</v>
      </c>
      <c r="AW71">
        <f>UnitHead!AZ71</f>
        <v>-1</v>
      </c>
      <c r="AX71">
        <f>UnitHead!BA71</f>
        <v>2</v>
      </c>
      <c r="AY71" s="5">
        <v>0</v>
      </c>
    </row>
    <row r="72" spans="1:51" x14ac:dyDescent="0.25">
      <c r="A72" t="str">
        <f>UnitHead!A72</f>
        <v>unhe070</v>
      </c>
      <c r="B72" t="str">
        <f>UnitHead!D72</f>
        <v>NotUsed</v>
      </c>
      <c r="C72" s="1" t="str">
        <f>UnitHead!B72</f>
        <v>30145</v>
      </c>
      <c r="D72">
        <f>UnitHead!C72</f>
        <v>100</v>
      </c>
      <c r="E72" s="5" t="s">
        <v>254</v>
      </c>
      <c r="F72" s="5">
        <v>37</v>
      </c>
      <c r="G72">
        <f>UnitHead!AI72</f>
        <v>0</v>
      </c>
      <c r="H72" s="5">
        <v>0</v>
      </c>
      <c r="I72">
        <f>UnitHead!AJ72</f>
        <v>100000</v>
      </c>
      <c r="J72">
        <f>UnitHead!AK72</f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69</v>
      </c>
      <c r="T72" s="5">
        <v>0</v>
      </c>
      <c r="U72" s="5">
        <v>0</v>
      </c>
      <c r="V72" s="5">
        <v>0</v>
      </c>
      <c r="W72">
        <f>UnitHead!M72</f>
        <v>-1</v>
      </c>
      <c r="X72">
        <f>UnitHead!E72</f>
        <v>0</v>
      </c>
      <c r="Y72" s="1" t="str">
        <f>UnitHead!F72</f>
        <v>00010000</v>
      </c>
      <c r="Z72" s="5">
        <v>0</v>
      </c>
      <c r="AA72" s="5">
        <v>0</v>
      </c>
      <c r="AB72">
        <f>UnitHead!AB72</f>
        <v>0</v>
      </c>
      <c r="AC72" s="5">
        <v>0</v>
      </c>
      <c r="AD72" s="5">
        <v>0</v>
      </c>
      <c r="AE72" s="5">
        <v>0</v>
      </c>
      <c r="AF72" s="5">
        <v>0</v>
      </c>
      <c r="AG72">
        <f>IF(UnitHead!Y72&gt;127,127,UnitHead!Y72)</f>
        <v>50</v>
      </c>
      <c r="AH72">
        <f>IF(UnitHead!AC72&gt;127,127,UnitHead!AC72)</f>
        <v>50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>
        <f>UnitHead!L72</f>
        <v>100</v>
      </c>
      <c r="AP72">
        <f>UnitHead!N72</f>
        <v>2</v>
      </c>
      <c r="AQ72">
        <f>UnitHead!P72</f>
        <v>-1</v>
      </c>
      <c r="AR72">
        <f>UnitHead!O72</f>
        <v>100</v>
      </c>
      <c r="AS72">
        <f>UnitHead!Q72</f>
        <v>-1</v>
      </c>
      <c r="AT72" s="5">
        <v>0</v>
      </c>
      <c r="AU72" s="5">
        <v>0</v>
      </c>
      <c r="AV72">
        <f>UnitHead!AL72</f>
        <v>0</v>
      </c>
      <c r="AW72">
        <f>UnitHead!AZ72</f>
        <v>-1</v>
      </c>
      <c r="AX72">
        <f>UnitHead!BA72</f>
        <v>2</v>
      </c>
      <c r="AY72" s="5">
        <v>0</v>
      </c>
    </row>
    <row r="73" spans="1:51" x14ac:dyDescent="0.25">
      <c r="A73" t="str">
        <f>UnitHead!A73</f>
        <v>unhe071</v>
      </c>
      <c r="B73" t="str">
        <f>UnitHead!D73</f>
        <v>NotUsed</v>
      </c>
      <c r="C73" s="1" t="str">
        <f>UnitHead!B73</f>
        <v>30146</v>
      </c>
      <c r="D73">
        <f>UnitHead!C73</f>
        <v>100</v>
      </c>
      <c r="E73" s="5" t="s">
        <v>254</v>
      </c>
      <c r="F73" s="5">
        <v>37</v>
      </c>
      <c r="G73">
        <f>UnitHead!AI73</f>
        <v>0</v>
      </c>
      <c r="H73" s="5">
        <v>0</v>
      </c>
      <c r="I73">
        <f>UnitHead!AJ73</f>
        <v>100000</v>
      </c>
      <c r="J73">
        <f>UnitHead!AK73</f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70</v>
      </c>
      <c r="T73" s="5">
        <v>0</v>
      </c>
      <c r="U73" s="5">
        <v>0</v>
      </c>
      <c r="V73" s="5">
        <v>0</v>
      </c>
      <c r="W73">
        <f>UnitHead!M73</f>
        <v>-1</v>
      </c>
      <c r="X73">
        <f>UnitHead!E73</f>
        <v>0</v>
      </c>
      <c r="Y73" s="1" t="str">
        <f>UnitHead!F73</f>
        <v>00010000</v>
      </c>
      <c r="Z73" s="5">
        <v>0</v>
      </c>
      <c r="AA73" s="5">
        <v>0</v>
      </c>
      <c r="AB73">
        <f>UnitHead!AB73</f>
        <v>0</v>
      </c>
      <c r="AC73" s="5">
        <v>0</v>
      </c>
      <c r="AD73" s="5">
        <v>0</v>
      </c>
      <c r="AE73" s="5">
        <v>0</v>
      </c>
      <c r="AF73" s="5">
        <v>0</v>
      </c>
      <c r="AG73">
        <f>IF(UnitHead!Y73&gt;127,127,UnitHead!Y73)</f>
        <v>50</v>
      </c>
      <c r="AH73">
        <f>IF(UnitHead!AC73&gt;127,127,UnitHead!AC73)</f>
        <v>50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>
        <f>UnitHead!L73</f>
        <v>100</v>
      </c>
      <c r="AP73">
        <f>UnitHead!N73</f>
        <v>2</v>
      </c>
      <c r="AQ73">
        <f>UnitHead!P73</f>
        <v>-1</v>
      </c>
      <c r="AR73">
        <f>UnitHead!O73</f>
        <v>100</v>
      </c>
      <c r="AS73">
        <f>UnitHead!Q73</f>
        <v>-1</v>
      </c>
      <c r="AT73" s="5">
        <v>0</v>
      </c>
      <c r="AU73" s="5">
        <v>0</v>
      </c>
      <c r="AV73">
        <f>UnitHead!AL73</f>
        <v>0</v>
      </c>
      <c r="AW73">
        <f>UnitHead!AZ73</f>
        <v>-1</v>
      </c>
      <c r="AX73">
        <f>UnitHead!BA73</f>
        <v>2</v>
      </c>
      <c r="AY73" s="5">
        <v>0</v>
      </c>
    </row>
    <row r="74" spans="1:51" x14ac:dyDescent="0.25">
      <c r="A74" t="str">
        <f>UnitHead!A74</f>
        <v>unhe072</v>
      </c>
      <c r="B74" t="str">
        <f>UnitHead!D74</f>
        <v>NotUsed</v>
      </c>
      <c r="C74" s="1" t="str">
        <f>UnitHead!B74</f>
        <v>30147</v>
      </c>
      <c r="D74">
        <f>UnitHead!C74</f>
        <v>100</v>
      </c>
      <c r="E74" s="5" t="s">
        <v>254</v>
      </c>
      <c r="F74" s="5">
        <v>37</v>
      </c>
      <c r="G74">
        <f>UnitHead!AI74</f>
        <v>0</v>
      </c>
      <c r="H74" s="5">
        <v>0</v>
      </c>
      <c r="I74">
        <f>UnitHead!AJ74</f>
        <v>100000</v>
      </c>
      <c r="J74">
        <f>UnitHead!AK74</f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71</v>
      </c>
      <c r="T74" s="5">
        <v>0</v>
      </c>
      <c r="U74" s="5">
        <v>0</v>
      </c>
      <c r="V74" s="5">
        <v>0</v>
      </c>
      <c r="W74">
        <f>UnitHead!M74</f>
        <v>-1</v>
      </c>
      <c r="X74">
        <f>UnitHead!E74</f>
        <v>0</v>
      </c>
      <c r="Y74" s="1" t="str">
        <f>UnitHead!F74</f>
        <v>00010000</v>
      </c>
      <c r="Z74" s="5">
        <v>0</v>
      </c>
      <c r="AA74" s="5">
        <v>0</v>
      </c>
      <c r="AB74">
        <f>UnitHead!AB74</f>
        <v>0</v>
      </c>
      <c r="AC74" s="5">
        <v>0</v>
      </c>
      <c r="AD74" s="5">
        <v>0</v>
      </c>
      <c r="AE74" s="5">
        <v>0</v>
      </c>
      <c r="AF74" s="5">
        <v>0</v>
      </c>
      <c r="AG74">
        <f>IF(UnitHead!Y74&gt;127,127,UnitHead!Y74)</f>
        <v>50</v>
      </c>
      <c r="AH74">
        <f>IF(UnitHead!AC74&gt;127,127,UnitHead!AC74)</f>
        <v>50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>
        <f>UnitHead!L74</f>
        <v>100</v>
      </c>
      <c r="AP74">
        <f>UnitHead!N74</f>
        <v>2</v>
      </c>
      <c r="AQ74">
        <f>UnitHead!P74</f>
        <v>-1</v>
      </c>
      <c r="AR74">
        <f>UnitHead!O74</f>
        <v>100</v>
      </c>
      <c r="AS74">
        <f>UnitHead!Q74</f>
        <v>-1</v>
      </c>
      <c r="AT74" s="5">
        <v>0</v>
      </c>
      <c r="AU74" s="5">
        <v>0</v>
      </c>
      <c r="AV74">
        <f>UnitHead!AL74</f>
        <v>0</v>
      </c>
      <c r="AW74">
        <f>UnitHead!AZ74</f>
        <v>-1</v>
      </c>
      <c r="AX74">
        <f>UnitHead!BA74</f>
        <v>2</v>
      </c>
      <c r="AY74" s="5">
        <v>0</v>
      </c>
    </row>
    <row r="75" spans="1:51" x14ac:dyDescent="0.25">
      <c r="A75" t="str">
        <f>UnitHead!A75</f>
        <v>unhe073</v>
      </c>
      <c r="B75" t="str">
        <f>UnitHead!D75</f>
        <v>NotUsed</v>
      </c>
      <c r="C75" s="1" t="str">
        <f>UnitHead!B75</f>
        <v>30148</v>
      </c>
      <c r="D75">
        <f>UnitHead!C75</f>
        <v>100</v>
      </c>
      <c r="E75" s="5" t="s">
        <v>254</v>
      </c>
      <c r="F75" s="5">
        <v>37</v>
      </c>
      <c r="G75">
        <f>UnitHead!AI75</f>
        <v>0</v>
      </c>
      <c r="H75" s="5">
        <v>0</v>
      </c>
      <c r="I75">
        <f>UnitHead!AJ75</f>
        <v>100000</v>
      </c>
      <c r="J75">
        <f>UnitHead!AK75</f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72</v>
      </c>
      <c r="T75" s="5">
        <v>0</v>
      </c>
      <c r="U75" s="5">
        <v>0</v>
      </c>
      <c r="V75" s="5">
        <v>0</v>
      </c>
      <c r="W75">
        <f>UnitHead!M75</f>
        <v>-1</v>
      </c>
      <c r="X75">
        <f>UnitHead!E75</f>
        <v>0</v>
      </c>
      <c r="Y75" s="1" t="str">
        <f>UnitHead!F75</f>
        <v>00010000</v>
      </c>
      <c r="Z75" s="5">
        <v>0</v>
      </c>
      <c r="AA75" s="5">
        <v>0</v>
      </c>
      <c r="AB75">
        <f>UnitHead!AB75</f>
        <v>0</v>
      </c>
      <c r="AC75" s="5">
        <v>0</v>
      </c>
      <c r="AD75" s="5">
        <v>0</v>
      </c>
      <c r="AE75" s="5">
        <v>0</v>
      </c>
      <c r="AF75" s="5">
        <v>0</v>
      </c>
      <c r="AG75">
        <f>IF(UnitHead!Y75&gt;127,127,UnitHead!Y75)</f>
        <v>50</v>
      </c>
      <c r="AH75">
        <f>IF(UnitHead!AC75&gt;127,127,UnitHead!AC75)</f>
        <v>50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>
        <f>UnitHead!L75</f>
        <v>100</v>
      </c>
      <c r="AP75">
        <f>UnitHead!N75</f>
        <v>2</v>
      </c>
      <c r="AQ75">
        <f>UnitHead!P75</f>
        <v>-1</v>
      </c>
      <c r="AR75">
        <f>UnitHead!O75</f>
        <v>100</v>
      </c>
      <c r="AS75">
        <f>UnitHead!Q75</f>
        <v>-1</v>
      </c>
      <c r="AT75" s="5">
        <v>0</v>
      </c>
      <c r="AU75" s="5">
        <v>0</v>
      </c>
      <c r="AV75">
        <f>UnitHead!AL75</f>
        <v>0</v>
      </c>
      <c r="AW75">
        <f>UnitHead!AZ75</f>
        <v>-1</v>
      </c>
      <c r="AX75">
        <f>UnitHead!BA75</f>
        <v>2</v>
      </c>
      <c r="AY75" s="5">
        <v>0</v>
      </c>
    </row>
    <row r="76" spans="1:51" x14ac:dyDescent="0.25">
      <c r="A76" t="str">
        <f>UnitHead!A76</f>
        <v>unhe074</v>
      </c>
      <c r="B76" t="str">
        <f>UnitHead!D76</f>
        <v>NotUsed</v>
      </c>
      <c r="C76" s="1" t="str">
        <f>UnitHead!B76</f>
        <v>30149</v>
      </c>
      <c r="D76">
        <f>UnitHead!C76</f>
        <v>100</v>
      </c>
      <c r="E76" s="5" t="s">
        <v>254</v>
      </c>
      <c r="F76" s="5">
        <v>37</v>
      </c>
      <c r="G76">
        <f>UnitHead!AI76</f>
        <v>0</v>
      </c>
      <c r="H76" s="5">
        <v>0</v>
      </c>
      <c r="I76">
        <f>UnitHead!AJ76</f>
        <v>100000</v>
      </c>
      <c r="J76">
        <f>UnitHead!AK76</f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73</v>
      </c>
      <c r="T76" s="5">
        <v>0</v>
      </c>
      <c r="U76" s="5">
        <v>0</v>
      </c>
      <c r="V76" s="5">
        <v>0</v>
      </c>
      <c r="W76">
        <f>UnitHead!M76</f>
        <v>-1</v>
      </c>
      <c r="X76">
        <f>UnitHead!E76</f>
        <v>0</v>
      </c>
      <c r="Y76" s="1" t="str">
        <f>UnitHead!F76</f>
        <v>00010000</v>
      </c>
      <c r="Z76" s="5">
        <v>0</v>
      </c>
      <c r="AA76" s="5">
        <v>0</v>
      </c>
      <c r="AB76">
        <f>UnitHead!AB76</f>
        <v>0</v>
      </c>
      <c r="AC76" s="5">
        <v>0</v>
      </c>
      <c r="AD76" s="5">
        <v>0</v>
      </c>
      <c r="AE76" s="5">
        <v>0</v>
      </c>
      <c r="AF76" s="5">
        <v>0</v>
      </c>
      <c r="AG76">
        <f>IF(UnitHead!Y76&gt;127,127,UnitHead!Y76)</f>
        <v>50</v>
      </c>
      <c r="AH76">
        <f>IF(UnitHead!AC76&gt;127,127,UnitHead!AC76)</f>
        <v>50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>
        <f>UnitHead!L76</f>
        <v>100</v>
      </c>
      <c r="AP76">
        <f>UnitHead!N76</f>
        <v>2</v>
      </c>
      <c r="AQ76">
        <f>UnitHead!P76</f>
        <v>-1</v>
      </c>
      <c r="AR76">
        <f>UnitHead!O76</f>
        <v>100</v>
      </c>
      <c r="AS76">
        <f>UnitHead!Q76</f>
        <v>-1</v>
      </c>
      <c r="AT76" s="5">
        <v>0</v>
      </c>
      <c r="AU76" s="5">
        <v>0</v>
      </c>
      <c r="AV76">
        <f>UnitHead!AL76</f>
        <v>0</v>
      </c>
      <c r="AW76">
        <f>UnitHead!AZ76</f>
        <v>-1</v>
      </c>
      <c r="AX76">
        <f>UnitHead!BA76</f>
        <v>2</v>
      </c>
      <c r="AY76" s="5">
        <v>0</v>
      </c>
    </row>
    <row r="77" spans="1:51" x14ac:dyDescent="0.25">
      <c r="A77" t="str">
        <f>UnitHead!A77</f>
        <v>unhe075</v>
      </c>
      <c r="B77" t="str">
        <f>UnitHead!D77</f>
        <v>NotUsed</v>
      </c>
      <c r="C77" s="1" t="str">
        <f>UnitHead!B77</f>
        <v>3014A</v>
      </c>
      <c r="D77">
        <f>UnitHead!C77</f>
        <v>100</v>
      </c>
      <c r="E77" s="5" t="s">
        <v>254</v>
      </c>
      <c r="F77" s="5">
        <v>37</v>
      </c>
      <c r="G77">
        <f>UnitHead!AI77</f>
        <v>0</v>
      </c>
      <c r="H77" s="5">
        <v>0</v>
      </c>
      <c r="I77">
        <f>UnitHead!AJ77</f>
        <v>100000</v>
      </c>
      <c r="J77">
        <f>UnitHead!AK77</f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74</v>
      </c>
      <c r="T77" s="5">
        <v>0</v>
      </c>
      <c r="U77" s="5">
        <v>0</v>
      </c>
      <c r="V77" s="5">
        <v>0</v>
      </c>
      <c r="W77">
        <f>UnitHead!M77</f>
        <v>-1</v>
      </c>
      <c r="X77">
        <f>UnitHead!E77</f>
        <v>0</v>
      </c>
      <c r="Y77" s="1" t="str">
        <f>UnitHead!F77</f>
        <v>00010000</v>
      </c>
      <c r="Z77" s="5">
        <v>0</v>
      </c>
      <c r="AA77" s="5">
        <v>0</v>
      </c>
      <c r="AB77">
        <f>UnitHead!AB77</f>
        <v>0</v>
      </c>
      <c r="AC77" s="5">
        <v>0</v>
      </c>
      <c r="AD77" s="5">
        <v>0</v>
      </c>
      <c r="AE77" s="5">
        <v>0</v>
      </c>
      <c r="AF77" s="5">
        <v>0</v>
      </c>
      <c r="AG77">
        <f>IF(UnitHead!Y77&gt;127,127,UnitHead!Y77)</f>
        <v>50</v>
      </c>
      <c r="AH77">
        <f>IF(UnitHead!AC77&gt;127,127,UnitHead!AC77)</f>
        <v>50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>
        <f>UnitHead!L77</f>
        <v>100</v>
      </c>
      <c r="AP77">
        <f>UnitHead!N77</f>
        <v>2</v>
      </c>
      <c r="AQ77">
        <f>UnitHead!P77</f>
        <v>-1</v>
      </c>
      <c r="AR77">
        <f>UnitHead!O77</f>
        <v>100</v>
      </c>
      <c r="AS77">
        <f>UnitHead!Q77</f>
        <v>-1</v>
      </c>
      <c r="AT77" s="5">
        <v>0</v>
      </c>
      <c r="AU77" s="5">
        <v>0</v>
      </c>
      <c r="AV77">
        <f>UnitHead!AL77</f>
        <v>0</v>
      </c>
      <c r="AW77">
        <f>UnitHead!AZ77</f>
        <v>-1</v>
      </c>
      <c r="AX77">
        <f>UnitHead!BA77</f>
        <v>2</v>
      </c>
      <c r="AY77" s="5">
        <v>0</v>
      </c>
    </row>
    <row r="78" spans="1:51" x14ac:dyDescent="0.25">
      <c r="A78" t="str">
        <f>UnitHead!A78</f>
        <v>unhe076</v>
      </c>
      <c r="B78" t="str">
        <f>UnitHead!D78</f>
        <v>NotUsed</v>
      </c>
      <c r="C78" s="1" t="str">
        <f>UnitHead!B78</f>
        <v>3014B</v>
      </c>
      <c r="D78">
        <f>UnitHead!C78</f>
        <v>100</v>
      </c>
      <c r="E78" s="5" t="s">
        <v>254</v>
      </c>
      <c r="F78" s="5">
        <v>37</v>
      </c>
      <c r="G78">
        <f>UnitHead!AI78</f>
        <v>0</v>
      </c>
      <c r="H78" s="5">
        <v>0</v>
      </c>
      <c r="I78">
        <f>UnitHead!AJ78</f>
        <v>100000</v>
      </c>
      <c r="J78">
        <f>UnitHead!AK78</f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75</v>
      </c>
      <c r="T78" s="5">
        <v>0</v>
      </c>
      <c r="U78" s="5">
        <v>0</v>
      </c>
      <c r="V78" s="5">
        <v>0</v>
      </c>
      <c r="W78">
        <f>UnitHead!M78</f>
        <v>-1</v>
      </c>
      <c r="X78">
        <f>UnitHead!E78</f>
        <v>0</v>
      </c>
      <c r="Y78" s="1" t="str">
        <f>UnitHead!F78</f>
        <v>00010000</v>
      </c>
      <c r="Z78" s="5">
        <v>0</v>
      </c>
      <c r="AA78" s="5">
        <v>0</v>
      </c>
      <c r="AB78">
        <f>UnitHead!AB78</f>
        <v>0</v>
      </c>
      <c r="AC78" s="5">
        <v>0</v>
      </c>
      <c r="AD78" s="5">
        <v>0</v>
      </c>
      <c r="AE78" s="5">
        <v>0</v>
      </c>
      <c r="AF78" s="5">
        <v>0</v>
      </c>
      <c r="AG78">
        <f>IF(UnitHead!Y78&gt;127,127,UnitHead!Y78)</f>
        <v>50</v>
      </c>
      <c r="AH78">
        <f>IF(UnitHead!AC78&gt;127,127,UnitHead!AC78)</f>
        <v>50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>
        <f>UnitHead!L78</f>
        <v>100</v>
      </c>
      <c r="AP78">
        <f>UnitHead!N78</f>
        <v>2</v>
      </c>
      <c r="AQ78">
        <f>UnitHead!P78</f>
        <v>-1</v>
      </c>
      <c r="AR78">
        <f>UnitHead!O78</f>
        <v>100</v>
      </c>
      <c r="AS78">
        <f>UnitHead!Q78</f>
        <v>-1</v>
      </c>
      <c r="AT78" s="5">
        <v>0</v>
      </c>
      <c r="AU78" s="5">
        <v>0</v>
      </c>
      <c r="AV78">
        <f>UnitHead!AL78</f>
        <v>0</v>
      </c>
      <c r="AW78">
        <f>UnitHead!AZ78</f>
        <v>-1</v>
      </c>
      <c r="AX78">
        <f>UnitHead!BA78</f>
        <v>2</v>
      </c>
      <c r="AY78" s="5">
        <v>0</v>
      </c>
    </row>
    <row r="79" spans="1:51" x14ac:dyDescent="0.25">
      <c r="A79" t="str">
        <f>UnitHead!A79</f>
        <v>unhe077</v>
      </c>
      <c r="B79" t="str">
        <f>UnitHead!D79</f>
        <v>NotUsed</v>
      </c>
      <c r="C79" s="1" t="str">
        <f>UnitHead!B79</f>
        <v>3014C</v>
      </c>
      <c r="D79">
        <f>UnitHead!C79</f>
        <v>100</v>
      </c>
      <c r="E79" s="5" t="s">
        <v>254</v>
      </c>
      <c r="F79" s="5">
        <v>37</v>
      </c>
      <c r="G79">
        <f>UnitHead!AI79</f>
        <v>0</v>
      </c>
      <c r="H79" s="5">
        <v>0</v>
      </c>
      <c r="I79">
        <f>UnitHead!AJ79</f>
        <v>100000</v>
      </c>
      <c r="J79">
        <f>UnitHead!AK79</f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76</v>
      </c>
      <c r="T79" s="5">
        <v>0</v>
      </c>
      <c r="U79" s="5">
        <v>0</v>
      </c>
      <c r="V79" s="5">
        <v>0</v>
      </c>
      <c r="W79">
        <f>UnitHead!M79</f>
        <v>-1</v>
      </c>
      <c r="X79">
        <f>UnitHead!E79</f>
        <v>0</v>
      </c>
      <c r="Y79" s="1" t="str">
        <f>UnitHead!F79</f>
        <v>00010000</v>
      </c>
      <c r="Z79" s="5">
        <v>0</v>
      </c>
      <c r="AA79" s="5">
        <v>0</v>
      </c>
      <c r="AB79">
        <f>UnitHead!AB79</f>
        <v>0</v>
      </c>
      <c r="AC79" s="5">
        <v>0</v>
      </c>
      <c r="AD79" s="5">
        <v>0</v>
      </c>
      <c r="AE79" s="5">
        <v>0</v>
      </c>
      <c r="AF79" s="5">
        <v>0</v>
      </c>
      <c r="AG79">
        <f>IF(UnitHead!Y79&gt;127,127,UnitHead!Y79)</f>
        <v>50</v>
      </c>
      <c r="AH79">
        <f>IF(UnitHead!AC79&gt;127,127,UnitHead!AC79)</f>
        <v>50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>
        <f>UnitHead!L79</f>
        <v>100</v>
      </c>
      <c r="AP79">
        <f>UnitHead!N79</f>
        <v>2</v>
      </c>
      <c r="AQ79">
        <f>UnitHead!P79</f>
        <v>-1</v>
      </c>
      <c r="AR79">
        <f>UnitHead!O79</f>
        <v>100</v>
      </c>
      <c r="AS79">
        <f>UnitHead!Q79</f>
        <v>-1</v>
      </c>
      <c r="AT79" s="5">
        <v>0</v>
      </c>
      <c r="AU79" s="5">
        <v>0</v>
      </c>
      <c r="AV79">
        <f>UnitHead!AL79</f>
        <v>0</v>
      </c>
      <c r="AW79">
        <f>UnitHead!AZ79</f>
        <v>-1</v>
      </c>
      <c r="AX79">
        <f>UnitHead!BA79</f>
        <v>2</v>
      </c>
      <c r="AY79" s="5">
        <v>0</v>
      </c>
    </row>
    <row r="80" spans="1:51" x14ac:dyDescent="0.25">
      <c r="A80" t="str">
        <f>UnitHead!A80</f>
        <v>unhe078</v>
      </c>
      <c r="B80" t="str">
        <f>UnitHead!D80</f>
        <v>NotUsed</v>
      </c>
      <c r="C80" s="1" t="str">
        <f>UnitHead!B80</f>
        <v>3014D</v>
      </c>
      <c r="D80">
        <f>UnitHead!C80</f>
        <v>100</v>
      </c>
      <c r="E80" s="5" t="s">
        <v>254</v>
      </c>
      <c r="F80" s="5">
        <v>37</v>
      </c>
      <c r="G80">
        <f>UnitHead!AI80</f>
        <v>0</v>
      </c>
      <c r="H80" s="5">
        <v>0</v>
      </c>
      <c r="I80">
        <f>UnitHead!AJ80</f>
        <v>100000</v>
      </c>
      <c r="J80">
        <f>UnitHead!AK80</f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77</v>
      </c>
      <c r="T80" s="5">
        <v>0</v>
      </c>
      <c r="U80" s="5">
        <v>0</v>
      </c>
      <c r="V80" s="5">
        <v>0</v>
      </c>
      <c r="W80">
        <f>UnitHead!M80</f>
        <v>-1</v>
      </c>
      <c r="X80">
        <f>UnitHead!E80</f>
        <v>0</v>
      </c>
      <c r="Y80" s="1" t="str">
        <f>UnitHead!F80</f>
        <v>00010000</v>
      </c>
      <c r="Z80" s="5">
        <v>0</v>
      </c>
      <c r="AA80" s="5">
        <v>0</v>
      </c>
      <c r="AB80">
        <f>UnitHead!AB80</f>
        <v>0</v>
      </c>
      <c r="AC80" s="5">
        <v>0</v>
      </c>
      <c r="AD80" s="5">
        <v>0</v>
      </c>
      <c r="AE80" s="5">
        <v>0</v>
      </c>
      <c r="AF80" s="5">
        <v>0</v>
      </c>
      <c r="AG80">
        <f>IF(UnitHead!Y80&gt;127,127,UnitHead!Y80)</f>
        <v>50</v>
      </c>
      <c r="AH80">
        <f>IF(UnitHead!AC80&gt;127,127,UnitHead!AC80)</f>
        <v>50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>
        <f>UnitHead!L80</f>
        <v>100</v>
      </c>
      <c r="AP80">
        <f>UnitHead!N80</f>
        <v>2</v>
      </c>
      <c r="AQ80">
        <f>UnitHead!P80</f>
        <v>-1</v>
      </c>
      <c r="AR80">
        <f>UnitHead!O80</f>
        <v>100</v>
      </c>
      <c r="AS80">
        <f>UnitHead!Q80</f>
        <v>-1</v>
      </c>
      <c r="AT80" s="5">
        <v>0</v>
      </c>
      <c r="AU80" s="5">
        <v>0</v>
      </c>
      <c r="AV80">
        <f>UnitHead!AL80</f>
        <v>0</v>
      </c>
      <c r="AW80">
        <f>UnitHead!AZ80</f>
        <v>-1</v>
      </c>
      <c r="AX80">
        <f>UnitHead!BA80</f>
        <v>2</v>
      </c>
      <c r="AY80" s="5">
        <v>0</v>
      </c>
    </row>
    <row r="81" spans="1:51" x14ac:dyDescent="0.25">
      <c r="A81" t="str">
        <f>UnitHead!A81</f>
        <v>unhe079</v>
      </c>
      <c r="B81" t="str">
        <f>UnitHead!D81</f>
        <v>NotUsed</v>
      </c>
      <c r="C81" s="1" t="str">
        <f>UnitHead!B81</f>
        <v>3014E</v>
      </c>
      <c r="D81">
        <f>UnitHead!C81</f>
        <v>100</v>
      </c>
      <c r="E81" s="5" t="s">
        <v>254</v>
      </c>
      <c r="F81" s="5">
        <v>37</v>
      </c>
      <c r="G81">
        <f>UnitHead!AI81</f>
        <v>0</v>
      </c>
      <c r="H81" s="5">
        <v>0</v>
      </c>
      <c r="I81">
        <f>UnitHead!AJ81</f>
        <v>100000</v>
      </c>
      <c r="J81">
        <f>UnitHead!AK81</f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78</v>
      </c>
      <c r="T81" s="5">
        <v>0</v>
      </c>
      <c r="U81" s="5">
        <v>0</v>
      </c>
      <c r="V81" s="5">
        <v>0</v>
      </c>
      <c r="W81">
        <f>UnitHead!M81</f>
        <v>-1</v>
      </c>
      <c r="X81">
        <f>UnitHead!E81</f>
        <v>0</v>
      </c>
      <c r="Y81" s="1" t="str">
        <f>UnitHead!F81</f>
        <v>00010000</v>
      </c>
      <c r="Z81" s="5">
        <v>0</v>
      </c>
      <c r="AA81" s="5">
        <v>0</v>
      </c>
      <c r="AB81">
        <f>UnitHead!AB81</f>
        <v>0</v>
      </c>
      <c r="AC81" s="5">
        <v>0</v>
      </c>
      <c r="AD81" s="5">
        <v>0</v>
      </c>
      <c r="AE81" s="5">
        <v>0</v>
      </c>
      <c r="AF81" s="5">
        <v>0</v>
      </c>
      <c r="AG81">
        <f>IF(UnitHead!Y81&gt;127,127,UnitHead!Y81)</f>
        <v>50</v>
      </c>
      <c r="AH81">
        <f>IF(UnitHead!AC81&gt;127,127,UnitHead!AC81)</f>
        <v>50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>
        <f>UnitHead!L81</f>
        <v>100</v>
      </c>
      <c r="AP81">
        <f>UnitHead!N81</f>
        <v>2</v>
      </c>
      <c r="AQ81">
        <f>UnitHead!P81</f>
        <v>-1</v>
      </c>
      <c r="AR81">
        <f>UnitHead!O81</f>
        <v>100</v>
      </c>
      <c r="AS81">
        <f>UnitHead!Q81</f>
        <v>-1</v>
      </c>
      <c r="AT81" s="5">
        <v>0</v>
      </c>
      <c r="AU81" s="5">
        <v>0</v>
      </c>
      <c r="AV81">
        <f>UnitHead!AL81</f>
        <v>0</v>
      </c>
      <c r="AW81">
        <f>UnitHead!AZ81</f>
        <v>-1</v>
      </c>
      <c r="AX81">
        <f>UnitHead!BA81</f>
        <v>2</v>
      </c>
      <c r="AY81" s="5">
        <v>0</v>
      </c>
    </row>
    <row r="82" spans="1:51" x14ac:dyDescent="0.25">
      <c r="A82" t="str">
        <f>UnitHead!A82</f>
        <v>unhe080</v>
      </c>
      <c r="B82" t="str">
        <f>UnitHead!D82</f>
        <v>NotUsed</v>
      </c>
      <c r="C82" s="1" t="str">
        <f>UnitHead!B82</f>
        <v>3014F</v>
      </c>
      <c r="D82">
        <f>UnitHead!C82</f>
        <v>100</v>
      </c>
      <c r="E82" s="5" t="s">
        <v>254</v>
      </c>
      <c r="F82" s="5">
        <v>37</v>
      </c>
      <c r="G82">
        <f>UnitHead!AI82</f>
        <v>0</v>
      </c>
      <c r="H82" s="5">
        <v>0</v>
      </c>
      <c r="I82">
        <f>UnitHead!AJ82</f>
        <v>100000</v>
      </c>
      <c r="J82">
        <f>UnitHead!AK82</f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79</v>
      </c>
      <c r="T82" s="5">
        <v>0</v>
      </c>
      <c r="U82" s="5">
        <v>0</v>
      </c>
      <c r="V82" s="5">
        <v>0</v>
      </c>
      <c r="W82">
        <f>UnitHead!M82</f>
        <v>-1</v>
      </c>
      <c r="X82">
        <f>UnitHead!E82</f>
        <v>0</v>
      </c>
      <c r="Y82" s="1" t="str">
        <f>UnitHead!F82</f>
        <v>00010000</v>
      </c>
      <c r="Z82" s="5">
        <v>0</v>
      </c>
      <c r="AA82" s="5">
        <v>0</v>
      </c>
      <c r="AB82">
        <f>UnitHead!AB82</f>
        <v>0</v>
      </c>
      <c r="AC82" s="5">
        <v>0</v>
      </c>
      <c r="AD82" s="5">
        <v>0</v>
      </c>
      <c r="AE82" s="5">
        <v>0</v>
      </c>
      <c r="AF82" s="5">
        <v>0</v>
      </c>
      <c r="AG82">
        <f>IF(UnitHead!Y82&gt;127,127,UnitHead!Y82)</f>
        <v>50</v>
      </c>
      <c r="AH82">
        <f>IF(UnitHead!AC82&gt;127,127,UnitHead!AC82)</f>
        <v>50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>
        <f>UnitHead!L82</f>
        <v>100</v>
      </c>
      <c r="AP82">
        <f>UnitHead!N82</f>
        <v>2</v>
      </c>
      <c r="AQ82">
        <f>UnitHead!P82</f>
        <v>-1</v>
      </c>
      <c r="AR82">
        <f>UnitHead!O82</f>
        <v>100</v>
      </c>
      <c r="AS82">
        <f>UnitHead!Q82</f>
        <v>-1</v>
      </c>
      <c r="AT82" s="5">
        <v>0</v>
      </c>
      <c r="AU82" s="5">
        <v>0</v>
      </c>
      <c r="AV82">
        <f>UnitHead!AL82</f>
        <v>0</v>
      </c>
      <c r="AW82">
        <f>UnitHead!AZ82</f>
        <v>-1</v>
      </c>
      <c r="AX82">
        <f>UnitHead!BA82</f>
        <v>2</v>
      </c>
      <c r="AY82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5">
        <v>0</v>
      </c>
      <c r="B3" s="5" t="s">
        <v>249</v>
      </c>
      <c r="C3" s="2"/>
    </row>
    <row r="4" spans="1:3" x14ac:dyDescent="0.25">
      <c r="A4" s="5">
        <v>1</v>
      </c>
      <c r="B4" s="5" t="s">
        <v>250</v>
      </c>
      <c r="C4" s="2"/>
    </row>
    <row r="5" spans="1:3" x14ac:dyDescent="0.25">
      <c r="A5" s="5">
        <v>2</v>
      </c>
      <c r="B5" s="5" t="s">
        <v>251</v>
      </c>
      <c r="C5" s="2"/>
    </row>
    <row r="6" spans="1:3" x14ac:dyDescent="0.25">
      <c r="A6" s="5">
        <v>3</v>
      </c>
      <c r="B6" s="5" t="s">
        <v>251</v>
      </c>
      <c r="C6" s="2"/>
    </row>
    <row r="7" spans="1:3" x14ac:dyDescent="0.25">
      <c r="A7" s="5">
        <v>4</v>
      </c>
      <c r="B7" s="5" t="s">
        <v>251</v>
      </c>
      <c r="C7" s="2"/>
    </row>
    <row r="8" spans="1:3" x14ac:dyDescent="0.25">
      <c r="A8" s="5">
        <v>5</v>
      </c>
      <c r="B8" s="5" t="s">
        <v>251</v>
      </c>
      <c r="C8" s="2"/>
    </row>
    <row r="9" spans="1:3" x14ac:dyDescent="0.25">
      <c r="A9" s="5">
        <v>6</v>
      </c>
      <c r="B9" s="5" t="s">
        <v>251</v>
      </c>
      <c r="C9" s="2"/>
    </row>
    <row r="10" spans="1:3" x14ac:dyDescent="0.25">
      <c r="A10" s="5">
        <v>7</v>
      </c>
      <c r="B10" s="5" t="s">
        <v>251</v>
      </c>
      <c r="C10" s="2"/>
    </row>
    <row r="11" spans="1:3" x14ac:dyDescent="0.25">
      <c r="A11" s="5">
        <v>8</v>
      </c>
      <c r="B11" s="5" t="s">
        <v>251</v>
      </c>
      <c r="C11" s="2"/>
    </row>
    <row r="12" spans="1:3" x14ac:dyDescent="0.25">
      <c r="A12" s="5">
        <v>9</v>
      </c>
      <c r="B12" s="5" t="s">
        <v>251</v>
      </c>
      <c r="C12" s="2"/>
    </row>
    <row r="13" spans="1:3" x14ac:dyDescent="0.25">
      <c r="A13" s="5">
        <v>10</v>
      </c>
      <c r="B13" s="5" t="s">
        <v>251</v>
      </c>
      <c r="C13" s="2"/>
    </row>
    <row r="14" spans="1:3" x14ac:dyDescent="0.25">
      <c r="A14" s="5">
        <v>11</v>
      </c>
      <c r="B14" s="5" t="s">
        <v>251</v>
      </c>
      <c r="C14" s="2"/>
    </row>
    <row r="15" spans="1:3" x14ac:dyDescent="0.25">
      <c r="A15" s="5">
        <v>12</v>
      </c>
      <c r="B15" s="5" t="s">
        <v>251</v>
      </c>
      <c r="C15" s="2"/>
    </row>
    <row r="16" spans="1:3" x14ac:dyDescent="0.25">
      <c r="A16" s="5">
        <v>13</v>
      </c>
      <c r="B16" s="5" t="s">
        <v>251</v>
      </c>
      <c r="C16" s="2"/>
    </row>
    <row r="17" spans="1:3" x14ac:dyDescent="0.25">
      <c r="A17" s="5">
        <v>14</v>
      </c>
      <c r="B17" s="5" t="s">
        <v>251</v>
      </c>
      <c r="C17" s="2"/>
    </row>
    <row r="18" spans="1:3" x14ac:dyDescent="0.25">
      <c r="A18" s="5">
        <v>15</v>
      </c>
      <c r="B18" s="5" t="s">
        <v>251</v>
      </c>
      <c r="C18" s="2"/>
    </row>
    <row r="19" spans="1:3" x14ac:dyDescent="0.25">
      <c r="A19" s="5">
        <v>16</v>
      </c>
      <c r="B19" s="5" t="s">
        <v>251</v>
      </c>
      <c r="C19" s="2"/>
    </row>
    <row r="20" spans="1:3" x14ac:dyDescent="0.25">
      <c r="A20" s="5">
        <v>17</v>
      </c>
      <c r="B20" s="5" t="s">
        <v>251</v>
      </c>
      <c r="C20" s="2"/>
    </row>
    <row r="21" spans="1:3" x14ac:dyDescent="0.25">
      <c r="A21" s="5">
        <v>18</v>
      </c>
      <c r="B21" s="5" t="s">
        <v>251</v>
      </c>
      <c r="C21" s="2"/>
    </row>
    <row r="22" spans="1:3" x14ac:dyDescent="0.25">
      <c r="A22" s="5">
        <v>19</v>
      </c>
      <c r="B22" s="5" t="s">
        <v>251</v>
      </c>
      <c r="C22" s="2"/>
    </row>
    <row r="23" spans="1:3" x14ac:dyDescent="0.25">
      <c r="A23" s="5">
        <v>20</v>
      </c>
      <c r="B23" s="5" t="s">
        <v>252</v>
      </c>
      <c r="C23" s="2"/>
    </row>
    <row r="24" spans="1:3" x14ac:dyDescent="0.25">
      <c r="A24" s="5">
        <v>21</v>
      </c>
      <c r="B24" s="5" t="s">
        <v>253</v>
      </c>
      <c r="C24" s="2"/>
    </row>
    <row r="25" spans="1:3" x14ac:dyDescent="0.25">
      <c r="A25" s="5">
        <v>22</v>
      </c>
      <c r="B25" s="5" t="s">
        <v>251</v>
      </c>
      <c r="C25" s="2"/>
    </row>
    <row r="26" spans="1:3" x14ac:dyDescent="0.25">
      <c r="A26" s="5">
        <v>23</v>
      </c>
      <c r="B26" s="5" t="s">
        <v>251</v>
      </c>
      <c r="C26" s="2"/>
    </row>
    <row r="27" spans="1:3" x14ac:dyDescent="0.25">
      <c r="A27" s="5">
        <v>24</v>
      </c>
      <c r="B27" s="5" t="s">
        <v>251</v>
      </c>
      <c r="C27" s="2"/>
    </row>
    <row r="28" spans="1:3" x14ac:dyDescent="0.25">
      <c r="A28" s="5">
        <v>25</v>
      </c>
      <c r="B28" s="5" t="s">
        <v>251</v>
      </c>
      <c r="C28" s="2"/>
    </row>
    <row r="29" spans="1:3" x14ac:dyDescent="0.25">
      <c r="A29" s="5">
        <v>26</v>
      </c>
      <c r="B29" s="5" t="s">
        <v>251</v>
      </c>
      <c r="C29" s="2"/>
    </row>
    <row r="30" spans="1:3" x14ac:dyDescent="0.25">
      <c r="A30" s="5">
        <v>27</v>
      </c>
      <c r="B30" s="5" t="s">
        <v>251</v>
      </c>
      <c r="C30" s="2"/>
    </row>
    <row r="31" spans="1:3" x14ac:dyDescent="0.25">
      <c r="A31" s="5">
        <v>28</v>
      </c>
      <c r="B31" s="5" t="s">
        <v>251</v>
      </c>
      <c r="C31" s="2"/>
    </row>
    <row r="32" spans="1:3" x14ac:dyDescent="0.25">
      <c r="A32" s="5">
        <v>29</v>
      </c>
      <c r="B32" s="5" t="s">
        <v>251</v>
      </c>
      <c r="C32" s="2"/>
    </row>
    <row r="33" spans="1:3" x14ac:dyDescent="0.25">
      <c r="A33" s="5">
        <v>30</v>
      </c>
      <c r="B33" s="5" t="s">
        <v>251</v>
      </c>
      <c r="C33" s="2"/>
    </row>
    <row r="34" spans="1:3" x14ac:dyDescent="0.25">
      <c r="A34" s="5">
        <v>31</v>
      </c>
      <c r="B34" s="5" t="s">
        <v>251</v>
      </c>
      <c r="C34" s="2"/>
    </row>
    <row r="35" spans="1:3" x14ac:dyDescent="0.25">
      <c r="A35" s="5">
        <v>32</v>
      </c>
      <c r="B35" s="5" t="s">
        <v>251</v>
      </c>
      <c r="C35" s="2"/>
    </row>
    <row r="36" spans="1:3" x14ac:dyDescent="0.25">
      <c r="A36" s="5">
        <v>33</v>
      </c>
      <c r="B36" s="5" t="s">
        <v>251</v>
      </c>
      <c r="C36" s="2"/>
    </row>
    <row r="37" spans="1:3" x14ac:dyDescent="0.25">
      <c r="A37" s="5">
        <v>34</v>
      </c>
      <c r="B37" s="5" t="s">
        <v>251</v>
      </c>
      <c r="C37" s="2"/>
    </row>
    <row r="38" spans="1:3" x14ac:dyDescent="0.25">
      <c r="A38" s="5">
        <v>35</v>
      </c>
      <c r="B38" s="5" t="s">
        <v>251</v>
      </c>
      <c r="C38" s="2"/>
    </row>
    <row r="39" spans="1:3" x14ac:dyDescent="0.25">
      <c r="A39" s="5">
        <v>36</v>
      </c>
      <c r="B39" s="5" t="s">
        <v>251</v>
      </c>
      <c r="C39" s="2"/>
    </row>
    <row r="40" spans="1:3" x14ac:dyDescent="0.25">
      <c r="A40" s="5">
        <v>37</v>
      </c>
      <c r="B40" s="5" t="s">
        <v>251</v>
      </c>
      <c r="C40" s="2"/>
    </row>
    <row r="41" spans="1:3" x14ac:dyDescent="0.25">
      <c r="A41" s="5">
        <v>38</v>
      </c>
      <c r="B41" s="5" t="s">
        <v>251</v>
      </c>
      <c r="C41" s="2"/>
    </row>
    <row r="42" spans="1:3" x14ac:dyDescent="0.25">
      <c r="A42" s="5">
        <v>39</v>
      </c>
      <c r="B42" s="5" t="s">
        <v>251</v>
      </c>
      <c r="C42" s="2"/>
    </row>
    <row r="43" spans="1:3" x14ac:dyDescent="0.25">
      <c r="A43" s="5">
        <v>40</v>
      </c>
      <c r="B43" s="5" t="s">
        <v>251</v>
      </c>
      <c r="C43" s="2"/>
    </row>
    <row r="44" spans="1:3" x14ac:dyDescent="0.25">
      <c r="A44" s="5">
        <v>41</v>
      </c>
      <c r="B44" s="5" t="s">
        <v>251</v>
      </c>
      <c r="C44" s="2"/>
    </row>
    <row r="45" spans="1:3" x14ac:dyDescent="0.25">
      <c r="A45" s="5">
        <v>42</v>
      </c>
      <c r="B45" s="5" t="s">
        <v>251</v>
      </c>
      <c r="C45" s="2"/>
    </row>
    <row r="46" spans="1:3" x14ac:dyDescent="0.25">
      <c r="A46" s="5">
        <v>43</v>
      </c>
      <c r="B46" s="5" t="s">
        <v>251</v>
      </c>
      <c r="C46" s="2"/>
    </row>
    <row r="47" spans="1:3" x14ac:dyDescent="0.25">
      <c r="A47" s="5">
        <v>44</v>
      </c>
      <c r="B47" s="5" t="s">
        <v>251</v>
      </c>
      <c r="C47" s="2"/>
    </row>
    <row r="48" spans="1:3" x14ac:dyDescent="0.25">
      <c r="A48" s="5">
        <v>45</v>
      </c>
      <c r="B48" s="5" t="s">
        <v>251</v>
      </c>
      <c r="C48" s="2"/>
    </row>
    <row r="49" spans="1:3" x14ac:dyDescent="0.25">
      <c r="A49" s="5">
        <v>46</v>
      </c>
      <c r="B49" s="5" t="s">
        <v>251</v>
      </c>
      <c r="C49" s="2"/>
    </row>
    <row r="50" spans="1:3" x14ac:dyDescent="0.25">
      <c r="A50" s="5">
        <v>47</v>
      </c>
      <c r="B50" s="5" t="s">
        <v>251</v>
      </c>
      <c r="C50" s="2"/>
    </row>
    <row r="51" spans="1:3" x14ac:dyDescent="0.25">
      <c r="A51" s="5">
        <v>48</v>
      </c>
      <c r="B51" s="5" t="s">
        <v>251</v>
      </c>
      <c r="C51" s="2"/>
    </row>
    <row r="52" spans="1:3" x14ac:dyDescent="0.25">
      <c r="A52" s="5">
        <v>49</v>
      </c>
      <c r="B52" s="5" t="s">
        <v>251</v>
      </c>
      <c r="C52" s="2"/>
    </row>
    <row r="53" spans="1:3" x14ac:dyDescent="0.25">
      <c r="A53" s="5">
        <v>50</v>
      </c>
      <c r="B53" s="5" t="s">
        <v>251</v>
      </c>
      <c r="C53" s="2"/>
    </row>
    <row r="54" spans="1:3" x14ac:dyDescent="0.25">
      <c r="A54" s="5">
        <v>51</v>
      </c>
      <c r="B54" s="5" t="s">
        <v>251</v>
      </c>
      <c r="C54" s="2"/>
    </row>
    <row r="55" spans="1:3" x14ac:dyDescent="0.25">
      <c r="A55" s="5">
        <v>52</v>
      </c>
      <c r="B55" s="5" t="s">
        <v>251</v>
      </c>
      <c r="C55" s="2"/>
    </row>
    <row r="56" spans="1:3" x14ac:dyDescent="0.25">
      <c r="A56" s="5">
        <v>53</v>
      </c>
      <c r="B56" s="5" t="s">
        <v>251</v>
      </c>
      <c r="C56" s="2"/>
    </row>
    <row r="57" spans="1:3" x14ac:dyDescent="0.25">
      <c r="A57" s="5">
        <v>54</v>
      </c>
      <c r="B57" s="5" t="s">
        <v>251</v>
      </c>
      <c r="C57" s="2"/>
    </row>
    <row r="58" spans="1:3" x14ac:dyDescent="0.25">
      <c r="A58" s="5">
        <v>55</v>
      </c>
      <c r="B58" s="5" t="s">
        <v>251</v>
      </c>
      <c r="C58" s="2"/>
    </row>
    <row r="59" spans="1:3" x14ac:dyDescent="0.25">
      <c r="A59" s="5">
        <v>56</v>
      </c>
      <c r="B59" s="5" t="s">
        <v>251</v>
      </c>
      <c r="C59" s="2"/>
    </row>
    <row r="60" spans="1:3" x14ac:dyDescent="0.25">
      <c r="A60" s="5">
        <v>57</v>
      </c>
      <c r="B60" s="5" t="s">
        <v>251</v>
      </c>
      <c r="C60" s="2"/>
    </row>
    <row r="61" spans="1:3" x14ac:dyDescent="0.25">
      <c r="A61" s="5">
        <v>58</v>
      </c>
      <c r="B61" s="5" t="s">
        <v>251</v>
      </c>
      <c r="C61" s="2"/>
    </row>
    <row r="62" spans="1:3" x14ac:dyDescent="0.25">
      <c r="A62" s="5">
        <v>59</v>
      </c>
      <c r="B62" s="5" t="s">
        <v>251</v>
      </c>
      <c r="C62" s="2"/>
    </row>
    <row r="63" spans="1:3" x14ac:dyDescent="0.25">
      <c r="A63" s="5">
        <v>60</v>
      </c>
      <c r="B63" s="5" t="s">
        <v>251</v>
      </c>
      <c r="C63" s="2"/>
    </row>
    <row r="64" spans="1:3" x14ac:dyDescent="0.25">
      <c r="A64" s="5">
        <v>61</v>
      </c>
      <c r="B64" s="5" t="s">
        <v>251</v>
      </c>
      <c r="C64" s="2"/>
    </row>
    <row r="65" spans="1:3" x14ac:dyDescent="0.25">
      <c r="A65" s="5">
        <v>62</v>
      </c>
      <c r="B65" s="5" t="s">
        <v>251</v>
      </c>
      <c r="C65" s="2"/>
    </row>
    <row r="66" spans="1:3" x14ac:dyDescent="0.25">
      <c r="A66" s="5">
        <v>63</v>
      </c>
      <c r="B66" s="5" t="s">
        <v>251</v>
      </c>
      <c r="C66" s="2"/>
    </row>
    <row r="67" spans="1:3" x14ac:dyDescent="0.25">
      <c r="A67" s="5">
        <v>64</v>
      </c>
      <c r="B67" s="5" t="s">
        <v>251</v>
      </c>
      <c r="C67" s="2"/>
    </row>
    <row r="68" spans="1:3" x14ac:dyDescent="0.25">
      <c r="A68" s="5">
        <v>65</v>
      </c>
      <c r="B68" s="5" t="s">
        <v>251</v>
      </c>
      <c r="C68" s="2"/>
    </row>
    <row r="69" spans="1:3" x14ac:dyDescent="0.25">
      <c r="A69" s="5">
        <v>66</v>
      </c>
      <c r="B69" s="5" t="s">
        <v>251</v>
      </c>
      <c r="C69" s="2"/>
    </row>
    <row r="70" spans="1:3" x14ac:dyDescent="0.25">
      <c r="A70" s="5">
        <v>67</v>
      </c>
      <c r="B70" s="5" t="s">
        <v>251</v>
      </c>
      <c r="C70" s="2"/>
    </row>
    <row r="71" spans="1:3" x14ac:dyDescent="0.25">
      <c r="A71" s="5">
        <v>68</v>
      </c>
      <c r="B71" s="5" t="s">
        <v>251</v>
      </c>
      <c r="C71" s="2"/>
    </row>
    <row r="72" spans="1:3" x14ac:dyDescent="0.25">
      <c r="A72" s="5">
        <v>69</v>
      </c>
      <c r="B72" s="5" t="s">
        <v>251</v>
      </c>
      <c r="C72" s="2"/>
    </row>
    <row r="73" spans="1:3" x14ac:dyDescent="0.25">
      <c r="A73" s="5">
        <v>70</v>
      </c>
      <c r="B73" s="5" t="s">
        <v>251</v>
      </c>
      <c r="C73" s="2"/>
    </row>
    <row r="74" spans="1:3" x14ac:dyDescent="0.25">
      <c r="A74" s="5">
        <v>71</v>
      </c>
      <c r="B74" s="5" t="s">
        <v>251</v>
      </c>
      <c r="C74" s="2"/>
    </row>
    <row r="75" spans="1:3" x14ac:dyDescent="0.25">
      <c r="A75" s="5">
        <v>72</v>
      </c>
      <c r="B75" s="5" t="s">
        <v>251</v>
      </c>
      <c r="C75" s="2"/>
    </row>
    <row r="76" spans="1:3" x14ac:dyDescent="0.25">
      <c r="A76" s="5">
        <v>73</v>
      </c>
      <c r="B76" s="5" t="s">
        <v>251</v>
      </c>
      <c r="C76" s="2"/>
    </row>
    <row r="77" spans="1:3" x14ac:dyDescent="0.25">
      <c r="A77" s="5">
        <v>74</v>
      </c>
      <c r="B77" s="5" t="s">
        <v>251</v>
      </c>
      <c r="C77" s="2"/>
    </row>
    <row r="78" spans="1:3" x14ac:dyDescent="0.25">
      <c r="A78" s="5">
        <v>75</v>
      </c>
      <c r="B78" s="5" t="s">
        <v>251</v>
      </c>
      <c r="C78" s="2"/>
    </row>
    <row r="79" spans="1:3" x14ac:dyDescent="0.25">
      <c r="A79" s="5">
        <v>76</v>
      </c>
      <c r="B79" s="5" t="s">
        <v>251</v>
      </c>
      <c r="C79" s="2"/>
    </row>
    <row r="80" spans="1:3" x14ac:dyDescent="0.25">
      <c r="A80" s="5">
        <v>77</v>
      </c>
      <c r="B80" s="5" t="s">
        <v>251</v>
      </c>
      <c r="C80" s="2"/>
    </row>
    <row r="81" spans="1:3" x14ac:dyDescent="0.25">
      <c r="A81" s="5">
        <v>78</v>
      </c>
      <c r="B81" s="5" t="s">
        <v>251</v>
      </c>
      <c r="C81" s="2"/>
    </row>
    <row r="82" spans="1:3" x14ac:dyDescent="0.25">
      <c r="A82" s="5">
        <v>79</v>
      </c>
      <c r="B82" s="5" t="s">
        <v>251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UnitHead</vt:lpstr>
      <vt:lpstr>37decrypt</vt:lpstr>
      <vt:lpstr>37desc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2025-12-19T05:18:49Z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2025-12-17T11:21:15Z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8f5d4c4e-8f54-409b-b433-855056de3e22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