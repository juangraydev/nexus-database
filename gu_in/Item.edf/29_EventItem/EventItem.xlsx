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10E1C972-899D-492C-B183-4FD1AC1108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Item" sheetId="1" r:id="rId1"/>
    <sheet name="29decrypt" sheetId="3" r:id="rId2"/>
    <sheet name="29des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6" i="3"/>
  <c r="B6" i="3"/>
  <c r="A6" i="3"/>
  <c r="D5" i="3"/>
  <c r="B5" i="3"/>
  <c r="A5" i="3"/>
  <c r="D4" i="3"/>
  <c r="B4" i="3"/>
  <c r="A4" i="3"/>
  <c r="D3" i="3"/>
  <c r="B3" i="3"/>
  <c r="A3" i="3"/>
  <c r="D2" i="3"/>
  <c r="B2" i="3"/>
  <c r="A2" i="3"/>
</calcChain>
</file>

<file path=xl/sharedStrings.xml><?xml version="1.0" encoding="utf-8"?>
<sst xmlns="http://schemas.openxmlformats.org/spreadsheetml/2006/main" count="76" uniqueCount="46">
  <si>
    <t>string[64]</t>
  </si>
  <si>
    <t>dword</t>
  </si>
  <si>
    <t>END</t>
  </si>
  <si>
    <t>Code</t>
  </si>
  <si>
    <t>Icon</t>
  </si>
  <si>
    <t>Name</t>
  </si>
  <si>
    <t>ToolTip</t>
  </si>
  <si>
    <t>evddd01</t>
  </si>
  <si>
    <t>evddd02</t>
  </si>
  <si>
    <t>evddd03</t>
  </si>
  <si>
    <t>evddd04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</si>
  <si>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</si>
  <si>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</si>
  <si>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</si>
  <si>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</si>
  <si>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</si>
  <si>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</si>
  <si>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</si>
  <si>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</si>
  <si>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</si>
  <si>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IsCash</t>
  </si>
  <si>
    <t>UpLvLim</t>
  </si>
  <si>
    <t>Model</t>
  </si>
  <si>
    <t>Civil</t>
  </si>
  <si>
    <t>Money</t>
  </si>
  <si>
    <t>StdPrice</t>
  </si>
  <si>
    <t>StdPoint</t>
  </si>
  <si>
    <t>GoldPoint</t>
  </si>
  <si>
    <t>ProcPoint</t>
  </si>
  <si>
    <t>KillPoint</t>
  </si>
  <si>
    <t>StorePrice</t>
  </si>
  <si>
    <t>IsExchange</t>
  </si>
  <si>
    <t>IsSell</t>
  </si>
  <si>
    <t>IsGround</t>
  </si>
  <si>
    <t>IsStore</t>
  </si>
  <si>
    <t>IsExist</t>
  </si>
  <si>
    <t>IsTime</t>
  </si>
  <si>
    <t>hz</t>
  </si>
  <si>
    <t>text</t>
  </si>
  <si>
    <t>Desc</t>
  </si>
  <si>
    <t>Broken Tombstone</t>
  </si>
  <si>
    <t>Key of Darkness</t>
  </si>
  <si>
    <t>Crystal of fire</t>
  </si>
  <si>
    <t>Broken Crystal</t>
  </si>
  <si>
    <t>A30200</t>
  </si>
  <si>
    <t>11111000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</si>
</sst>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8" sqref="E8"/>
    </sheetView>
  </sheetViews>
  <sheetFormatPr defaultRowHeight="14.4" x14ac:dyDescent="0.3"/>
  <cols>
    <col min="1" max="1" width="9.44140625" bestFit="1" customWidth="1"/>
    <col min="2" max="2" width="6.6640625" bestFit="1" customWidth="1"/>
    <col min="3" max="3" width="21.44140625" bestFit="1" customWidth="1"/>
    <col min="4" max="4" width="9.44140625" bestFit="1" customWidth="1"/>
    <col min="5" max="5" width="4.6640625" bestFit="1" customWidth="1"/>
  </cols>
  <sheetData>
    <row r="1" spans="1:5" x14ac:dyDescent="0.3">
      <c r="A1" s="1" t="s">
        <v>0</v>
      </c>
      <c r="B1" s="1" t="s">
        <v>1</v>
      </c>
      <c r="C1" s="1" t="s">
        <v>0</v>
      </c>
      <c r="D1" s="1" t="s">
        <v>0</v>
      </c>
      <c r="E1" s="1" t="s">
        <v>2</v>
      </c>
    </row>
    <row r="2" spans="1:5" x14ac:dyDescent="0.3">
      <c r="A2" s="1" t="s">
        <v>3</v>
      </c>
      <c r="B2" s="1" t="s">
        <v>4</v>
      </c>
      <c r="C2" s="1" t="s">
        <v>5</v>
      </c>
      <c r="D2" s="1" t="s">
        <v>6</v>
      </c>
      <c r="E2" s="1"/>
    </row>
    <row r="3" spans="1:5" x14ac:dyDescent="0.3">
      <c r="A3" s="2" t="s">
        <v>7</v>
      </c>
      <c r="B3" s="2">
        <v>0</v>
      </c>
      <c r="C3" s="2" t="s">
        <v>40</v>
      </c>
      <c r="D3" s="1" t="str">
        <f>"t"&amp;A3</f>
        <v>tevddd01</v>
      </c>
      <c r="E3" s="1"/>
    </row>
    <row r="4" spans="1:5" x14ac:dyDescent="0.3">
      <c r="A4" s="2" t="s">
        <v>8</v>
      </c>
      <c r="B4" s="2">
        <v>0</v>
      </c>
      <c r="C4" s="2" t="s">
        <v>41</v>
      </c>
      <c r="D4" s="1" t="str">
        <f t="shared" ref="D4:D6" si="0">"t"&amp;A4</f>
        <v>tevddd02</v>
      </c>
      <c r="E4" s="1"/>
    </row>
    <row r="5" spans="1:5" x14ac:dyDescent="0.3">
      <c r="A5" s="2" t="s">
        <v>9</v>
      </c>
      <c r="B5" s="2">
        <v>0</v>
      </c>
      <c r="C5" s="2" t="s">
        <v>42</v>
      </c>
      <c r="D5" s="1" t="str">
        <f t="shared" si="0"/>
        <v>tevddd03</v>
      </c>
      <c r="E5" s="1"/>
    </row>
    <row r="6" spans="1:5" x14ac:dyDescent="0.3">
      <c r="A6" s="2" t="s">
        <v>10</v>
      </c>
      <c r="B6" s="2">
        <v>0</v>
      </c>
      <c r="C6" s="2" t="s">
        <v>43</v>
      </c>
      <c r="D6" s="1" t="str">
        <f t="shared" si="0"/>
        <v>tevddd04</v>
      </c>
      <c r="E6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8.5546875" bestFit="1" customWidth="1"/>
    <col min="2" max="2" width="21.44140625" bestFit="1" customWidth="1"/>
    <col min="3" max="3" width="9.44140625" customWidth="1"/>
    <col min="4" max="4" width="10" customWidth="1"/>
    <col min="5" max="5" width="10.5546875" customWidth="1"/>
    <col min="6" max="6" width="5.88671875" bestFit="1" customWidth="1"/>
    <col min="7" max="7" width="7.109375" bestFit="1" customWidth="1"/>
    <col min="8" max="8" width="5.5546875" bestFit="1" customWidth="1"/>
    <col min="9" max="9" width="8.33203125" bestFit="1" customWidth="1"/>
    <col min="10" max="10" width="8.5546875" bestFit="1" customWidth="1"/>
    <col min="11" max="11" width="9.88671875" bestFit="1" customWidth="1"/>
    <col min="12" max="12" width="9.5546875" bestFit="1" customWidth="1"/>
    <col min="13" max="13" width="8.5546875" bestFit="1" customWidth="1"/>
    <col min="14" max="14" width="10.109375" bestFit="1" customWidth="1"/>
    <col min="15" max="15" width="10.6640625" bestFit="1" customWidth="1"/>
    <col min="16" max="16" width="6.6640625" bestFit="1" customWidth="1"/>
    <col min="17" max="17" width="9" bestFit="1" customWidth="1"/>
    <col min="18" max="18" width="7.109375" bestFit="1" customWidth="1"/>
    <col min="19" max="19" width="11" bestFit="1" customWidth="1"/>
    <col min="20" max="21" width="6.6640625" bestFit="1" customWidth="1"/>
    <col min="22" max="22" width="6.88671875" bestFit="1" customWidth="1"/>
    <col min="23" max="23" width="8.44140625" bestFit="1" customWidth="1"/>
    <col min="24" max="24" width="6.6640625" bestFit="1" customWidth="1"/>
    <col min="25" max="25" width="4.6640625" bestFit="1" customWidth="1"/>
  </cols>
  <sheetData>
    <row r="1" spans="1:25" x14ac:dyDescent="0.3">
      <c r="A1" t="s">
        <v>11</v>
      </c>
      <c r="B1" t="s">
        <v>0</v>
      </c>
      <c r="C1" t="s">
        <v>12</v>
      </c>
      <c r="D1" t="s">
        <v>1</v>
      </c>
      <c r="E1" t="s">
        <v>13</v>
      </c>
      <c r="F1" t="s">
        <v>14</v>
      </c>
      <c r="G1" t="s">
        <v>14</v>
      </c>
      <c r="H1" t="s">
        <v>15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2</v>
      </c>
    </row>
    <row r="2" spans="1:25" x14ac:dyDescent="0.3">
      <c r="A2" t="str">
        <f>EventItem!A2</f>
        <v>Code</v>
      </c>
      <c r="B2" t="str">
        <f>EventItem!C2</f>
        <v>Name</v>
      </c>
      <c r="C2" t="s">
        <v>22</v>
      </c>
      <c r="D2" t="str">
        <f>EventItem!B2</f>
        <v>Icon</v>
      </c>
      <c r="E2" t="s">
        <v>23</v>
      </c>
      <c r="F2" t="s">
        <v>17</v>
      </c>
      <c r="G2" t="s">
        <v>24</v>
      </c>
      <c r="H2" t="s">
        <v>18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19</v>
      </c>
      <c r="T2" t="s">
        <v>35</v>
      </c>
      <c r="U2" t="s">
        <v>20</v>
      </c>
      <c r="V2" t="s">
        <v>36</v>
      </c>
      <c r="W2" t="s">
        <v>21</v>
      </c>
      <c r="X2" t="s">
        <v>37</v>
      </c>
    </row>
    <row r="3" spans="1:25" x14ac:dyDescent="0.3">
      <c r="A3" t="str">
        <f>EventItem!A3</f>
        <v>evddd01</v>
      </c>
      <c r="B3" t="str">
        <f>EventItem!C3</f>
        <v>Broken Tombstone</v>
      </c>
      <c r="C3" s="3" t="s">
        <v>44</v>
      </c>
      <c r="D3">
        <f>EventItem!B3</f>
        <v>0</v>
      </c>
      <c r="E3" s="3" t="s">
        <v>45</v>
      </c>
      <c r="F3" s="3">
        <v>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1342177279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5" x14ac:dyDescent="0.3">
      <c r="A4" t="str">
        <f>EventItem!A4</f>
        <v>evddd02</v>
      </c>
      <c r="B4" t="str">
        <f>EventItem!C4</f>
        <v>Key of Darkness</v>
      </c>
      <c r="C4" s="3" t="s">
        <v>44</v>
      </c>
      <c r="D4">
        <f>EventItem!B4</f>
        <v>0</v>
      </c>
      <c r="E4" s="3" t="s">
        <v>45</v>
      </c>
      <c r="F4" s="3">
        <v>29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1342177279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5" x14ac:dyDescent="0.3">
      <c r="A5" t="str">
        <f>EventItem!A5</f>
        <v>evddd03</v>
      </c>
      <c r="B5" t="str">
        <f>EventItem!C5</f>
        <v>Crystal of fire</v>
      </c>
      <c r="C5" s="3" t="s">
        <v>44</v>
      </c>
      <c r="D5">
        <f>EventItem!B5</f>
        <v>0</v>
      </c>
      <c r="E5" s="3" t="s">
        <v>45</v>
      </c>
      <c r="F5" s="3">
        <v>29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1342177279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5" x14ac:dyDescent="0.3">
      <c r="A6" t="str">
        <f>EventItem!A6</f>
        <v>evddd04</v>
      </c>
      <c r="B6" t="str">
        <f>EventItem!C6</f>
        <v>Broken Crystal</v>
      </c>
      <c r="C6" s="3" t="s">
        <v>44</v>
      </c>
      <c r="D6">
        <f>EventItem!B6</f>
        <v>0</v>
      </c>
      <c r="E6" s="3" t="s">
        <v>45</v>
      </c>
      <c r="F6" s="3">
        <v>29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1342177279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2" topLeftCell="A3" activePane="bottomLeft" state="frozen"/>
      <selection pane="bottomLeft"/>
    </sheetView>
  </sheetViews>
  <sheetFormatPr defaultRowHeight="14.4" x14ac:dyDescent="0.3"/>
  <sheetData>
    <row r="1" spans="1:3" x14ac:dyDescent="0.3">
      <c r="A1" t="s">
        <v>1</v>
      </c>
      <c r="B1" t="s">
        <v>38</v>
      </c>
      <c r="C1" t="s">
        <v>2</v>
      </c>
    </row>
    <row r="2" spans="1:3" x14ac:dyDescent="0.3">
      <c r="A2" t="s">
        <v>16</v>
      </c>
      <c r="B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EventItem</vt:lpstr>
      <vt:lpstr>29decrypt</vt:lpstr>
      <vt:lpstr>29desc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2025-10-30T14:54:08Z</dcterms:modified>
</cp:coreProperties>
</file>