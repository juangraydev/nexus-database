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31"/>
  <workbookPr filterPrivacy="1" defaultThemeVersion="124226"/>
  <xr:revisionPtr revIDLastSave="0" documentId="13_ncr:1_{A6576818-D37B-4EEF-9FEB-43CC6DFF6411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UnitArms" sheetId="1" r:id="rId1"/>
    <sheet name="40decrypt" sheetId="3" r:id="rId2"/>
    <sheet name="40desc" sheetId="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Y82" i="1" l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5" i="1"/>
  <c r="AY4" i="1"/>
  <c r="AY3" i="1"/>
  <c r="BF82" i="3"/>
  <c r="BE82" i="3"/>
  <c r="BD82" i="3"/>
  <c r="BC82" i="3"/>
  <c r="BB82" i="3"/>
  <c r="BA82" i="3"/>
  <c r="AZ82" i="3"/>
  <c r="AY82" i="3"/>
  <c r="AX82" i="3"/>
  <c r="AW82" i="3"/>
  <c r="AV82" i="3"/>
  <c r="AS82" i="3"/>
  <c r="AR82" i="3"/>
  <c r="AQ82" i="3"/>
  <c r="AP82" i="3"/>
  <c r="AO82" i="3"/>
  <c r="AH82" i="3"/>
  <c r="AG82" i="3"/>
  <c r="AF82" i="3"/>
  <c r="AE82" i="3"/>
  <c r="AD82" i="3"/>
  <c r="AC82" i="3"/>
  <c r="AB82" i="3"/>
  <c r="Y82" i="3"/>
  <c r="X82" i="3"/>
  <c r="W82" i="3"/>
  <c r="J82" i="3"/>
  <c r="I82" i="3"/>
  <c r="G82" i="3"/>
  <c r="D82" i="3"/>
  <c r="C82" i="3"/>
  <c r="B82" i="3"/>
  <c r="A82" i="3"/>
  <c r="BF81" i="3"/>
  <c r="BE81" i="3"/>
  <c r="BD81" i="3"/>
  <c r="BC81" i="3"/>
  <c r="BB81" i="3"/>
  <c r="BA81" i="3"/>
  <c r="AZ81" i="3"/>
  <c r="AY81" i="3"/>
  <c r="AX81" i="3"/>
  <c r="AW81" i="3"/>
  <c r="AV81" i="3"/>
  <c r="AS81" i="3"/>
  <c r="AR81" i="3"/>
  <c r="AQ81" i="3"/>
  <c r="AP81" i="3"/>
  <c r="AO81" i="3"/>
  <c r="AH81" i="3"/>
  <c r="AG81" i="3"/>
  <c r="AF81" i="3"/>
  <c r="AE81" i="3"/>
  <c r="AD81" i="3"/>
  <c r="AC81" i="3"/>
  <c r="AB81" i="3"/>
  <c r="Y81" i="3"/>
  <c r="X81" i="3"/>
  <c r="W81" i="3"/>
  <c r="J81" i="3"/>
  <c r="I81" i="3"/>
  <c r="G81" i="3"/>
  <c r="D81" i="3"/>
  <c r="C81" i="3"/>
  <c r="B81" i="3"/>
  <c r="A81" i="3"/>
  <c r="BF80" i="3"/>
  <c r="BE80" i="3"/>
  <c r="BD80" i="3"/>
  <c r="BC80" i="3"/>
  <c r="BB80" i="3"/>
  <c r="BA80" i="3"/>
  <c r="AZ80" i="3"/>
  <c r="AY80" i="3"/>
  <c r="AX80" i="3"/>
  <c r="AW80" i="3"/>
  <c r="AV80" i="3"/>
  <c r="AS80" i="3"/>
  <c r="AR80" i="3"/>
  <c r="AQ80" i="3"/>
  <c r="AP80" i="3"/>
  <c r="AO80" i="3"/>
  <c r="AH80" i="3"/>
  <c r="AG80" i="3"/>
  <c r="AF80" i="3"/>
  <c r="AE80" i="3"/>
  <c r="AD80" i="3"/>
  <c r="AC80" i="3"/>
  <c r="AB80" i="3"/>
  <c r="Y80" i="3"/>
  <c r="X80" i="3"/>
  <c r="W80" i="3"/>
  <c r="J80" i="3"/>
  <c r="I80" i="3"/>
  <c r="G80" i="3"/>
  <c r="D80" i="3"/>
  <c r="C80" i="3"/>
  <c r="B80" i="3"/>
  <c r="A80" i="3"/>
  <c r="BF79" i="3"/>
  <c r="BE79" i="3"/>
  <c r="BD79" i="3"/>
  <c r="BC79" i="3"/>
  <c r="BB79" i="3"/>
  <c r="BA79" i="3"/>
  <c r="AZ79" i="3"/>
  <c r="AY79" i="3"/>
  <c r="AX79" i="3"/>
  <c r="AW79" i="3"/>
  <c r="AV79" i="3"/>
  <c r="AS79" i="3"/>
  <c r="AR79" i="3"/>
  <c r="AQ79" i="3"/>
  <c r="AP79" i="3"/>
  <c r="AO79" i="3"/>
  <c r="AH79" i="3"/>
  <c r="AG79" i="3"/>
  <c r="AF79" i="3"/>
  <c r="AE79" i="3"/>
  <c r="AD79" i="3"/>
  <c r="AC79" i="3"/>
  <c r="AB79" i="3"/>
  <c r="Y79" i="3"/>
  <c r="X79" i="3"/>
  <c r="W79" i="3"/>
  <c r="J79" i="3"/>
  <c r="I79" i="3"/>
  <c r="G79" i="3"/>
  <c r="D79" i="3"/>
  <c r="C79" i="3"/>
  <c r="B79" i="3"/>
  <c r="A79" i="3"/>
  <c r="BF78" i="3"/>
  <c r="BE78" i="3"/>
  <c r="BD78" i="3"/>
  <c r="BC78" i="3"/>
  <c r="BB78" i="3"/>
  <c r="BA78" i="3"/>
  <c r="AZ78" i="3"/>
  <c r="AY78" i="3"/>
  <c r="AX78" i="3"/>
  <c r="AW78" i="3"/>
  <c r="AV78" i="3"/>
  <c r="AS78" i="3"/>
  <c r="AR78" i="3"/>
  <c r="AQ78" i="3"/>
  <c r="AP78" i="3"/>
  <c r="AO78" i="3"/>
  <c r="AH78" i="3"/>
  <c r="AG78" i="3"/>
  <c r="AF78" i="3"/>
  <c r="AE78" i="3"/>
  <c r="AD78" i="3"/>
  <c r="AC78" i="3"/>
  <c r="AB78" i="3"/>
  <c r="Y78" i="3"/>
  <c r="X78" i="3"/>
  <c r="W78" i="3"/>
  <c r="J78" i="3"/>
  <c r="I78" i="3"/>
  <c r="G78" i="3"/>
  <c r="D78" i="3"/>
  <c r="C78" i="3"/>
  <c r="B78" i="3"/>
  <c r="A78" i="3"/>
  <c r="BF77" i="3"/>
  <c r="BE77" i="3"/>
  <c r="BD77" i="3"/>
  <c r="BC77" i="3"/>
  <c r="BB77" i="3"/>
  <c r="BA77" i="3"/>
  <c r="AZ77" i="3"/>
  <c r="AY77" i="3"/>
  <c r="AX77" i="3"/>
  <c r="AW77" i="3"/>
  <c r="AV77" i="3"/>
  <c r="AS77" i="3"/>
  <c r="AR77" i="3"/>
  <c r="AQ77" i="3"/>
  <c r="AP77" i="3"/>
  <c r="AO77" i="3"/>
  <c r="AH77" i="3"/>
  <c r="AG77" i="3"/>
  <c r="AF77" i="3"/>
  <c r="AE77" i="3"/>
  <c r="AD77" i="3"/>
  <c r="AC77" i="3"/>
  <c r="AB77" i="3"/>
  <c r="Y77" i="3"/>
  <c r="X77" i="3"/>
  <c r="W77" i="3"/>
  <c r="J77" i="3"/>
  <c r="I77" i="3"/>
  <c r="G77" i="3"/>
  <c r="D77" i="3"/>
  <c r="C77" i="3"/>
  <c r="B77" i="3"/>
  <c r="A77" i="3"/>
  <c r="BF76" i="3"/>
  <c r="BE76" i="3"/>
  <c r="BD76" i="3"/>
  <c r="BC76" i="3"/>
  <c r="BB76" i="3"/>
  <c r="BA76" i="3"/>
  <c r="AZ76" i="3"/>
  <c r="AY76" i="3"/>
  <c r="AX76" i="3"/>
  <c r="AW76" i="3"/>
  <c r="AV76" i="3"/>
  <c r="AS76" i="3"/>
  <c r="AR76" i="3"/>
  <c r="AQ76" i="3"/>
  <c r="AP76" i="3"/>
  <c r="AO76" i="3"/>
  <c r="AH76" i="3"/>
  <c r="AG76" i="3"/>
  <c r="AF76" i="3"/>
  <c r="AE76" i="3"/>
  <c r="AD76" i="3"/>
  <c r="AC76" i="3"/>
  <c r="AB76" i="3"/>
  <c r="Y76" i="3"/>
  <c r="X76" i="3"/>
  <c r="W76" i="3"/>
  <c r="J76" i="3"/>
  <c r="I76" i="3"/>
  <c r="G76" i="3"/>
  <c r="D76" i="3"/>
  <c r="C76" i="3"/>
  <c r="B76" i="3"/>
  <c r="A76" i="3"/>
  <c r="BF75" i="3"/>
  <c r="BE75" i="3"/>
  <c r="BD75" i="3"/>
  <c r="BC75" i="3"/>
  <c r="BB75" i="3"/>
  <c r="BA75" i="3"/>
  <c r="AZ75" i="3"/>
  <c r="AY75" i="3"/>
  <c r="AX75" i="3"/>
  <c r="AW75" i="3"/>
  <c r="AV75" i="3"/>
  <c r="AS75" i="3"/>
  <c r="AR75" i="3"/>
  <c r="AQ75" i="3"/>
  <c r="AP75" i="3"/>
  <c r="AO75" i="3"/>
  <c r="AH75" i="3"/>
  <c r="AG75" i="3"/>
  <c r="AF75" i="3"/>
  <c r="AE75" i="3"/>
  <c r="AD75" i="3"/>
  <c r="AC75" i="3"/>
  <c r="AB75" i="3"/>
  <c r="Y75" i="3"/>
  <c r="X75" i="3"/>
  <c r="W75" i="3"/>
  <c r="J75" i="3"/>
  <c r="I75" i="3"/>
  <c r="G75" i="3"/>
  <c r="D75" i="3"/>
  <c r="C75" i="3"/>
  <c r="B75" i="3"/>
  <c r="A75" i="3"/>
  <c r="BF74" i="3"/>
  <c r="BE74" i="3"/>
  <c r="BD74" i="3"/>
  <c r="BC74" i="3"/>
  <c r="BB74" i="3"/>
  <c r="BA74" i="3"/>
  <c r="AZ74" i="3"/>
  <c r="AY74" i="3"/>
  <c r="AX74" i="3"/>
  <c r="AW74" i="3"/>
  <c r="AV74" i="3"/>
  <c r="AS74" i="3"/>
  <c r="AR74" i="3"/>
  <c r="AQ74" i="3"/>
  <c r="AP74" i="3"/>
  <c r="AO74" i="3"/>
  <c r="AH74" i="3"/>
  <c r="AG74" i="3"/>
  <c r="AF74" i="3"/>
  <c r="AE74" i="3"/>
  <c r="AD74" i="3"/>
  <c r="AC74" i="3"/>
  <c r="AB74" i="3"/>
  <c r="Y74" i="3"/>
  <c r="X74" i="3"/>
  <c r="W74" i="3"/>
  <c r="J74" i="3"/>
  <c r="I74" i="3"/>
  <c r="G74" i="3"/>
  <c r="D74" i="3"/>
  <c r="C74" i="3"/>
  <c r="B74" i="3"/>
  <c r="A74" i="3"/>
  <c r="BF73" i="3"/>
  <c r="BE73" i="3"/>
  <c r="BD73" i="3"/>
  <c r="BC73" i="3"/>
  <c r="BB73" i="3"/>
  <c r="BA73" i="3"/>
  <c r="AZ73" i="3"/>
  <c r="AY73" i="3"/>
  <c r="AX73" i="3"/>
  <c r="AW73" i="3"/>
  <c r="AV73" i="3"/>
  <c r="AS73" i="3"/>
  <c r="AR73" i="3"/>
  <c r="AQ73" i="3"/>
  <c r="AP73" i="3"/>
  <c r="AO73" i="3"/>
  <c r="AH73" i="3"/>
  <c r="AG73" i="3"/>
  <c r="AF73" i="3"/>
  <c r="AE73" i="3"/>
  <c r="AD73" i="3"/>
  <c r="AC73" i="3"/>
  <c r="AB73" i="3"/>
  <c r="Y73" i="3"/>
  <c r="X73" i="3"/>
  <c r="W73" i="3"/>
  <c r="J73" i="3"/>
  <c r="I73" i="3"/>
  <c r="G73" i="3"/>
  <c r="D73" i="3"/>
  <c r="C73" i="3"/>
  <c r="B73" i="3"/>
  <c r="A73" i="3"/>
  <c r="BF72" i="3"/>
  <c r="BE72" i="3"/>
  <c r="BD72" i="3"/>
  <c r="BC72" i="3"/>
  <c r="BB72" i="3"/>
  <c r="BA72" i="3"/>
  <c r="AZ72" i="3"/>
  <c r="AY72" i="3"/>
  <c r="AX72" i="3"/>
  <c r="AW72" i="3"/>
  <c r="AV72" i="3"/>
  <c r="AS72" i="3"/>
  <c r="AR72" i="3"/>
  <c r="AQ72" i="3"/>
  <c r="AP72" i="3"/>
  <c r="AO72" i="3"/>
  <c r="AH72" i="3"/>
  <c r="AG72" i="3"/>
  <c r="AF72" i="3"/>
  <c r="AE72" i="3"/>
  <c r="AD72" i="3"/>
  <c r="AC72" i="3"/>
  <c r="AB72" i="3"/>
  <c r="Y72" i="3"/>
  <c r="X72" i="3"/>
  <c r="W72" i="3"/>
  <c r="J72" i="3"/>
  <c r="I72" i="3"/>
  <c r="G72" i="3"/>
  <c r="D72" i="3"/>
  <c r="C72" i="3"/>
  <c r="B72" i="3"/>
  <c r="A72" i="3"/>
  <c r="BF71" i="3"/>
  <c r="BE71" i="3"/>
  <c r="BD71" i="3"/>
  <c r="BC71" i="3"/>
  <c r="BB71" i="3"/>
  <c r="BA71" i="3"/>
  <c r="AZ71" i="3"/>
  <c r="AY71" i="3"/>
  <c r="AX71" i="3"/>
  <c r="AW71" i="3"/>
  <c r="AV71" i="3"/>
  <c r="AS71" i="3"/>
  <c r="AR71" i="3"/>
  <c r="AQ71" i="3"/>
  <c r="AP71" i="3"/>
  <c r="AO71" i="3"/>
  <c r="AH71" i="3"/>
  <c r="AG71" i="3"/>
  <c r="AF71" i="3"/>
  <c r="AE71" i="3"/>
  <c r="AD71" i="3"/>
  <c r="AC71" i="3"/>
  <c r="AB71" i="3"/>
  <c r="Y71" i="3"/>
  <c r="X71" i="3"/>
  <c r="W71" i="3"/>
  <c r="J71" i="3"/>
  <c r="I71" i="3"/>
  <c r="G71" i="3"/>
  <c r="D71" i="3"/>
  <c r="C71" i="3"/>
  <c r="B71" i="3"/>
  <c r="A71" i="3"/>
  <c r="BF70" i="3"/>
  <c r="BE70" i="3"/>
  <c r="BD70" i="3"/>
  <c r="BC70" i="3"/>
  <c r="BB70" i="3"/>
  <c r="BA70" i="3"/>
  <c r="AZ70" i="3"/>
  <c r="AY70" i="3"/>
  <c r="AX70" i="3"/>
  <c r="AW70" i="3"/>
  <c r="AV70" i="3"/>
  <c r="AS70" i="3"/>
  <c r="AR70" i="3"/>
  <c r="AQ70" i="3"/>
  <c r="AP70" i="3"/>
  <c r="AO70" i="3"/>
  <c r="AH70" i="3"/>
  <c r="AG70" i="3"/>
  <c r="AF70" i="3"/>
  <c r="AE70" i="3"/>
  <c r="AD70" i="3"/>
  <c r="AC70" i="3"/>
  <c r="AB70" i="3"/>
  <c r="Y70" i="3"/>
  <c r="X70" i="3"/>
  <c r="W70" i="3"/>
  <c r="J70" i="3"/>
  <c r="I70" i="3"/>
  <c r="G70" i="3"/>
  <c r="D70" i="3"/>
  <c r="C70" i="3"/>
  <c r="B70" i="3"/>
  <c r="A70" i="3"/>
  <c r="BF69" i="3"/>
  <c r="BE69" i="3"/>
  <c r="BD69" i="3"/>
  <c r="BC69" i="3"/>
  <c r="BB69" i="3"/>
  <c r="BA69" i="3"/>
  <c r="AZ69" i="3"/>
  <c r="AY69" i="3"/>
  <c r="AX69" i="3"/>
  <c r="AW69" i="3"/>
  <c r="AV69" i="3"/>
  <c r="AS69" i="3"/>
  <c r="AR69" i="3"/>
  <c r="AQ69" i="3"/>
  <c r="AP69" i="3"/>
  <c r="AO69" i="3"/>
  <c r="AH69" i="3"/>
  <c r="AG69" i="3"/>
  <c r="AF69" i="3"/>
  <c r="AE69" i="3"/>
  <c r="AD69" i="3"/>
  <c r="AC69" i="3"/>
  <c r="AB69" i="3"/>
  <c r="Y69" i="3"/>
  <c r="X69" i="3"/>
  <c r="W69" i="3"/>
  <c r="J69" i="3"/>
  <c r="I69" i="3"/>
  <c r="G69" i="3"/>
  <c r="D69" i="3"/>
  <c r="C69" i="3"/>
  <c r="B69" i="3"/>
  <c r="A69" i="3"/>
  <c r="BF68" i="3"/>
  <c r="BE68" i="3"/>
  <c r="BD68" i="3"/>
  <c r="BC68" i="3"/>
  <c r="BB68" i="3"/>
  <c r="BA68" i="3"/>
  <c r="AZ68" i="3"/>
  <c r="AY68" i="3"/>
  <c r="AX68" i="3"/>
  <c r="AW68" i="3"/>
  <c r="AV68" i="3"/>
  <c r="AS68" i="3"/>
  <c r="AR68" i="3"/>
  <c r="AQ68" i="3"/>
  <c r="AP68" i="3"/>
  <c r="AO68" i="3"/>
  <c r="AH68" i="3"/>
  <c r="AG68" i="3"/>
  <c r="AF68" i="3"/>
  <c r="AE68" i="3"/>
  <c r="AD68" i="3"/>
  <c r="AC68" i="3"/>
  <c r="AB68" i="3"/>
  <c r="Y68" i="3"/>
  <c r="X68" i="3"/>
  <c r="W68" i="3"/>
  <c r="J68" i="3"/>
  <c r="I68" i="3"/>
  <c r="G68" i="3"/>
  <c r="D68" i="3"/>
  <c r="C68" i="3"/>
  <c r="B68" i="3"/>
  <c r="A68" i="3"/>
  <c r="BF67" i="3"/>
  <c r="BE67" i="3"/>
  <c r="BD67" i="3"/>
  <c r="BC67" i="3"/>
  <c r="BB67" i="3"/>
  <c r="BA67" i="3"/>
  <c r="AZ67" i="3"/>
  <c r="AY67" i="3"/>
  <c r="AX67" i="3"/>
  <c r="AW67" i="3"/>
  <c r="AV67" i="3"/>
  <c r="AS67" i="3"/>
  <c r="AR67" i="3"/>
  <c r="AQ67" i="3"/>
  <c r="AP67" i="3"/>
  <c r="AO67" i="3"/>
  <c r="AH67" i="3"/>
  <c r="AG67" i="3"/>
  <c r="AF67" i="3"/>
  <c r="AE67" i="3"/>
  <c r="AD67" i="3"/>
  <c r="AC67" i="3"/>
  <c r="AB67" i="3"/>
  <c r="Y67" i="3"/>
  <c r="X67" i="3"/>
  <c r="W67" i="3"/>
  <c r="J67" i="3"/>
  <c r="I67" i="3"/>
  <c r="G67" i="3"/>
  <c r="D67" i="3"/>
  <c r="C67" i="3"/>
  <c r="B67" i="3"/>
  <c r="A67" i="3"/>
  <c r="BF66" i="3"/>
  <c r="BE66" i="3"/>
  <c r="BD66" i="3"/>
  <c r="BC66" i="3"/>
  <c r="BB66" i="3"/>
  <c r="BA66" i="3"/>
  <c r="AZ66" i="3"/>
  <c r="AY66" i="3"/>
  <c r="AX66" i="3"/>
  <c r="AW66" i="3"/>
  <c r="AV66" i="3"/>
  <c r="AS66" i="3"/>
  <c r="AR66" i="3"/>
  <c r="AQ66" i="3"/>
  <c r="AP66" i="3"/>
  <c r="AO66" i="3"/>
  <c r="AH66" i="3"/>
  <c r="AG66" i="3"/>
  <c r="AF66" i="3"/>
  <c r="AE66" i="3"/>
  <c r="AD66" i="3"/>
  <c r="AC66" i="3"/>
  <c r="AB66" i="3"/>
  <c r="Y66" i="3"/>
  <c r="X66" i="3"/>
  <c r="W66" i="3"/>
  <c r="J66" i="3"/>
  <c r="I66" i="3"/>
  <c r="G66" i="3"/>
  <c r="D66" i="3"/>
  <c r="C66" i="3"/>
  <c r="B66" i="3"/>
  <c r="A66" i="3"/>
  <c r="BF65" i="3"/>
  <c r="BE65" i="3"/>
  <c r="BD65" i="3"/>
  <c r="BC65" i="3"/>
  <c r="BB65" i="3"/>
  <c r="BA65" i="3"/>
  <c r="AZ65" i="3"/>
  <c r="AY65" i="3"/>
  <c r="AX65" i="3"/>
  <c r="AW65" i="3"/>
  <c r="AV65" i="3"/>
  <c r="AS65" i="3"/>
  <c r="AR65" i="3"/>
  <c r="AQ65" i="3"/>
  <c r="AP65" i="3"/>
  <c r="AO65" i="3"/>
  <c r="AH65" i="3"/>
  <c r="AG65" i="3"/>
  <c r="AF65" i="3"/>
  <c r="AE65" i="3"/>
  <c r="AD65" i="3"/>
  <c r="AC65" i="3"/>
  <c r="AB65" i="3"/>
  <c r="Y65" i="3"/>
  <c r="X65" i="3"/>
  <c r="W65" i="3"/>
  <c r="J65" i="3"/>
  <c r="I65" i="3"/>
  <c r="G65" i="3"/>
  <c r="D65" i="3"/>
  <c r="C65" i="3"/>
  <c r="B65" i="3"/>
  <c r="A65" i="3"/>
  <c r="BF64" i="3"/>
  <c r="BE64" i="3"/>
  <c r="BD64" i="3"/>
  <c r="BC64" i="3"/>
  <c r="BB64" i="3"/>
  <c r="BA64" i="3"/>
  <c r="AZ64" i="3"/>
  <c r="AY64" i="3"/>
  <c r="AX64" i="3"/>
  <c r="AW64" i="3"/>
  <c r="AV64" i="3"/>
  <c r="AS64" i="3"/>
  <c r="AR64" i="3"/>
  <c r="AQ64" i="3"/>
  <c r="AP64" i="3"/>
  <c r="AO64" i="3"/>
  <c r="AH64" i="3"/>
  <c r="AG64" i="3"/>
  <c r="AF64" i="3"/>
  <c r="AE64" i="3"/>
  <c r="AD64" i="3"/>
  <c r="AC64" i="3"/>
  <c r="AB64" i="3"/>
  <c r="Y64" i="3"/>
  <c r="X64" i="3"/>
  <c r="W64" i="3"/>
  <c r="J64" i="3"/>
  <c r="I64" i="3"/>
  <c r="G64" i="3"/>
  <c r="D64" i="3"/>
  <c r="C64" i="3"/>
  <c r="B64" i="3"/>
  <c r="A64" i="3"/>
  <c r="BF63" i="3"/>
  <c r="BE63" i="3"/>
  <c r="BD63" i="3"/>
  <c r="BC63" i="3"/>
  <c r="BB63" i="3"/>
  <c r="BA63" i="3"/>
  <c r="AZ63" i="3"/>
  <c r="AY63" i="3"/>
  <c r="AX63" i="3"/>
  <c r="AW63" i="3"/>
  <c r="AV63" i="3"/>
  <c r="AS63" i="3"/>
  <c r="AR63" i="3"/>
  <c r="AQ63" i="3"/>
  <c r="AP63" i="3"/>
  <c r="AO63" i="3"/>
  <c r="AH63" i="3"/>
  <c r="AG63" i="3"/>
  <c r="AF63" i="3"/>
  <c r="AE63" i="3"/>
  <c r="AD63" i="3"/>
  <c r="AC63" i="3"/>
  <c r="AB63" i="3"/>
  <c r="Y63" i="3"/>
  <c r="X63" i="3"/>
  <c r="W63" i="3"/>
  <c r="J63" i="3"/>
  <c r="I63" i="3"/>
  <c r="G63" i="3"/>
  <c r="D63" i="3"/>
  <c r="C63" i="3"/>
  <c r="B63" i="3"/>
  <c r="A63" i="3"/>
  <c r="BF62" i="3"/>
  <c r="BE62" i="3"/>
  <c r="BD62" i="3"/>
  <c r="BC62" i="3"/>
  <c r="BB62" i="3"/>
  <c r="BA62" i="3"/>
  <c r="AZ62" i="3"/>
  <c r="AY62" i="3"/>
  <c r="AX62" i="3"/>
  <c r="AW62" i="3"/>
  <c r="AV62" i="3"/>
  <c r="AS62" i="3"/>
  <c r="AR62" i="3"/>
  <c r="AQ62" i="3"/>
  <c r="AP62" i="3"/>
  <c r="AO62" i="3"/>
  <c r="AH62" i="3"/>
  <c r="AG62" i="3"/>
  <c r="AF62" i="3"/>
  <c r="AE62" i="3"/>
  <c r="AD62" i="3"/>
  <c r="AC62" i="3"/>
  <c r="AB62" i="3"/>
  <c r="Y62" i="3"/>
  <c r="X62" i="3"/>
  <c r="W62" i="3"/>
  <c r="J62" i="3"/>
  <c r="I62" i="3"/>
  <c r="G62" i="3"/>
  <c r="D62" i="3"/>
  <c r="C62" i="3"/>
  <c r="B62" i="3"/>
  <c r="A62" i="3"/>
  <c r="BF61" i="3"/>
  <c r="BE61" i="3"/>
  <c r="BD61" i="3"/>
  <c r="BC61" i="3"/>
  <c r="BB61" i="3"/>
  <c r="BA61" i="3"/>
  <c r="AZ61" i="3"/>
  <c r="AY61" i="3"/>
  <c r="AX61" i="3"/>
  <c r="AW61" i="3"/>
  <c r="AV61" i="3"/>
  <c r="AS61" i="3"/>
  <c r="AR61" i="3"/>
  <c r="AQ61" i="3"/>
  <c r="AP61" i="3"/>
  <c r="AO61" i="3"/>
  <c r="AH61" i="3"/>
  <c r="AG61" i="3"/>
  <c r="AF61" i="3"/>
  <c r="AE61" i="3"/>
  <c r="AD61" i="3"/>
  <c r="AC61" i="3"/>
  <c r="AB61" i="3"/>
  <c r="Y61" i="3"/>
  <c r="X61" i="3"/>
  <c r="W61" i="3"/>
  <c r="J61" i="3"/>
  <c r="I61" i="3"/>
  <c r="G61" i="3"/>
  <c r="D61" i="3"/>
  <c r="C61" i="3"/>
  <c r="B61" i="3"/>
  <c r="A61" i="3"/>
  <c r="BF60" i="3"/>
  <c r="BE60" i="3"/>
  <c r="BD60" i="3"/>
  <c r="BC60" i="3"/>
  <c r="BB60" i="3"/>
  <c r="BA60" i="3"/>
  <c r="AZ60" i="3"/>
  <c r="AY60" i="3"/>
  <c r="AX60" i="3"/>
  <c r="AW60" i="3"/>
  <c r="AV60" i="3"/>
  <c r="AS60" i="3"/>
  <c r="AR60" i="3"/>
  <c r="AQ60" i="3"/>
  <c r="AP60" i="3"/>
  <c r="AO60" i="3"/>
  <c r="AH60" i="3"/>
  <c r="AG60" i="3"/>
  <c r="AF60" i="3"/>
  <c r="AE60" i="3"/>
  <c r="AD60" i="3"/>
  <c r="AC60" i="3"/>
  <c r="AB60" i="3"/>
  <c r="Y60" i="3"/>
  <c r="X60" i="3"/>
  <c r="W60" i="3"/>
  <c r="J60" i="3"/>
  <c r="I60" i="3"/>
  <c r="G60" i="3"/>
  <c r="D60" i="3"/>
  <c r="C60" i="3"/>
  <c r="B60" i="3"/>
  <c r="A60" i="3"/>
  <c r="BF59" i="3"/>
  <c r="BE59" i="3"/>
  <c r="BD59" i="3"/>
  <c r="BC59" i="3"/>
  <c r="BB59" i="3"/>
  <c r="BA59" i="3"/>
  <c r="AZ59" i="3"/>
  <c r="AY59" i="3"/>
  <c r="AX59" i="3"/>
  <c r="AW59" i="3"/>
  <c r="AV59" i="3"/>
  <c r="AS59" i="3"/>
  <c r="AR59" i="3"/>
  <c r="AQ59" i="3"/>
  <c r="AP59" i="3"/>
  <c r="AO59" i="3"/>
  <c r="AH59" i="3"/>
  <c r="AG59" i="3"/>
  <c r="AF59" i="3"/>
  <c r="AE59" i="3"/>
  <c r="AD59" i="3"/>
  <c r="AC59" i="3"/>
  <c r="AB59" i="3"/>
  <c r="Y59" i="3"/>
  <c r="X59" i="3"/>
  <c r="W59" i="3"/>
  <c r="J59" i="3"/>
  <c r="I59" i="3"/>
  <c r="G59" i="3"/>
  <c r="D59" i="3"/>
  <c r="C59" i="3"/>
  <c r="B59" i="3"/>
  <c r="A59" i="3"/>
  <c r="BF58" i="3"/>
  <c r="BE58" i="3"/>
  <c r="BD58" i="3"/>
  <c r="BC58" i="3"/>
  <c r="BB58" i="3"/>
  <c r="BA58" i="3"/>
  <c r="AZ58" i="3"/>
  <c r="AY58" i="3"/>
  <c r="AX58" i="3"/>
  <c r="AW58" i="3"/>
  <c r="AV58" i="3"/>
  <c r="AS58" i="3"/>
  <c r="AR58" i="3"/>
  <c r="AQ58" i="3"/>
  <c r="AP58" i="3"/>
  <c r="AO58" i="3"/>
  <c r="AH58" i="3"/>
  <c r="AG58" i="3"/>
  <c r="AF58" i="3"/>
  <c r="AE58" i="3"/>
  <c r="AD58" i="3"/>
  <c r="AC58" i="3"/>
  <c r="AB58" i="3"/>
  <c r="Y58" i="3"/>
  <c r="X58" i="3"/>
  <c r="W58" i="3"/>
  <c r="J58" i="3"/>
  <c r="I58" i="3"/>
  <c r="G58" i="3"/>
  <c r="D58" i="3"/>
  <c r="C58" i="3"/>
  <c r="B58" i="3"/>
  <c r="A58" i="3"/>
  <c r="BF57" i="3"/>
  <c r="BE57" i="3"/>
  <c r="BD57" i="3"/>
  <c r="BC57" i="3"/>
  <c r="BB57" i="3"/>
  <c r="BA57" i="3"/>
  <c r="AZ57" i="3"/>
  <c r="AY57" i="3"/>
  <c r="AX57" i="3"/>
  <c r="AW57" i="3"/>
  <c r="AV57" i="3"/>
  <c r="AS57" i="3"/>
  <c r="AR57" i="3"/>
  <c r="AQ57" i="3"/>
  <c r="AP57" i="3"/>
  <c r="AO57" i="3"/>
  <c r="AH57" i="3"/>
  <c r="AG57" i="3"/>
  <c r="AF57" i="3"/>
  <c r="AE57" i="3"/>
  <c r="AD57" i="3"/>
  <c r="AC57" i="3"/>
  <c r="AB57" i="3"/>
  <c r="Y57" i="3"/>
  <c r="X57" i="3"/>
  <c r="W57" i="3"/>
  <c r="J57" i="3"/>
  <c r="I57" i="3"/>
  <c r="G57" i="3"/>
  <c r="D57" i="3"/>
  <c r="C57" i="3"/>
  <c r="B57" i="3"/>
  <c r="A57" i="3"/>
  <c r="BF56" i="3"/>
  <c r="BE56" i="3"/>
  <c r="BD56" i="3"/>
  <c r="BC56" i="3"/>
  <c r="BB56" i="3"/>
  <c r="BA56" i="3"/>
  <c r="AZ56" i="3"/>
  <c r="AY56" i="3"/>
  <c r="AX56" i="3"/>
  <c r="AW56" i="3"/>
  <c r="AV56" i="3"/>
  <c r="AS56" i="3"/>
  <c r="AR56" i="3"/>
  <c r="AQ56" i="3"/>
  <c r="AP56" i="3"/>
  <c r="AO56" i="3"/>
  <c r="AH56" i="3"/>
  <c r="AG56" i="3"/>
  <c r="AF56" i="3"/>
  <c r="AE56" i="3"/>
  <c r="AD56" i="3"/>
  <c r="AC56" i="3"/>
  <c r="AB56" i="3"/>
  <c r="Y56" i="3"/>
  <c r="X56" i="3"/>
  <c r="W56" i="3"/>
  <c r="J56" i="3"/>
  <c r="I56" i="3"/>
  <c r="G56" i="3"/>
  <c r="D56" i="3"/>
  <c r="C56" i="3"/>
  <c r="B56" i="3"/>
  <c r="A56" i="3"/>
  <c r="BF55" i="3"/>
  <c r="BE55" i="3"/>
  <c r="BD55" i="3"/>
  <c r="BC55" i="3"/>
  <c r="BB55" i="3"/>
  <c r="BA55" i="3"/>
  <c r="AZ55" i="3"/>
  <c r="AY55" i="3"/>
  <c r="AX55" i="3"/>
  <c r="AW55" i="3"/>
  <c r="AV55" i="3"/>
  <c r="AS55" i="3"/>
  <c r="AR55" i="3"/>
  <c r="AQ55" i="3"/>
  <c r="AP55" i="3"/>
  <c r="AO55" i="3"/>
  <c r="AH55" i="3"/>
  <c r="AG55" i="3"/>
  <c r="AF55" i="3"/>
  <c r="AE55" i="3"/>
  <c r="AD55" i="3"/>
  <c r="AC55" i="3"/>
  <c r="AB55" i="3"/>
  <c r="Y55" i="3"/>
  <c r="X55" i="3"/>
  <c r="W55" i="3"/>
  <c r="J55" i="3"/>
  <c r="I55" i="3"/>
  <c r="G55" i="3"/>
  <c r="D55" i="3"/>
  <c r="C55" i="3"/>
  <c r="B55" i="3"/>
  <c r="A55" i="3"/>
  <c r="BF54" i="3"/>
  <c r="BE54" i="3"/>
  <c r="BD54" i="3"/>
  <c r="BC54" i="3"/>
  <c r="BB54" i="3"/>
  <c r="BA54" i="3"/>
  <c r="AZ54" i="3"/>
  <c r="AY54" i="3"/>
  <c r="AX54" i="3"/>
  <c r="AW54" i="3"/>
  <c r="AV54" i="3"/>
  <c r="AS54" i="3"/>
  <c r="AR54" i="3"/>
  <c r="AQ54" i="3"/>
  <c r="AP54" i="3"/>
  <c r="AO54" i="3"/>
  <c r="AH54" i="3"/>
  <c r="AG54" i="3"/>
  <c r="AF54" i="3"/>
  <c r="AE54" i="3"/>
  <c r="AD54" i="3"/>
  <c r="AC54" i="3"/>
  <c r="AB54" i="3"/>
  <c r="Y54" i="3"/>
  <c r="X54" i="3"/>
  <c r="W54" i="3"/>
  <c r="J54" i="3"/>
  <c r="I54" i="3"/>
  <c r="G54" i="3"/>
  <c r="D54" i="3"/>
  <c r="C54" i="3"/>
  <c r="B54" i="3"/>
  <c r="A54" i="3"/>
  <c r="BF53" i="3"/>
  <c r="BE53" i="3"/>
  <c r="BD53" i="3"/>
  <c r="BC53" i="3"/>
  <c r="BB53" i="3"/>
  <c r="BA53" i="3"/>
  <c r="AZ53" i="3"/>
  <c r="AY53" i="3"/>
  <c r="AX53" i="3"/>
  <c r="AW53" i="3"/>
  <c r="AV53" i="3"/>
  <c r="AS53" i="3"/>
  <c r="AR53" i="3"/>
  <c r="AQ53" i="3"/>
  <c r="AP53" i="3"/>
  <c r="AO53" i="3"/>
  <c r="AH53" i="3"/>
  <c r="AG53" i="3"/>
  <c r="AF53" i="3"/>
  <c r="AE53" i="3"/>
  <c r="AD53" i="3"/>
  <c r="AC53" i="3"/>
  <c r="AB53" i="3"/>
  <c r="Y53" i="3"/>
  <c r="X53" i="3"/>
  <c r="W53" i="3"/>
  <c r="J53" i="3"/>
  <c r="I53" i="3"/>
  <c r="G53" i="3"/>
  <c r="D53" i="3"/>
  <c r="C53" i="3"/>
  <c r="B53" i="3"/>
  <c r="A53" i="3"/>
  <c r="BF52" i="3"/>
  <c r="BE52" i="3"/>
  <c r="BD52" i="3"/>
  <c r="BC52" i="3"/>
  <c r="BB52" i="3"/>
  <c r="BA52" i="3"/>
  <c r="AZ52" i="3"/>
  <c r="AY52" i="3"/>
  <c r="AX52" i="3"/>
  <c r="AW52" i="3"/>
  <c r="AV52" i="3"/>
  <c r="AS52" i="3"/>
  <c r="AR52" i="3"/>
  <c r="AQ52" i="3"/>
  <c r="AP52" i="3"/>
  <c r="AO52" i="3"/>
  <c r="AH52" i="3"/>
  <c r="AG52" i="3"/>
  <c r="AF52" i="3"/>
  <c r="AE52" i="3"/>
  <c r="AD52" i="3"/>
  <c r="AC52" i="3"/>
  <c r="AB52" i="3"/>
  <c r="Y52" i="3"/>
  <c r="X52" i="3"/>
  <c r="W52" i="3"/>
  <c r="J52" i="3"/>
  <c r="I52" i="3"/>
  <c r="G52" i="3"/>
  <c r="D52" i="3"/>
  <c r="C52" i="3"/>
  <c r="B52" i="3"/>
  <c r="A52" i="3"/>
  <c r="BF51" i="3"/>
  <c r="BE51" i="3"/>
  <c r="BD51" i="3"/>
  <c r="BC51" i="3"/>
  <c r="BB51" i="3"/>
  <c r="BA51" i="3"/>
  <c r="AZ51" i="3"/>
  <c r="AY51" i="3"/>
  <c r="AX51" i="3"/>
  <c r="AW51" i="3"/>
  <c r="AV51" i="3"/>
  <c r="AS51" i="3"/>
  <c r="AR51" i="3"/>
  <c r="AQ51" i="3"/>
  <c r="AP51" i="3"/>
  <c r="AO51" i="3"/>
  <c r="AH51" i="3"/>
  <c r="AG51" i="3"/>
  <c r="AF51" i="3"/>
  <c r="AE51" i="3"/>
  <c r="AD51" i="3"/>
  <c r="AC51" i="3"/>
  <c r="AB51" i="3"/>
  <c r="Y51" i="3"/>
  <c r="X51" i="3"/>
  <c r="W51" i="3"/>
  <c r="J51" i="3"/>
  <c r="I51" i="3"/>
  <c r="G51" i="3"/>
  <c r="D51" i="3"/>
  <c r="C51" i="3"/>
  <c r="B51" i="3"/>
  <c r="A51" i="3"/>
  <c r="BF50" i="3"/>
  <c r="BE50" i="3"/>
  <c r="BD50" i="3"/>
  <c r="BC50" i="3"/>
  <c r="BB50" i="3"/>
  <c r="BA50" i="3"/>
  <c r="AZ50" i="3"/>
  <c r="AY50" i="3"/>
  <c r="AX50" i="3"/>
  <c r="AW50" i="3"/>
  <c r="AV50" i="3"/>
  <c r="AS50" i="3"/>
  <c r="AR50" i="3"/>
  <c r="AQ50" i="3"/>
  <c r="AP50" i="3"/>
  <c r="AO50" i="3"/>
  <c r="AH50" i="3"/>
  <c r="AG50" i="3"/>
  <c r="AF50" i="3"/>
  <c r="AE50" i="3"/>
  <c r="AD50" i="3"/>
  <c r="AC50" i="3"/>
  <c r="AB50" i="3"/>
  <c r="Y50" i="3"/>
  <c r="X50" i="3"/>
  <c r="W50" i="3"/>
  <c r="J50" i="3"/>
  <c r="I50" i="3"/>
  <c r="G50" i="3"/>
  <c r="D50" i="3"/>
  <c r="C50" i="3"/>
  <c r="B50" i="3"/>
  <c r="A50" i="3"/>
  <c r="BF49" i="3"/>
  <c r="BE49" i="3"/>
  <c r="BD49" i="3"/>
  <c r="BC49" i="3"/>
  <c r="BB49" i="3"/>
  <c r="BA49" i="3"/>
  <c r="AZ49" i="3"/>
  <c r="AY49" i="3"/>
  <c r="AX49" i="3"/>
  <c r="AW49" i="3"/>
  <c r="AV49" i="3"/>
  <c r="AS49" i="3"/>
  <c r="AR49" i="3"/>
  <c r="AQ49" i="3"/>
  <c r="AP49" i="3"/>
  <c r="AO49" i="3"/>
  <c r="AH49" i="3"/>
  <c r="AG49" i="3"/>
  <c r="AF49" i="3"/>
  <c r="AE49" i="3"/>
  <c r="AD49" i="3"/>
  <c r="AC49" i="3"/>
  <c r="AB49" i="3"/>
  <c r="Y49" i="3"/>
  <c r="X49" i="3"/>
  <c r="W49" i="3"/>
  <c r="J49" i="3"/>
  <c r="I49" i="3"/>
  <c r="G49" i="3"/>
  <c r="D49" i="3"/>
  <c r="C49" i="3"/>
  <c r="B49" i="3"/>
  <c r="A49" i="3"/>
  <c r="BF48" i="3"/>
  <c r="BE48" i="3"/>
  <c r="BD48" i="3"/>
  <c r="BC48" i="3"/>
  <c r="BB48" i="3"/>
  <c r="BA48" i="3"/>
  <c r="AZ48" i="3"/>
  <c r="AY48" i="3"/>
  <c r="AX48" i="3"/>
  <c r="AW48" i="3"/>
  <c r="AV48" i="3"/>
  <c r="AS48" i="3"/>
  <c r="AR48" i="3"/>
  <c r="AQ48" i="3"/>
  <c r="AP48" i="3"/>
  <c r="AO48" i="3"/>
  <c r="AH48" i="3"/>
  <c r="AG48" i="3"/>
  <c r="AF48" i="3"/>
  <c r="AE48" i="3"/>
  <c r="AD48" i="3"/>
  <c r="AC48" i="3"/>
  <c r="AB48" i="3"/>
  <c r="Y48" i="3"/>
  <c r="X48" i="3"/>
  <c r="W48" i="3"/>
  <c r="J48" i="3"/>
  <c r="I48" i="3"/>
  <c r="G48" i="3"/>
  <c r="D48" i="3"/>
  <c r="C48" i="3"/>
  <c r="B48" i="3"/>
  <c r="A48" i="3"/>
  <c r="BF47" i="3"/>
  <c r="BE47" i="3"/>
  <c r="BD47" i="3"/>
  <c r="BC47" i="3"/>
  <c r="BB47" i="3"/>
  <c r="BA47" i="3"/>
  <c r="AZ47" i="3"/>
  <c r="AY47" i="3"/>
  <c r="AX47" i="3"/>
  <c r="AW47" i="3"/>
  <c r="AV47" i="3"/>
  <c r="AS47" i="3"/>
  <c r="AR47" i="3"/>
  <c r="AQ47" i="3"/>
  <c r="AP47" i="3"/>
  <c r="AO47" i="3"/>
  <c r="AH47" i="3"/>
  <c r="AG47" i="3"/>
  <c r="AF47" i="3"/>
  <c r="AE47" i="3"/>
  <c r="AD47" i="3"/>
  <c r="AC47" i="3"/>
  <c r="AB47" i="3"/>
  <c r="Y47" i="3"/>
  <c r="X47" i="3"/>
  <c r="W47" i="3"/>
  <c r="J47" i="3"/>
  <c r="I47" i="3"/>
  <c r="G47" i="3"/>
  <c r="D47" i="3"/>
  <c r="C47" i="3"/>
  <c r="B47" i="3"/>
  <c r="A47" i="3"/>
  <c r="BF46" i="3"/>
  <c r="BE46" i="3"/>
  <c r="BD46" i="3"/>
  <c r="BC46" i="3"/>
  <c r="BB46" i="3"/>
  <c r="BA46" i="3"/>
  <c r="AZ46" i="3"/>
  <c r="AY46" i="3"/>
  <c r="AX46" i="3"/>
  <c r="AW46" i="3"/>
  <c r="AV46" i="3"/>
  <c r="AS46" i="3"/>
  <c r="AR46" i="3"/>
  <c r="AQ46" i="3"/>
  <c r="AP46" i="3"/>
  <c r="AO46" i="3"/>
  <c r="AH46" i="3"/>
  <c r="AG46" i="3"/>
  <c r="AF46" i="3"/>
  <c r="AE46" i="3"/>
  <c r="AD46" i="3"/>
  <c r="AC46" i="3"/>
  <c r="AB46" i="3"/>
  <c r="Y46" i="3"/>
  <c r="X46" i="3"/>
  <c r="W46" i="3"/>
  <c r="J46" i="3"/>
  <c r="I46" i="3"/>
  <c r="G46" i="3"/>
  <c r="D46" i="3"/>
  <c r="C46" i="3"/>
  <c r="B46" i="3"/>
  <c r="A46" i="3"/>
  <c r="BF45" i="3"/>
  <c r="BE45" i="3"/>
  <c r="BD45" i="3"/>
  <c r="BC45" i="3"/>
  <c r="BB45" i="3"/>
  <c r="BA45" i="3"/>
  <c r="AZ45" i="3"/>
  <c r="AY45" i="3"/>
  <c r="AX45" i="3"/>
  <c r="AW45" i="3"/>
  <c r="AV45" i="3"/>
  <c r="AS45" i="3"/>
  <c r="AR45" i="3"/>
  <c r="AQ45" i="3"/>
  <c r="AP45" i="3"/>
  <c r="AO45" i="3"/>
  <c r="AH45" i="3"/>
  <c r="AG45" i="3"/>
  <c r="AF45" i="3"/>
  <c r="AE45" i="3"/>
  <c r="AD45" i="3"/>
  <c r="AC45" i="3"/>
  <c r="AB45" i="3"/>
  <c r="Y45" i="3"/>
  <c r="X45" i="3"/>
  <c r="W45" i="3"/>
  <c r="J45" i="3"/>
  <c r="I45" i="3"/>
  <c r="G45" i="3"/>
  <c r="D45" i="3"/>
  <c r="C45" i="3"/>
  <c r="B45" i="3"/>
  <c r="A45" i="3"/>
  <c r="BF44" i="3"/>
  <c r="BE44" i="3"/>
  <c r="BD44" i="3"/>
  <c r="BC44" i="3"/>
  <c r="BB44" i="3"/>
  <c r="BA44" i="3"/>
  <c r="AZ44" i="3"/>
  <c r="AY44" i="3"/>
  <c r="AX44" i="3"/>
  <c r="AW44" i="3"/>
  <c r="AV44" i="3"/>
  <c r="AS44" i="3"/>
  <c r="AR44" i="3"/>
  <c r="AQ44" i="3"/>
  <c r="AP44" i="3"/>
  <c r="AO44" i="3"/>
  <c r="AH44" i="3"/>
  <c r="AG44" i="3"/>
  <c r="AF44" i="3"/>
  <c r="AE44" i="3"/>
  <c r="AD44" i="3"/>
  <c r="AC44" i="3"/>
  <c r="AB44" i="3"/>
  <c r="Y44" i="3"/>
  <c r="X44" i="3"/>
  <c r="W44" i="3"/>
  <c r="J44" i="3"/>
  <c r="I44" i="3"/>
  <c r="G44" i="3"/>
  <c r="D44" i="3"/>
  <c r="C44" i="3"/>
  <c r="B44" i="3"/>
  <c r="A44" i="3"/>
  <c r="BF43" i="3"/>
  <c r="BE43" i="3"/>
  <c r="BD43" i="3"/>
  <c r="BC43" i="3"/>
  <c r="BB43" i="3"/>
  <c r="BA43" i="3"/>
  <c r="AZ43" i="3"/>
  <c r="AY43" i="3"/>
  <c r="AX43" i="3"/>
  <c r="AW43" i="3"/>
  <c r="AV43" i="3"/>
  <c r="AS43" i="3"/>
  <c r="AR43" i="3"/>
  <c r="AQ43" i="3"/>
  <c r="AP43" i="3"/>
  <c r="AO43" i="3"/>
  <c r="AH43" i="3"/>
  <c r="AG43" i="3"/>
  <c r="AF43" i="3"/>
  <c r="AE43" i="3"/>
  <c r="AD43" i="3"/>
  <c r="AC43" i="3"/>
  <c r="AB43" i="3"/>
  <c r="Y43" i="3"/>
  <c r="X43" i="3"/>
  <c r="W43" i="3"/>
  <c r="J43" i="3"/>
  <c r="I43" i="3"/>
  <c r="G43" i="3"/>
  <c r="D43" i="3"/>
  <c r="C43" i="3"/>
  <c r="B43" i="3"/>
  <c r="A43" i="3"/>
  <c r="BF42" i="3"/>
  <c r="BE42" i="3"/>
  <c r="BD42" i="3"/>
  <c r="BC42" i="3"/>
  <c r="BB42" i="3"/>
  <c r="BA42" i="3"/>
  <c r="AZ42" i="3"/>
  <c r="AY42" i="3"/>
  <c r="AX42" i="3"/>
  <c r="AW42" i="3"/>
  <c r="AV42" i="3"/>
  <c r="AS42" i="3"/>
  <c r="AR42" i="3"/>
  <c r="AQ42" i="3"/>
  <c r="AP42" i="3"/>
  <c r="AO42" i="3"/>
  <c r="AH42" i="3"/>
  <c r="AG42" i="3"/>
  <c r="AF42" i="3"/>
  <c r="AE42" i="3"/>
  <c r="AD42" i="3"/>
  <c r="AC42" i="3"/>
  <c r="AB42" i="3"/>
  <c r="Y42" i="3"/>
  <c r="X42" i="3"/>
  <c r="W42" i="3"/>
  <c r="J42" i="3"/>
  <c r="I42" i="3"/>
  <c r="G42" i="3"/>
  <c r="D42" i="3"/>
  <c r="C42" i="3"/>
  <c r="B42" i="3"/>
  <c r="A42" i="3"/>
  <c r="BF41" i="3"/>
  <c r="BE41" i="3"/>
  <c r="BD41" i="3"/>
  <c r="BC41" i="3"/>
  <c r="BB41" i="3"/>
  <c r="BA41" i="3"/>
  <c r="AZ41" i="3"/>
  <c r="AY41" i="3"/>
  <c r="AX41" i="3"/>
  <c r="AW41" i="3"/>
  <c r="AV41" i="3"/>
  <c r="AS41" i="3"/>
  <c r="AR41" i="3"/>
  <c r="AQ41" i="3"/>
  <c r="AP41" i="3"/>
  <c r="AO41" i="3"/>
  <c r="AH41" i="3"/>
  <c r="AG41" i="3"/>
  <c r="AF41" i="3"/>
  <c r="AE41" i="3"/>
  <c r="AD41" i="3"/>
  <c r="AC41" i="3"/>
  <c r="AB41" i="3"/>
  <c r="Y41" i="3"/>
  <c r="X41" i="3"/>
  <c r="W41" i="3"/>
  <c r="J41" i="3"/>
  <c r="I41" i="3"/>
  <c r="G41" i="3"/>
  <c r="D41" i="3"/>
  <c r="C41" i="3"/>
  <c r="B41" i="3"/>
  <c r="A41" i="3"/>
  <c r="BF40" i="3"/>
  <c r="BE40" i="3"/>
  <c r="BD40" i="3"/>
  <c r="BC40" i="3"/>
  <c r="BB40" i="3"/>
  <c r="BA40" i="3"/>
  <c r="AZ40" i="3"/>
  <c r="AY40" i="3"/>
  <c r="AX40" i="3"/>
  <c r="AW40" i="3"/>
  <c r="AV40" i="3"/>
  <c r="AS40" i="3"/>
  <c r="AR40" i="3"/>
  <c r="AQ40" i="3"/>
  <c r="AP40" i="3"/>
  <c r="AO40" i="3"/>
  <c r="AH40" i="3"/>
  <c r="AG40" i="3"/>
  <c r="AF40" i="3"/>
  <c r="AE40" i="3"/>
  <c r="AD40" i="3"/>
  <c r="AC40" i="3"/>
  <c r="AB40" i="3"/>
  <c r="Y40" i="3"/>
  <c r="X40" i="3"/>
  <c r="W40" i="3"/>
  <c r="J40" i="3"/>
  <c r="I40" i="3"/>
  <c r="G40" i="3"/>
  <c r="D40" i="3"/>
  <c r="C40" i="3"/>
  <c r="B40" i="3"/>
  <c r="A40" i="3"/>
  <c r="BF39" i="3"/>
  <c r="BE39" i="3"/>
  <c r="BD39" i="3"/>
  <c r="BC39" i="3"/>
  <c r="BB39" i="3"/>
  <c r="BA39" i="3"/>
  <c r="AZ39" i="3"/>
  <c r="AY39" i="3"/>
  <c r="AX39" i="3"/>
  <c r="AW39" i="3"/>
  <c r="AV39" i="3"/>
  <c r="AS39" i="3"/>
  <c r="AR39" i="3"/>
  <c r="AQ39" i="3"/>
  <c r="AP39" i="3"/>
  <c r="AO39" i="3"/>
  <c r="AH39" i="3"/>
  <c r="AG39" i="3"/>
  <c r="AF39" i="3"/>
  <c r="AE39" i="3"/>
  <c r="AD39" i="3"/>
  <c r="AC39" i="3"/>
  <c r="AB39" i="3"/>
  <c r="Y39" i="3"/>
  <c r="X39" i="3"/>
  <c r="W39" i="3"/>
  <c r="J39" i="3"/>
  <c r="I39" i="3"/>
  <c r="G39" i="3"/>
  <c r="D39" i="3"/>
  <c r="C39" i="3"/>
  <c r="B39" i="3"/>
  <c r="A39" i="3"/>
  <c r="BF38" i="3"/>
  <c r="BE38" i="3"/>
  <c r="BD38" i="3"/>
  <c r="BC38" i="3"/>
  <c r="BB38" i="3"/>
  <c r="BA38" i="3"/>
  <c r="AZ38" i="3"/>
  <c r="AY38" i="3"/>
  <c r="AX38" i="3"/>
  <c r="AW38" i="3"/>
  <c r="AV38" i="3"/>
  <c r="AS38" i="3"/>
  <c r="AR38" i="3"/>
  <c r="AQ38" i="3"/>
  <c r="AP38" i="3"/>
  <c r="AO38" i="3"/>
  <c r="AH38" i="3"/>
  <c r="AG38" i="3"/>
  <c r="AF38" i="3"/>
  <c r="AE38" i="3"/>
  <c r="AD38" i="3"/>
  <c r="AC38" i="3"/>
  <c r="AB38" i="3"/>
  <c r="Y38" i="3"/>
  <c r="X38" i="3"/>
  <c r="W38" i="3"/>
  <c r="J38" i="3"/>
  <c r="I38" i="3"/>
  <c r="G38" i="3"/>
  <c r="D38" i="3"/>
  <c r="C38" i="3"/>
  <c r="B38" i="3"/>
  <c r="A38" i="3"/>
  <c r="BF37" i="3"/>
  <c r="BE37" i="3"/>
  <c r="BD37" i="3"/>
  <c r="BC37" i="3"/>
  <c r="BB37" i="3"/>
  <c r="BA37" i="3"/>
  <c r="AZ37" i="3"/>
  <c r="AY37" i="3"/>
  <c r="AX37" i="3"/>
  <c r="AW37" i="3"/>
  <c r="AV37" i="3"/>
  <c r="AS37" i="3"/>
  <c r="AR37" i="3"/>
  <c r="AQ37" i="3"/>
  <c r="AP37" i="3"/>
  <c r="AO37" i="3"/>
  <c r="AH37" i="3"/>
  <c r="AG37" i="3"/>
  <c r="AF37" i="3"/>
  <c r="AE37" i="3"/>
  <c r="AD37" i="3"/>
  <c r="AC37" i="3"/>
  <c r="AB37" i="3"/>
  <c r="Y37" i="3"/>
  <c r="X37" i="3"/>
  <c r="W37" i="3"/>
  <c r="J37" i="3"/>
  <c r="I37" i="3"/>
  <c r="G37" i="3"/>
  <c r="D37" i="3"/>
  <c r="C37" i="3"/>
  <c r="B37" i="3"/>
  <c r="A37" i="3"/>
  <c r="BF36" i="3"/>
  <c r="BE36" i="3"/>
  <c r="BD36" i="3"/>
  <c r="BC36" i="3"/>
  <c r="BB36" i="3"/>
  <c r="BA36" i="3"/>
  <c r="AZ36" i="3"/>
  <c r="AY36" i="3"/>
  <c r="AX36" i="3"/>
  <c r="AW36" i="3"/>
  <c r="AV36" i="3"/>
  <c r="AS36" i="3"/>
  <c r="AR36" i="3"/>
  <c r="AQ36" i="3"/>
  <c r="AP36" i="3"/>
  <c r="AO36" i="3"/>
  <c r="AH36" i="3"/>
  <c r="AG36" i="3"/>
  <c r="AF36" i="3"/>
  <c r="AE36" i="3"/>
  <c r="AD36" i="3"/>
  <c r="AC36" i="3"/>
  <c r="AB36" i="3"/>
  <c r="Y36" i="3"/>
  <c r="X36" i="3"/>
  <c r="W36" i="3"/>
  <c r="J36" i="3"/>
  <c r="I36" i="3"/>
  <c r="G36" i="3"/>
  <c r="D36" i="3"/>
  <c r="C36" i="3"/>
  <c r="B36" i="3"/>
  <c r="A36" i="3"/>
  <c r="BF35" i="3"/>
  <c r="BE35" i="3"/>
  <c r="BD35" i="3"/>
  <c r="BC35" i="3"/>
  <c r="BB35" i="3"/>
  <c r="BA35" i="3"/>
  <c r="AZ35" i="3"/>
  <c r="AY35" i="3"/>
  <c r="AX35" i="3"/>
  <c r="AW35" i="3"/>
  <c r="AV35" i="3"/>
  <c r="AS35" i="3"/>
  <c r="AR35" i="3"/>
  <c r="AQ35" i="3"/>
  <c r="AP35" i="3"/>
  <c r="AO35" i="3"/>
  <c r="AH35" i="3"/>
  <c r="AG35" i="3"/>
  <c r="AF35" i="3"/>
  <c r="AE35" i="3"/>
  <c r="AD35" i="3"/>
  <c r="AC35" i="3"/>
  <c r="AB35" i="3"/>
  <c r="Y35" i="3"/>
  <c r="X35" i="3"/>
  <c r="W35" i="3"/>
  <c r="J35" i="3"/>
  <c r="I35" i="3"/>
  <c r="G35" i="3"/>
  <c r="D35" i="3"/>
  <c r="C35" i="3"/>
  <c r="B35" i="3"/>
  <c r="A35" i="3"/>
  <c r="BF34" i="3"/>
  <c r="BE34" i="3"/>
  <c r="BD34" i="3"/>
  <c r="BC34" i="3"/>
  <c r="BB34" i="3"/>
  <c r="BA34" i="3"/>
  <c r="AZ34" i="3"/>
  <c r="AY34" i="3"/>
  <c r="AX34" i="3"/>
  <c r="AW34" i="3"/>
  <c r="AV34" i="3"/>
  <c r="AS34" i="3"/>
  <c r="AR34" i="3"/>
  <c r="AQ34" i="3"/>
  <c r="AP34" i="3"/>
  <c r="AO34" i="3"/>
  <c r="AH34" i="3"/>
  <c r="AG34" i="3"/>
  <c r="AF34" i="3"/>
  <c r="AE34" i="3"/>
  <c r="AD34" i="3"/>
  <c r="AC34" i="3"/>
  <c r="AB34" i="3"/>
  <c r="Y34" i="3"/>
  <c r="X34" i="3"/>
  <c r="W34" i="3"/>
  <c r="J34" i="3"/>
  <c r="I34" i="3"/>
  <c r="G34" i="3"/>
  <c r="D34" i="3"/>
  <c r="C34" i="3"/>
  <c r="B34" i="3"/>
  <c r="A34" i="3"/>
  <c r="BF33" i="3"/>
  <c r="BE33" i="3"/>
  <c r="BD33" i="3"/>
  <c r="BC33" i="3"/>
  <c r="BB33" i="3"/>
  <c r="BA33" i="3"/>
  <c r="AZ33" i="3"/>
  <c r="AY33" i="3"/>
  <c r="AX33" i="3"/>
  <c r="AW33" i="3"/>
  <c r="AV33" i="3"/>
  <c r="AS33" i="3"/>
  <c r="AR33" i="3"/>
  <c r="AQ33" i="3"/>
  <c r="AP33" i="3"/>
  <c r="AO33" i="3"/>
  <c r="AH33" i="3"/>
  <c r="AG33" i="3"/>
  <c r="AF33" i="3"/>
  <c r="AE33" i="3"/>
  <c r="AD33" i="3"/>
  <c r="AC33" i="3"/>
  <c r="AB33" i="3"/>
  <c r="Y33" i="3"/>
  <c r="X33" i="3"/>
  <c r="W33" i="3"/>
  <c r="J33" i="3"/>
  <c r="I33" i="3"/>
  <c r="G33" i="3"/>
  <c r="D33" i="3"/>
  <c r="C33" i="3"/>
  <c r="B33" i="3"/>
  <c r="A33" i="3"/>
  <c r="BF32" i="3"/>
  <c r="BE32" i="3"/>
  <c r="BD32" i="3"/>
  <c r="BC32" i="3"/>
  <c r="BB32" i="3"/>
  <c r="BA32" i="3"/>
  <c r="AZ32" i="3"/>
  <c r="AY32" i="3"/>
  <c r="AX32" i="3"/>
  <c r="AW32" i="3"/>
  <c r="AV32" i="3"/>
  <c r="AS32" i="3"/>
  <c r="AR32" i="3"/>
  <c r="AQ32" i="3"/>
  <c r="AP32" i="3"/>
  <c r="AO32" i="3"/>
  <c r="AH32" i="3"/>
  <c r="AG32" i="3"/>
  <c r="AF32" i="3"/>
  <c r="AE32" i="3"/>
  <c r="AD32" i="3"/>
  <c r="AC32" i="3"/>
  <c r="AB32" i="3"/>
  <c r="Y32" i="3"/>
  <c r="X32" i="3"/>
  <c r="W32" i="3"/>
  <c r="J32" i="3"/>
  <c r="I32" i="3"/>
  <c r="G32" i="3"/>
  <c r="D32" i="3"/>
  <c r="C32" i="3"/>
  <c r="B32" i="3"/>
  <c r="A32" i="3"/>
  <c r="BF31" i="3"/>
  <c r="BE31" i="3"/>
  <c r="BD31" i="3"/>
  <c r="BC31" i="3"/>
  <c r="BB31" i="3"/>
  <c r="BA31" i="3"/>
  <c r="AZ31" i="3"/>
  <c r="AY31" i="3"/>
  <c r="AX31" i="3"/>
  <c r="AW31" i="3"/>
  <c r="AV31" i="3"/>
  <c r="AS31" i="3"/>
  <c r="AR31" i="3"/>
  <c r="AQ31" i="3"/>
  <c r="AP31" i="3"/>
  <c r="AO31" i="3"/>
  <c r="AH31" i="3"/>
  <c r="AG31" i="3"/>
  <c r="AF31" i="3"/>
  <c r="AE31" i="3"/>
  <c r="AD31" i="3"/>
  <c r="AC31" i="3"/>
  <c r="AB31" i="3"/>
  <c r="Y31" i="3"/>
  <c r="X31" i="3"/>
  <c r="W31" i="3"/>
  <c r="J31" i="3"/>
  <c r="I31" i="3"/>
  <c r="G31" i="3"/>
  <c r="D31" i="3"/>
  <c r="C31" i="3"/>
  <c r="B31" i="3"/>
  <c r="A31" i="3"/>
  <c r="BF30" i="3"/>
  <c r="BE30" i="3"/>
  <c r="BD30" i="3"/>
  <c r="BC30" i="3"/>
  <c r="BB30" i="3"/>
  <c r="BA30" i="3"/>
  <c r="AZ30" i="3"/>
  <c r="AY30" i="3"/>
  <c r="AX30" i="3"/>
  <c r="AW30" i="3"/>
  <c r="AV30" i="3"/>
  <c r="AS30" i="3"/>
  <c r="AR30" i="3"/>
  <c r="AQ30" i="3"/>
  <c r="AP30" i="3"/>
  <c r="AO30" i="3"/>
  <c r="AH30" i="3"/>
  <c r="AG30" i="3"/>
  <c r="AF30" i="3"/>
  <c r="AE30" i="3"/>
  <c r="AD30" i="3"/>
  <c r="AC30" i="3"/>
  <c r="AB30" i="3"/>
  <c r="Y30" i="3"/>
  <c r="X30" i="3"/>
  <c r="W30" i="3"/>
  <c r="J30" i="3"/>
  <c r="I30" i="3"/>
  <c r="G30" i="3"/>
  <c r="D30" i="3"/>
  <c r="C30" i="3"/>
  <c r="B30" i="3"/>
  <c r="A30" i="3"/>
  <c r="BF29" i="3"/>
  <c r="BE29" i="3"/>
  <c r="BD29" i="3"/>
  <c r="BC29" i="3"/>
  <c r="BB29" i="3"/>
  <c r="BA29" i="3"/>
  <c r="AZ29" i="3"/>
  <c r="AY29" i="3"/>
  <c r="AX29" i="3"/>
  <c r="AW29" i="3"/>
  <c r="AV29" i="3"/>
  <c r="AS29" i="3"/>
  <c r="AR29" i="3"/>
  <c r="AQ29" i="3"/>
  <c r="AP29" i="3"/>
  <c r="AO29" i="3"/>
  <c r="AH29" i="3"/>
  <c r="AG29" i="3"/>
  <c r="AF29" i="3"/>
  <c r="AE29" i="3"/>
  <c r="AD29" i="3"/>
  <c r="AC29" i="3"/>
  <c r="AB29" i="3"/>
  <c r="Y29" i="3"/>
  <c r="X29" i="3"/>
  <c r="W29" i="3"/>
  <c r="J29" i="3"/>
  <c r="I29" i="3"/>
  <c r="G29" i="3"/>
  <c r="D29" i="3"/>
  <c r="C29" i="3"/>
  <c r="B29" i="3"/>
  <c r="A29" i="3"/>
  <c r="BF28" i="3"/>
  <c r="BE28" i="3"/>
  <c r="BD28" i="3"/>
  <c r="BC28" i="3"/>
  <c r="BB28" i="3"/>
  <c r="BA28" i="3"/>
  <c r="AZ28" i="3"/>
  <c r="AY28" i="3"/>
  <c r="AX28" i="3"/>
  <c r="AW28" i="3"/>
  <c r="AV28" i="3"/>
  <c r="AS28" i="3"/>
  <c r="AR28" i="3"/>
  <c r="AQ28" i="3"/>
  <c r="AP28" i="3"/>
  <c r="AO28" i="3"/>
  <c r="AH28" i="3"/>
  <c r="AG28" i="3"/>
  <c r="AF28" i="3"/>
  <c r="AE28" i="3"/>
  <c r="AD28" i="3"/>
  <c r="AC28" i="3"/>
  <c r="AB28" i="3"/>
  <c r="Y28" i="3"/>
  <c r="X28" i="3"/>
  <c r="W28" i="3"/>
  <c r="J28" i="3"/>
  <c r="I28" i="3"/>
  <c r="G28" i="3"/>
  <c r="D28" i="3"/>
  <c r="C28" i="3"/>
  <c r="B28" i="3"/>
  <c r="A28" i="3"/>
  <c r="BF27" i="3"/>
  <c r="BE27" i="3"/>
  <c r="BD27" i="3"/>
  <c r="BC27" i="3"/>
  <c r="BB27" i="3"/>
  <c r="BA27" i="3"/>
  <c r="AZ27" i="3"/>
  <c r="AY27" i="3"/>
  <c r="AX27" i="3"/>
  <c r="AW27" i="3"/>
  <c r="AV27" i="3"/>
  <c r="AS27" i="3"/>
  <c r="AR27" i="3"/>
  <c r="AQ27" i="3"/>
  <c r="AP27" i="3"/>
  <c r="AO27" i="3"/>
  <c r="AH27" i="3"/>
  <c r="AG27" i="3"/>
  <c r="AF27" i="3"/>
  <c r="AE27" i="3"/>
  <c r="AD27" i="3"/>
  <c r="AC27" i="3"/>
  <c r="AB27" i="3"/>
  <c r="Y27" i="3"/>
  <c r="X27" i="3"/>
  <c r="W27" i="3"/>
  <c r="J27" i="3"/>
  <c r="I27" i="3"/>
  <c r="G27" i="3"/>
  <c r="D27" i="3"/>
  <c r="C27" i="3"/>
  <c r="B27" i="3"/>
  <c r="A27" i="3"/>
  <c r="BF26" i="3"/>
  <c r="BE26" i="3"/>
  <c r="BD26" i="3"/>
  <c r="BC26" i="3"/>
  <c r="BB26" i="3"/>
  <c r="BA26" i="3"/>
  <c r="AZ26" i="3"/>
  <c r="AY26" i="3"/>
  <c r="AX26" i="3"/>
  <c r="AW26" i="3"/>
  <c r="AV26" i="3"/>
  <c r="AS26" i="3"/>
  <c r="AR26" i="3"/>
  <c r="AQ26" i="3"/>
  <c r="AP26" i="3"/>
  <c r="AO26" i="3"/>
  <c r="AH26" i="3"/>
  <c r="AG26" i="3"/>
  <c r="AF26" i="3"/>
  <c r="AE26" i="3"/>
  <c r="AD26" i="3"/>
  <c r="AC26" i="3"/>
  <c r="AB26" i="3"/>
  <c r="Y26" i="3"/>
  <c r="X26" i="3"/>
  <c r="W26" i="3"/>
  <c r="J26" i="3"/>
  <c r="I26" i="3"/>
  <c r="G26" i="3"/>
  <c r="D26" i="3"/>
  <c r="C26" i="3"/>
  <c r="B26" i="3"/>
  <c r="A26" i="3"/>
  <c r="BF25" i="3"/>
  <c r="BE25" i="3"/>
  <c r="BD25" i="3"/>
  <c r="BC25" i="3"/>
  <c r="BB25" i="3"/>
  <c r="BA25" i="3"/>
  <c r="AZ25" i="3"/>
  <c r="AY25" i="3"/>
  <c r="AX25" i="3"/>
  <c r="AW25" i="3"/>
  <c r="AV25" i="3"/>
  <c r="AS25" i="3"/>
  <c r="AR25" i="3"/>
  <c r="AQ25" i="3"/>
  <c r="AP25" i="3"/>
  <c r="AO25" i="3"/>
  <c r="AH25" i="3"/>
  <c r="AG25" i="3"/>
  <c r="AF25" i="3"/>
  <c r="AE25" i="3"/>
  <c r="AD25" i="3"/>
  <c r="AC25" i="3"/>
  <c r="AB25" i="3"/>
  <c r="Y25" i="3"/>
  <c r="X25" i="3"/>
  <c r="W25" i="3"/>
  <c r="J25" i="3"/>
  <c r="I25" i="3"/>
  <c r="G25" i="3"/>
  <c r="D25" i="3"/>
  <c r="C25" i="3"/>
  <c r="B25" i="3"/>
  <c r="A25" i="3"/>
  <c r="BF24" i="3"/>
  <c r="BE24" i="3"/>
  <c r="BD24" i="3"/>
  <c r="BC24" i="3"/>
  <c r="BB24" i="3"/>
  <c r="BA24" i="3"/>
  <c r="AZ24" i="3"/>
  <c r="AY24" i="3"/>
  <c r="AX24" i="3"/>
  <c r="AW24" i="3"/>
  <c r="AV24" i="3"/>
  <c r="AS24" i="3"/>
  <c r="AR24" i="3"/>
  <c r="AQ24" i="3"/>
  <c r="AP24" i="3"/>
  <c r="AO24" i="3"/>
  <c r="AH24" i="3"/>
  <c r="AG24" i="3"/>
  <c r="AF24" i="3"/>
  <c r="AE24" i="3"/>
  <c r="AD24" i="3"/>
  <c r="AC24" i="3"/>
  <c r="AB24" i="3"/>
  <c r="Y24" i="3"/>
  <c r="X24" i="3"/>
  <c r="W24" i="3"/>
  <c r="J24" i="3"/>
  <c r="I24" i="3"/>
  <c r="G24" i="3"/>
  <c r="D24" i="3"/>
  <c r="C24" i="3"/>
  <c r="B24" i="3"/>
  <c r="A24" i="3"/>
  <c r="BF23" i="3"/>
  <c r="BE23" i="3"/>
  <c r="BD23" i="3"/>
  <c r="BC23" i="3"/>
  <c r="BB23" i="3"/>
  <c r="BA23" i="3"/>
  <c r="AZ23" i="3"/>
  <c r="AY23" i="3"/>
  <c r="AX23" i="3"/>
  <c r="AW23" i="3"/>
  <c r="AV23" i="3"/>
  <c r="AS23" i="3"/>
  <c r="AR23" i="3"/>
  <c r="AQ23" i="3"/>
  <c r="AP23" i="3"/>
  <c r="AO23" i="3"/>
  <c r="AH23" i="3"/>
  <c r="AG23" i="3"/>
  <c r="AF23" i="3"/>
  <c r="AE23" i="3"/>
  <c r="AD23" i="3"/>
  <c r="AC23" i="3"/>
  <c r="AB23" i="3"/>
  <c r="Y23" i="3"/>
  <c r="X23" i="3"/>
  <c r="W23" i="3"/>
  <c r="J23" i="3"/>
  <c r="I23" i="3"/>
  <c r="G23" i="3"/>
  <c r="D23" i="3"/>
  <c r="C23" i="3"/>
  <c r="B23" i="3"/>
  <c r="A23" i="3"/>
  <c r="BF22" i="3"/>
  <c r="BE22" i="3"/>
  <c r="BD22" i="3"/>
  <c r="BC22" i="3"/>
  <c r="BB22" i="3"/>
  <c r="BA22" i="3"/>
  <c r="AZ22" i="3"/>
  <c r="AY22" i="3"/>
  <c r="AX22" i="3"/>
  <c r="AW22" i="3"/>
  <c r="AV22" i="3"/>
  <c r="AS22" i="3"/>
  <c r="AR22" i="3"/>
  <c r="AQ22" i="3"/>
  <c r="AP22" i="3"/>
  <c r="AO22" i="3"/>
  <c r="AH22" i="3"/>
  <c r="AG22" i="3"/>
  <c r="AF22" i="3"/>
  <c r="AE22" i="3"/>
  <c r="AD22" i="3"/>
  <c r="AC22" i="3"/>
  <c r="AB22" i="3"/>
  <c r="Y22" i="3"/>
  <c r="X22" i="3"/>
  <c r="W22" i="3"/>
  <c r="J22" i="3"/>
  <c r="I22" i="3"/>
  <c r="G22" i="3"/>
  <c r="D22" i="3"/>
  <c r="C22" i="3"/>
  <c r="B22" i="3"/>
  <c r="A22" i="3"/>
  <c r="BF21" i="3"/>
  <c r="BE21" i="3"/>
  <c r="BD21" i="3"/>
  <c r="BC21" i="3"/>
  <c r="BB21" i="3"/>
  <c r="BA21" i="3"/>
  <c r="AZ21" i="3"/>
  <c r="AY21" i="3"/>
  <c r="AX21" i="3"/>
  <c r="AW21" i="3"/>
  <c r="AV21" i="3"/>
  <c r="AS21" i="3"/>
  <c r="AR21" i="3"/>
  <c r="AQ21" i="3"/>
  <c r="AP21" i="3"/>
  <c r="AO21" i="3"/>
  <c r="AH21" i="3"/>
  <c r="AG21" i="3"/>
  <c r="AF21" i="3"/>
  <c r="AE21" i="3"/>
  <c r="AD21" i="3"/>
  <c r="AC21" i="3"/>
  <c r="AB21" i="3"/>
  <c r="Y21" i="3"/>
  <c r="X21" i="3"/>
  <c r="W21" i="3"/>
  <c r="J21" i="3"/>
  <c r="I21" i="3"/>
  <c r="G21" i="3"/>
  <c r="D21" i="3"/>
  <c r="C21" i="3"/>
  <c r="B21" i="3"/>
  <c r="A21" i="3"/>
  <c r="BF20" i="3"/>
  <c r="BE20" i="3"/>
  <c r="BD20" i="3"/>
  <c r="BC20" i="3"/>
  <c r="BB20" i="3"/>
  <c r="BA20" i="3"/>
  <c r="AZ20" i="3"/>
  <c r="AY20" i="3"/>
  <c r="AX20" i="3"/>
  <c r="AW20" i="3"/>
  <c r="AV20" i="3"/>
  <c r="AS20" i="3"/>
  <c r="AR20" i="3"/>
  <c r="AQ20" i="3"/>
  <c r="AP20" i="3"/>
  <c r="AO20" i="3"/>
  <c r="AH20" i="3"/>
  <c r="AG20" i="3"/>
  <c r="AF20" i="3"/>
  <c r="AE20" i="3"/>
  <c r="AD20" i="3"/>
  <c r="AC20" i="3"/>
  <c r="AB20" i="3"/>
  <c r="Y20" i="3"/>
  <c r="X20" i="3"/>
  <c r="W20" i="3"/>
  <c r="J20" i="3"/>
  <c r="I20" i="3"/>
  <c r="G20" i="3"/>
  <c r="D20" i="3"/>
  <c r="C20" i="3"/>
  <c r="B20" i="3"/>
  <c r="A20" i="3"/>
  <c r="BF19" i="3"/>
  <c r="BE19" i="3"/>
  <c r="BD19" i="3"/>
  <c r="BC19" i="3"/>
  <c r="BB19" i="3"/>
  <c r="BA19" i="3"/>
  <c r="AZ19" i="3"/>
  <c r="AY19" i="3"/>
  <c r="AX19" i="3"/>
  <c r="AW19" i="3"/>
  <c r="AV19" i="3"/>
  <c r="AS19" i="3"/>
  <c r="AR19" i="3"/>
  <c r="AQ19" i="3"/>
  <c r="AP19" i="3"/>
  <c r="AO19" i="3"/>
  <c r="AH19" i="3"/>
  <c r="AG19" i="3"/>
  <c r="AF19" i="3"/>
  <c r="AE19" i="3"/>
  <c r="AD19" i="3"/>
  <c r="AC19" i="3"/>
  <c r="AB19" i="3"/>
  <c r="Y19" i="3"/>
  <c r="X19" i="3"/>
  <c r="W19" i="3"/>
  <c r="J19" i="3"/>
  <c r="I19" i="3"/>
  <c r="G19" i="3"/>
  <c r="D19" i="3"/>
  <c r="C19" i="3"/>
  <c r="B19" i="3"/>
  <c r="A19" i="3"/>
  <c r="BF18" i="3"/>
  <c r="BE18" i="3"/>
  <c r="BD18" i="3"/>
  <c r="BC18" i="3"/>
  <c r="BB18" i="3"/>
  <c r="BA18" i="3"/>
  <c r="AZ18" i="3"/>
  <c r="AY18" i="3"/>
  <c r="AX18" i="3"/>
  <c r="AW18" i="3"/>
  <c r="AV18" i="3"/>
  <c r="AS18" i="3"/>
  <c r="AR18" i="3"/>
  <c r="AQ18" i="3"/>
  <c r="AP18" i="3"/>
  <c r="AO18" i="3"/>
  <c r="AH18" i="3"/>
  <c r="AG18" i="3"/>
  <c r="AF18" i="3"/>
  <c r="AE18" i="3"/>
  <c r="AD18" i="3"/>
  <c r="AC18" i="3"/>
  <c r="AB18" i="3"/>
  <c r="Y18" i="3"/>
  <c r="X18" i="3"/>
  <c r="W18" i="3"/>
  <c r="J18" i="3"/>
  <c r="I18" i="3"/>
  <c r="G18" i="3"/>
  <c r="D18" i="3"/>
  <c r="C18" i="3"/>
  <c r="B18" i="3"/>
  <c r="A18" i="3"/>
  <c r="BF17" i="3"/>
  <c r="BE17" i="3"/>
  <c r="BD17" i="3"/>
  <c r="BC17" i="3"/>
  <c r="BB17" i="3"/>
  <c r="BA17" i="3"/>
  <c r="AZ17" i="3"/>
  <c r="AY17" i="3"/>
  <c r="AX17" i="3"/>
  <c r="AW17" i="3"/>
  <c r="AV17" i="3"/>
  <c r="AS17" i="3"/>
  <c r="AR17" i="3"/>
  <c r="AQ17" i="3"/>
  <c r="AP17" i="3"/>
  <c r="AO17" i="3"/>
  <c r="AH17" i="3"/>
  <c r="AG17" i="3"/>
  <c r="AF17" i="3"/>
  <c r="AE17" i="3"/>
  <c r="AD17" i="3"/>
  <c r="AC17" i="3"/>
  <c r="AB17" i="3"/>
  <c r="Y17" i="3"/>
  <c r="X17" i="3"/>
  <c r="W17" i="3"/>
  <c r="J17" i="3"/>
  <c r="I17" i="3"/>
  <c r="G17" i="3"/>
  <c r="D17" i="3"/>
  <c r="C17" i="3"/>
  <c r="B17" i="3"/>
  <c r="A17" i="3"/>
  <c r="BF16" i="3"/>
  <c r="BE16" i="3"/>
  <c r="BD16" i="3"/>
  <c r="BC16" i="3"/>
  <c r="BB16" i="3"/>
  <c r="BA16" i="3"/>
  <c r="AZ16" i="3"/>
  <c r="AY16" i="3"/>
  <c r="AX16" i="3"/>
  <c r="AW16" i="3"/>
  <c r="AV16" i="3"/>
  <c r="AS16" i="3"/>
  <c r="AR16" i="3"/>
  <c r="AQ16" i="3"/>
  <c r="AP16" i="3"/>
  <c r="AO16" i="3"/>
  <c r="AH16" i="3"/>
  <c r="AG16" i="3"/>
  <c r="AF16" i="3"/>
  <c r="AE16" i="3"/>
  <c r="AD16" i="3"/>
  <c r="AC16" i="3"/>
  <c r="AB16" i="3"/>
  <c r="Y16" i="3"/>
  <c r="X16" i="3"/>
  <c r="W16" i="3"/>
  <c r="J16" i="3"/>
  <c r="I16" i="3"/>
  <c r="G16" i="3"/>
  <c r="D16" i="3"/>
  <c r="C16" i="3"/>
  <c r="B16" i="3"/>
  <c r="A16" i="3"/>
  <c r="BF15" i="3"/>
  <c r="BE15" i="3"/>
  <c r="BD15" i="3"/>
  <c r="BC15" i="3"/>
  <c r="BB15" i="3"/>
  <c r="BA15" i="3"/>
  <c r="AZ15" i="3"/>
  <c r="AY15" i="3"/>
  <c r="AX15" i="3"/>
  <c r="AW15" i="3"/>
  <c r="AV15" i="3"/>
  <c r="AS15" i="3"/>
  <c r="AR15" i="3"/>
  <c r="AQ15" i="3"/>
  <c r="AP15" i="3"/>
  <c r="AO15" i="3"/>
  <c r="AH15" i="3"/>
  <c r="AG15" i="3"/>
  <c r="AF15" i="3"/>
  <c r="AE15" i="3"/>
  <c r="AD15" i="3"/>
  <c r="AC15" i="3"/>
  <c r="AB15" i="3"/>
  <c r="Y15" i="3"/>
  <c r="X15" i="3"/>
  <c r="W15" i="3"/>
  <c r="J15" i="3"/>
  <c r="I15" i="3"/>
  <c r="G15" i="3"/>
  <c r="D15" i="3"/>
  <c r="C15" i="3"/>
  <c r="B15" i="3"/>
  <c r="A15" i="3"/>
  <c r="BF14" i="3"/>
  <c r="BE14" i="3"/>
  <c r="BD14" i="3"/>
  <c r="BC14" i="3"/>
  <c r="BB14" i="3"/>
  <c r="BA14" i="3"/>
  <c r="AZ14" i="3"/>
  <c r="AY14" i="3"/>
  <c r="AX14" i="3"/>
  <c r="AW14" i="3"/>
  <c r="AV14" i="3"/>
  <c r="AS14" i="3"/>
  <c r="AR14" i="3"/>
  <c r="AQ14" i="3"/>
  <c r="AP14" i="3"/>
  <c r="AO14" i="3"/>
  <c r="AH14" i="3"/>
  <c r="AG14" i="3"/>
  <c r="AF14" i="3"/>
  <c r="AE14" i="3"/>
  <c r="AD14" i="3"/>
  <c r="AC14" i="3"/>
  <c r="AB14" i="3"/>
  <c r="Y14" i="3"/>
  <c r="X14" i="3"/>
  <c r="W14" i="3"/>
  <c r="J14" i="3"/>
  <c r="I14" i="3"/>
  <c r="G14" i="3"/>
  <c r="D14" i="3"/>
  <c r="C14" i="3"/>
  <c r="B14" i="3"/>
  <c r="A14" i="3"/>
  <c r="BF13" i="3"/>
  <c r="BE13" i="3"/>
  <c r="BD13" i="3"/>
  <c r="BC13" i="3"/>
  <c r="BB13" i="3"/>
  <c r="BA13" i="3"/>
  <c r="AZ13" i="3"/>
  <c r="AY13" i="3"/>
  <c r="AX13" i="3"/>
  <c r="AW13" i="3"/>
  <c r="AV13" i="3"/>
  <c r="AS13" i="3"/>
  <c r="AR13" i="3"/>
  <c r="AQ13" i="3"/>
  <c r="AP13" i="3"/>
  <c r="AO13" i="3"/>
  <c r="AH13" i="3"/>
  <c r="AG13" i="3"/>
  <c r="AF13" i="3"/>
  <c r="AE13" i="3"/>
  <c r="AD13" i="3"/>
  <c r="AC13" i="3"/>
  <c r="AB13" i="3"/>
  <c r="Y13" i="3"/>
  <c r="X13" i="3"/>
  <c r="W13" i="3"/>
  <c r="J13" i="3"/>
  <c r="I13" i="3"/>
  <c r="G13" i="3"/>
  <c r="D13" i="3"/>
  <c r="C13" i="3"/>
  <c r="B13" i="3"/>
  <c r="A13" i="3"/>
  <c r="BF12" i="3"/>
  <c r="BE12" i="3"/>
  <c r="BD12" i="3"/>
  <c r="BC12" i="3"/>
  <c r="BB12" i="3"/>
  <c r="BA12" i="3"/>
  <c r="AZ12" i="3"/>
  <c r="AY12" i="3"/>
  <c r="AX12" i="3"/>
  <c r="AW12" i="3"/>
  <c r="AV12" i="3"/>
  <c r="AS12" i="3"/>
  <c r="AR12" i="3"/>
  <c r="AQ12" i="3"/>
  <c r="AP12" i="3"/>
  <c r="AO12" i="3"/>
  <c r="AH12" i="3"/>
  <c r="AG12" i="3"/>
  <c r="AF12" i="3"/>
  <c r="AE12" i="3"/>
  <c r="AD12" i="3"/>
  <c r="AC12" i="3"/>
  <c r="AB12" i="3"/>
  <c r="Y12" i="3"/>
  <c r="X12" i="3"/>
  <c r="W12" i="3"/>
  <c r="J12" i="3"/>
  <c r="I12" i="3"/>
  <c r="G12" i="3"/>
  <c r="D12" i="3"/>
  <c r="C12" i="3"/>
  <c r="B12" i="3"/>
  <c r="A12" i="3"/>
  <c r="BF11" i="3"/>
  <c r="BE11" i="3"/>
  <c r="BD11" i="3"/>
  <c r="BC11" i="3"/>
  <c r="BB11" i="3"/>
  <c r="BA11" i="3"/>
  <c r="AZ11" i="3"/>
  <c r="AY11" i="3"/>
  <c r="AX11" i="3"/>
  <c r="AW11" i="3"/>
  <c r="AV11" i="3"/>
  <c r="AS11" i="3"/>
  <c r="AR11" i="3"/>
  <c r="AQ11" i="3"/>
  <c r="AP11" i="3"/>
  <c r="AO11" i="3"/>
  <c r="AH11" i="3"/>
  <c r="AG11" i="3"/>
  <c r="AF11" i="3"/>
  <c r="AE11" i="3"/>
  <c r="AD11" i="3"/>
  <c r="AC11" i="3"/>
  <c r="AB11" i="3"/>
  <c r="Y11" i="3"/>
  <c r="X11" i="3"/>
  <c r="W11" i="3"/>
  <c r="J11" i="3"/>
  <c r="I11" i="3"/>
  <c r="G11" i="3"/>
  <c r="D11" i="3"/>
  <c r="C11" i="3"/>
  <c r="B11" i="3"/>
  <c r="A11" i="3"/>
  <c r="BF10" i="3"/>
  <c r="BE10" i="3"/>
  <c r="BD10" i="3"/>
  <c r="BC10" i="3"/>
  <c r="BB10" i="3"/>
  <c r="BA10" i="3"/>
  <c r="AZ10" i="3"/>
  <c r="AY10" i="3"/>
  <c r="AX10" i="3"/>
  <c r="AW10" i="3"/>
  <c r="AV10" i="3"/>
  <c r="AS10" i="3"/>
  <c r="AR10" i="3"/>
  <c r="AQ10" i="3"/>
  <c r="AP10" i="3"/>
  <c r="AO10" i="3"/>
  <c r="AH10" i="3"/>
  <c r="AG10" i="3"/>
  <c r="AF10" i="3"/>
  <c r="AE10" i="3"/>
  <c r="AD10" i="3"/>
  <c r="AC10" i="3"/>
  <c r="AB10" i="3"/>
  <c r="Y10" i="3"/>
  <c r="X10" i="3"/>
  <c r="W10" i="3"/>
  <c r="J10" i="3"/>
  <c r="I10" i="3"/>
  <c r="G10" i="3"/>
  <c r="D10" i="3"/>
  <c r="C10" i="3"/>
  <c r="B10" i="3"/>
  <c r="A10" i="3"/>
  <c r="BF9" i="3"/>
  <c r="BE9" i="3"/>
  <c r="BD9" i="3"/>
  <c r="BC9" i="3"/>
  <c r="BB9" i="3"/>
  <c r="BA9" i="3"/>
  <c r="AZ9" i="3"/>
  <c r="AY9" i="3"/>
  <c r="AX9" i="3"/>
  <c r="AW9" i="3"/>
  <c r="AV9" i="3"/>
  <c r="AS9" i="3"/>
  <c r="AR9" i="3"/>
  <c r="AQ9" i="3"/>
  <c r="AP9" i="3"/>
  <c r="AO9" i="3"/>
  <c r="AH9" i="3"/>
  <c r="AG9" i="3"/>
  <c r="AF9" i="3"/>
  <c r="AE9" i="3"/>
  <c r="AD9" i="3"/>
  <c r="AC9" i="3"/>
  <c r="AB9" i="3"/>
  <c r="Y9" i="3"/>
  <c r="X9" i="3"/>
  <c r="W9" i="3"/>
  <c r="J9" i="3"/>
  <c r="I9" i="3"/>
  <c r="G9" i="3"/>
  <c r="D9" i="3"/>
  <c r="C9" i="3"/>
  <c r="B9" i="3"/>
  <c r="A9" i="3"/>
  <c r="BF8" i="3"/>
  <c r="BE8" i="3"/>
  <c r="BD8" i="3"/>
  <c r="BC8" i="3"/>
  <c r="BB8" i="3"/>
  <c r="BA8" i="3"/>
  <c r="AZ8" i="3"/>
  <c r="AY8" i="3"/>
  <c r="AX8" i="3"/>
  <c r="AW8" i="3"/>
  <c r="AV8" i="3"/>
  <c r="AS8" i="3"/>
  <c r="AR8" i="3"/>
  <c r="AQ8" i="3"/>
  <c r="AP8" i="3"/>
  <c r="AO8" i="3"/>
  <c r="AH8" i="3"/>
  <c r="AG8" i="3"/>
  <c r="AF8" i="3"/>
  <c r="AE8" i="3"/>
  <c r="AD8" i="3"/>
  <c r="AC8" i="3"/>
  <c r="AB8" i="3"/>
  <c r="Y8" i="3"/>
  <c r="X8" i="3"/>
  <c r="W8" i="3"/>
  <c r="J8" i="3"/>
  <c r="I8" i="3"/>
  <c r="G8" i="3"/>
  <c r="D8" i="3"/>
  <c r="C8" i="3"/>
  <c r="B8" i="3"/>
  <c r="A8" i="3"/>
  <c r="BF7" i="3"/>
  <c r="BE7" i="3"/>
  <c r="BD7" i="3"/>
  <c r="BC7" i="3"/>
  <c r="BB7" i="3"/>
  <c r="BA7" i="3"/>
  <c r="AZ7" i="3"/>
  <c r="AY7" i="3"/>
  <c r="AX7" i="3"/>
  <c r="AW7" i="3"/>
  <c r="AV7" i="3"/>
  <c r="AS7" i="3"/>
  <c r="AR7" i="3"/>
  <c r="AQ7" i="3"/>
  <c r="AP7" i="3"/>
  <c r="AO7" i="3"/>
  <c r="AH7" i="3"/>
  <c r="AG7" i="3"/>
  <c r="AF7" i="3"/>
  <c r="AE7" i="3"/>
  <c r="AD7" i="3"/>
  <c r="AC7" i="3"/>
  <c r="AB7" i="3"/>
  <c r="Y7" i="3"/>
  <c r="X7" i="3"/>
  <c r="W7" i="3"/>
  <c r="J7" i="3"/>
  <c r="I7" i="3"/>
  <c r="G7" i="3"/>
  <c r="D7" i="3"/>
  <c r="C7" i="3"/>
  <c r="B7" i="3"/>
  <c r="A7" i="3"/>
  <c r="BF6" i="3"/>
  <c r="BE6" i="3"/>
  <c r="BD6" i="3"/>
  <c r="BC6" i="3"/>
  <c r="BB6" i="3"/>
  <c r="BA6" i="3"/>
  <c r="AZ6" i="3"/>
  <c r="AY6" i="3"/>
  <c r="AX6" i="3"/>
  <c r="AW6" i="3"/>
  <c r="AV6" i="3"/>
  <c r="AS6" i="3"/>
  <c r="AR6" i="3"/>
  <c r="AQ6" i="3"/>
  <c r="AP6" i="3"/>
  <c r="AO6" i="3"/>
  <c r="AH6" i="3"/>
  <c r="AG6" i="3"/>
  <c r="AF6" i="3"/>
  <c r="AE6" i="3"/>
  <c r="AD6" i="3"/>
  <c r="AC6" i="3"/>
  <c r="AB6" i="3"/>
  <c r="Y6" i="3"/>
  <c r="X6" i="3"/>
  <c r="W6" i="3"/>
  <c r="J6" i="3"/>
  <c r="I6" i="3"/>
  <c r="G6" i="3"/>
  <c r="D6" i="3"/>
  <c r="C6" i="3"/>
  <c r="B6" i="3"/>
  <c r="A6" i="3"/>
  <c r="BF5" i="3"/>
  <c r="BE5" i="3"/>
  <c r="BD5" i="3"/>
  <c r="BC5" i="3"/>
  <c r="BB5" i="3"/>
  <c r="BA5" i="3"/>
  <c r="AZ5" i="3"/>
  <c r="AY5" i="3"/>
  <c r="AX5" i="3"/>
  <c r="AW5" i="3"/>
  <c r="AV5" i="3"/>
  <c r="AS5" i="3"/>
  <c r="AR5" i="3"/>
  <c r="AQ5" i="3"/>
  <c r="AP5" i="3"/>
  <c r="AO5" i="3"/>
  <c r="AH5" i="3"/>
  <c r="AG5" i="3"/>
  <c r="AF5" i="3"/>
  <c r="AE5" i="3"/>
  <c r="AD5" i="3"/>
  <c r="AC5" i="3"/>
  <c r="AB5" i="3"/>
  <c r="Y5" i="3"/>
  <c r="X5" i="3"/>
  <c r="W5" i="3"/>
  <c r="J5" i="3"/>
  <c r="I5" i="3"/>
  <c r="G5" i="3"/>
  <c r="D5" i="3"/>
  <c r="C5" i="3"/>
  <c r="B5" i="3"/>
  <c r="A5" i="3"/>
  <c r="BF4" i="3"/>
  <c r="BE4" i="3"/>
  <c r="BD4" i="3"/>
  <c r="BC4" i="3"/>
  <c r="BB4" i="3"/>
  <c r="BA4" i="3"/>
  <c r="AZ4" i="3"/>
  <c r="AY4" i="3"/>
  <c r="AX4" i="3"/>
  <c r="AW4" i="3"/>
  <c r="AV4" i="3"/>
  <c r="AS4" i="3"/>
  <c r="AR4" i="3"/>
  <c r="AQ4" i="3"/>
  <c r="AP4" i="3"/>
  <c r="AO4" i="3"/>
  <c r="AH4" i="3"/>
  <c r="AG4" i="3"/>
  <c r="AF4" i="3"/>
  <c r="AE4" i="3"/>
  <c r="AD4" i="3"/>
  <c r="AC4" i="3"/>
  <c r="AB4" i="3"/>
  <c r="Y4" i="3"/>
  <c r="X4" i="3"/>
  <c r="W4" i="3"/>
  <c r="J4" i="3"/>
  <c r="I4" i="3"/>
  <c r="G4" i="3"/>
  <c r="D4" i="3"/>
  <c r="C4" i="3"/>
  <c r="B4" i="3"/>
  <c r="A4" i="3"/>
  <c r="BF3" i="3"/>
  <c r="BE3" i="3"/>
  <c r="BD3" i="3"/>
  <c r="BC3" i="3"/>
  <c r="BB3" i="3"/>
  <c r="BA3" i="3"/>
  <c r="AZ3" i="3"/>
  <c r="AY3" i="3"/>
  <c r="AX3" i="3"/>
  <c r="AW3" i="3"/>
  <c r="AV3" i="3"/>
  <c r="AS3" i="3"/>
  <c r="AR3" i="3"/>
  <c r="AQ3" i="3"/>
  <c r="AP3" i="3"/>
  <c r="AO3" i="3"/>
  <c r="AH3" i="3"/>
  <c r="AG3" i="3"/>
  <c r="AF3" i="3"/>
  <c r="AE3" i="3"/>
  <c r="AD3" i="3"/>
  <c r="AC3" i="3"/>
  <c r="AB3" i="3"/>
  <c r="Y3" i="3"/>
  <c r="X3" i="3"/>
  <c r="W3" i="3"/>
  <c r="J3" i="3"/>
  <c r="I3" i="3"/>
  <c r="G3" i="3"/>
  <c r="D3" i="3"/>
  <c r="C3" i="3"/>
  <c r="B3" i="3"/>
  <c r="A3" i="3"/>
  <c r="BF2" i="3"/>
  <c r="BE2" i="3"/>
  <c r="BD2" i="3"/>
  <c r="BC2" i="3"/>
  <c r="BB2" i="3"/>
  <c r="BA2" i="3"/>
  <c r="AZ2" i="3"/>
  <c r="AY2" i="3"/>
  <c r="AX2" i="3"/>
  <c r="AW2" i="3"/>
  <c r="AV2" i="3"/>
  <c r="AS2" i="3"/>
  <c r="AR2" i="3"/>
  <c r="AQ2" i="3"/>
  <c r="AP2" i="3"/>
  <c r="AO2" i="3"/>
  <c r="AH2" i="3"/>
  <c r="AG2" i="3"/>
  <c r="AF2" i="3"/>
  <c r="AE2" i="3"/>
  <c r="AD2" i="3"/>
  <c r="AC2" i="3"/>
  <c r="AB2" i="3"/>
  <c r="Y2" i="3"/>
  <c r="X2" i="3"/>
  <c r="W2" i="3"/>
  <c r="J2" i="3"/>
  <c r="I2" i="3"/>
  <c r="G2" i="3"/>
  <c r="D2" i="3"/>
  <c r="C2" i="3"/>
  <c r="B2" i="3"/>
  <c r="A2" i="3"/>
</calcChain>
</file>

<file path=xl/sharedStrings.xml><?xml version="1.0" encoding="utf-8"?>
<sst xmlns="http://schemas.openxmlformats.org/spreadsheetml/2006/main" count="679" uniqueCount="271">
  <si>
    <t>string[64]</t>
  </si>
  <si>
    <t>dword</t>
  </si>
  <si>
    <t>float</t>
  </si>
  <si>
    <t>END</t>
  </si>
  <si>
    <t>Code</t>
  </si>
  <si>
    <t>Model</t>
  </si>
  <si>
    <t>Icon</t>
  </si>
  <si>
    <t>Name</t>
  </si>
  <si>
    <t>FixPart</t>
  </si>
  <si>
    <t>DefFrame</t>
  </si>
  <si>
    <t>WPType</t>
  </si>
  <si>
    <t>EffectGroup</t>
  </si>
  <si>
    <t>NeedBullet</t>
  </si>
  <si>
    <t>IsAbr</t>
  </si>
  <si>
    <t>DurUnit</t>
  </si>
  <si>
    <t>LvLim</t>
  </si>
  <si>
    <t>UpLvLim</t>
  </si>
  <si>
    <t>ExpertID1</t>
  </si>
  <si>
    <t>ExpertLim1</t>
  </si>
  <si>
    <t>ExpertID2</t>
  </si>
  <si>
    <t>ExpertLim2</t>
  </si>
  <si>
    <t>AttGap</t>
  </si>
  <si>
    <t>Attack_DP</t>
  </si>
  <si>
    <t>AttackRange</t>
  </si>
  <si>
    <t>AttackDelay</t>
  </si>
  <si>
    <t>MoveSpdRev</t>
  </si>
  <si>
    <t>GAMinAF</t>
  </si>
  <si>
    <t>GAMaxAF</t>
  </si>
  <si>
    <t>AttMastery</t>
  </si>
  <si>
    <t>GAMinSelProb</t>
  </si>
  <si>
    <t>GAMaxSelProb</t>
  </si>
  <si>
    <t>DefFc</t>
  </si>
  <si>
    <t>DefMastery</t>
  </si>
  <si>
    <t>Property</t>
  </si>
  <si>
    <t>Fire</t>
  </si>
  <si>
    <t>Water</t>
  </si>
  <si>
    <t>Soil</t>
  </si>
  <si>
    <t>Wind</t>
  </si>
  <si>
    <t>Money</t>
  </si>
  <si>
    <t>StdPrice</t>
  </si>
  <si>
    <t>StdPoint</t>
  </si>
  <si>
    <t>RepPrice</t>
  </si>
  <si>
    <t>DesRepPrice</t>
  </si>
  <si>
    <t>BstCha</t>
  </si>
  <si>
    <t>BstSpd</t>
  </si>
  <si>
    <t>BackSlt</t>
  </si>
  <si>
    <t>EffCode1</t>
  </si>
  <si>
    <t>EffUnit1</t>
  </si>
  <si>
    <t>EffCode2</t>
  </si>
  <si>
    <t>EffUnit2</t>
  </si>
  <si>
    <t>EffCode3</t>
  </si>
  <si>
    <t>EffUnit3</t>
  </si>
  <si>
    <t>EffCode4</t>
  </si>
  <si>
    <t>EffUnit4</t>
  </si>
  <si>
    <t>ToolTip</t>
  </si>
  <si>
    <t>AttEffType</t>
  </si>
  <si>
    <t>DefEffType</t>
  </si>
  <si>
    <t>unar001</t>
  </si>
  <si>
    <t>00401</t>
  </si>
  <si>
    <t>10000000</t>
  </si>
  <si>
    <t>unar002</t>
  </si>
  <si>
    <t>unar003</t>
  </si>
  <si>
    <t>00402</t>
  </si>
  <si>
    <t>unar004</t>
  </si>
  <si>
    <t>00400</t>
  </si>
  <si>
    <t>unar005</t>
  </si>
  <si>
    <t>unar006</t>
  </si>
  <si>
    <t>unar007</t>
  </si>
  <si>
    <t>unar008</t>
  </si>
  <si>
    <t>unar009</t>
  </si>
  <si>
    <t>00408</t>
  </si>
  <si>
    <t>unar010</t>
  </si>
  <si>
    <t>00409</t>
  </si>
  <si>
    <t>unar011</t>
  </si>
  <si>
    <t>unar012</t>
  </si>
  <si>
    <t>unar013</t>
  </si>
  <si>
    <t>0040C</t>
  </si>
  <si>
    <t>unar014</t>
  </si>
  <si>
    <t>unar015</t>
  </si>
  <si>
    <t>unar016</t>
  </si>
  <si>
    <t>unar017</t>
  </si>
  <si>
    <t>unar018</t>
  </si>
  <si>
    <t>unar019</t>
  </si>
  <si>
    <t>0042D</t>
  </si>
  <si>
    <t>unar020</t>
  </si>
  <si>
    <t>unar021</t>
  </si>
  <si>
    <t>10415</t>
  </si>
  <si>
    <t>01000000</t>
  </si>
  <si>
    <t>unar022</t>
  </si>
  <si>
    <t>unar023</t>
  </si>
  <si>
    <t>10416</t>
  </si>
  <si>
    <t>unar024</t>
  </si>
  <si>
    <t>10414</t>
  </si>
  <si>
    <t>unar025</t>
  </si>
  <si>
    <t>unar026</t>
  </si>
  <si>
    <t>unar027</t>
  </si>
  <si>
    <t>unar028</t>
  </si>
  <si>
    <t>unar029</t>
  </si>
  <si>
    <t>1041C</t>
  </si>
  <si>
    <t>unar030</t>
  </si>
  <si>
    <t>1041D</t>
  </si>
  <si>
    <t>unar031</t>
  </si>
  <si>
    <t>unar032</t>
  </si>
  <si>
    <t>unar033</t>
  </si>
  <si>
    <t>10420</t>
  </si>
  <si>
    <t>unar034</t>
  </si>
  <si>
    <t>unar035</t>
  </si>
  <si>
    <t>unar036</t>
  </si>
  <si>
    <t>unar037</t>
  </si>
  <si>
    <t>unar038</t>
  </si>
  <si>
    <t>unar039</t>
  </si>
  <si>
    <t>1042D</t>
  </si>
  <si>
    <t>unar040</t>
  </si>
  <si>
    <t>unar041</t>
  </si>
  <si>
    <t>20428</t>
  </si>
  <si>
    <t>00100000</t>
  </si>
  <si>
    <t>unar042</t>
  </si>
  <si>
    <t>20429</t>
  </si>
  <si>
    <t>unar043</t>
  </si>
  <si>
    <t>2042A</t>
  </si>
  <si>
    <t>unar044</t>
  </si>
  <si>
    <t>2042B</t>
  </si>
  <si>
    <t>unar045</t>
  </si>
  <si>
    <t>2042C</t>
  </si>
  <si>
    <t>unar046</t>
  </si>
  <si>
    <t>2042D</t>
  </si>
  <si>
    <t>unar047</t>
  </si>
  <si>
    <t>2042E</t>
  </si>
  <si>
    <t>unar048</t>
  </si>
  <si>
    <t>2042F</t>
  </si>
  <si>
    <t>unar049</t>
  </si>
  <si>
    <t>20430</t>
  </si>
  <si>
    <t>unar050</t>
  </si>
  <si>
    <t>20431</t>
  </si>
  <si>
    <t>unar051</t>
  </si>
  <si>
    <t>20432</t>
  </si>
  <si>
    <t>unar052</t>
  </si>
  <si>
    <t>20433</t>
  </si>
  <si>
    <t>unar053</t>
  </si>
  <si>
    <t>20434</t>
  </si>
  <si>
    <t>unar054</t>
  </si>
  <si>
    <t>20435</t>
  </si>
  <si>
    <t>unar055</t>
  </si>
  <si>
    <t>20436</t>
  </si>
  <si>
    <t>unar056</t>
  </si>
  <si>
    <t>20437</t>
  </si>
  <si>
    <t>unar057</t>
  </si>
  <si>
    <t>20438</t>
  </si>
  <si>
    <t>unar058</t>
  </si>
  <si>
    <t>20439</t>
  </si>
  <si>
    <t>unar059</t>
  </si>
  <si>
    <t>2043A</t>
  </si>
  <si>
    <t>unar060</t>
  </si>
  <si>
    <t>2043B</t>
  </si>
  <si>
    <t>unar061</t>
  </si>
  <si>
    <t>3043C</t>
  </si>
  <si>
    <t>00010000</t>
  </si>
  <si>
    <t>unar062</t>
  </si>
  <si>
    <t>3043D</t>
  </si>
  <si>
    <t>unar063</t>
  </si>
  <si>
    <t>3043E</t>
  </si>
  <si>
    <t>unar064</t>
  </si>
  <si>
    <t>3043F</t>
  </si>
  <si>
    <t>unar065</t>
  </si>
  <si>
    <t>30440</t>
  </si>
  <si>
    <t>unar066</t>
  </si>
  <si>
    <t>30441</t>
  </si>
  <si>
    <t>unar067</t>
  </si>
  <si>
    <t>30442</t>
  </si>
  <si>
    <t>unar068</t>
  </si>
  <si>
    <t>30443</t>
  </si>
  <si>
    <t>unar069</t>
  </si>
  <si>
    <t>30444</t>
  </si>
  <si>
    <t>unar070</t>
  </si>
  <si>
    <t>30445</t>
  </si>
  <si>
    <t>unar071</t>
  </si>
  <si>
    <t>30446</t>
  </si>
  <si>
    <t>unar072</t>
  </si>
  <si>
    <t>30447</t>
  </si>
  <si>
    <t>unar073</t>
  </si>
  <si>
    <t>30448</t>
  </si>
  <si>
    <t>unar074</t>
  </si>
  <si>
    <t>30449</t>
  </si>
  <si>
    <t>unar075</t>
  </si>
  <si>
    <t>3044A</t>
  </si>
  <si>
    <t>unar076</t>
  </si>
  <si>
    <t>3044B</t>
  </si>
  <si>
    <t>unar077</t>
  </si>
  <si>
    <t>3044C</t>
  </si>
  <si>
    <t>unar078</t>
  </si>
  <si>
    <t>3044D</t>
  </si>
  <si>
    <t>unar079</t>
  </si>
  <si>
    <t>3044E</t>
  </si>
  <si>
    <t>unar080</t>
  </si>
  <si>
    <t>3044F</t>
  </si>
  <si>
    <t>clcode</t>
  </si>
  <si>
    <t>xeh</t>
  </si>
  <si>
    <t>stb</t>
  </si>
  <si>
    <t>byte</t>
  </si>
  <si>
    <t>word</t>
  </si>
  <si>
    <t>Count</t>
  </si>
  <si>
    <t>Civil</t>
  </si>
  <si>
    <t>ListID</t>
  </si>
  <si>
    <t>none</t>
  </si>
  <si>
    <t>GoldPoint</t>
  </si>
  <si>
    <t>ProcPoint</t>
  </si>
  <si>
    <t>KillPoint</t>
  </si>
  <si>
    <t>StorePrice</t>
  </si>
  <si>
    <t>IsExchange</t>
  </si>
  <si>
    <t>IsSell</t>
  </si>
  <si>
    <t>IsGround</t>
  </si>
  <si>
    <t>IsStore</t>
  </si>
  <si>
    <t>Descript</t>
  </si>
  <si>
    <t>IsExist</t>
  </si>
  <si>
    <t>IsCash</t>
  </si>
  <si>
    <t>IsTime</t>
  </si>
  <si>
    <t>hz</t>
  </si>
  <si>
    <t>text</t>
  </si>
  <si>
    <t>Desc</t>
  </si>
  <si>
    <t>Punch</t>
  </si>
  <si>
    <t>Earthquake Punch</t>
  </si>
  <si>
    <t>Cutter</t>
  </si>
  <si>
    <t>Elec Ball</t>
  </si>
  <si>
    <t>Metal Scissors Arm</t>
  </si>
  <si>
    <t>Shock Wave Punch</t>
  </si>
  <si>
    <t>Exploding Punch</t>
  </si>
  <si>
    <t>Acute Knife Arm</t>
  </si>
  <si>
    <t>Elec Knife Arm</t>
  </si>
  <si>
    <t>Exploding Knife Arm</t>
  </si>
  <si>
    <t>Energy Knife Arm</t>
  </si>
  <si>
    <t>Impact Slicer Arm</t>
  </si>
  <si>
    <t>Sonic Blade Arm</t>
  </si>
  <si>
    <t>H P Knife Arm</t>
  </si>
  <si>
    <t>Beam Slasher Arm</t>
  </si>
  <si>
    <t>Titan Impact Arm</t>
  </si>
  <si>
    <t>Venom Arm</t>
  </si>
  <si>
    <t>Mirage Arm</t>
  </si>
  <si>
    <t>Vulcan</t>
  </si>
  <si>
    <t>Fire Blaster</t>
  </si>
  <si>
    <t>Rocket Launcher</t>
  </si>
  <si>
    <t>Ice Blaster</t>
  </si>
  <si>
    <t>Galvanic Dynamo Launcher</t>
  </si>
  <si>
    <t>Beam Bazooka Launcher</t>
  </si>
  <si>
    <t>Electronic Dynamo Launcher</t>
  </si>
  <si>
    <t>Razor Gatling Arm</t>
  </si>
  <si>
    <t>Advanced Gatling Arm</t>
  </si>
  <si>
    <t>Galvanic Gatling Arm</t>
  </si>
  <si>
    <t>Volcanic Gatiling Arm</t>
  </si>
  <si>
    <t>Hailstorm Cannon Arm</t>
  </si>
  <si>
    <t>Artillary Armed Arm</t>
  </si>
  <si>
    <t>A A A Canon Arm</t>
  </si>
  <si>
    <t>Hybrid Gatiling Arm</t>
  </si>
  <si>
    <t>Judgement Rail Cannon Arm</t>
  </si>
  <si>
    <t>Alter Arm</t>
  </si>
  <si>
    <t>Irregular Arm</t>
  </si>
  <si>
    <t>Basic close range attack component with a rechargable energy.</t>
  </si>
  <si>
    <t>Normal close range attack component with a rechargable energy.</t>
  </si>
  <si>
    <t>Knife close range attack component with a rechargable energy.</t>
  </si>
  <si>
    <t>Weapon component</t>
  </si>
  <si>
    <t>Vulcan type long range weapon component</t>
  </si>
  <si>
    <t>Flamethrower for MAU</t>
  </si>
  <si>
    <t>Rocket Launcher for MAU</t>
  </si>
  <si>
    <t>11000000</t>
  </si>
  <si>
    <t>0042E</t>
  </si>
  <si>
    <t>00430</t>
  </si>
  <si>
    <t>1042E</t>
  </si>
  <si>
    <t>10430</t>
  </si>
  <si>
    <t>Beelzebub Goliath Arm</t>
  </si>
  <si>
    <t>NotUsed</t>
  </si>
  <si>
    <t>Beelzebub Catapult Launcher</t>
  </si>
  <si>
    <t xml:space="preserve">Advanced Unmanned Mining Tool for premium PC room users. You need battery to operate this.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</si>
</sst>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43"/>
      </patternFill>
    </fill>
    <fill>
      <patternFill patternType="solid">
        <fgColor indexed="42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0" xfId="0" applyNumberFormat="1"/>
    <xf numFmtId="0" fontId="0" fillId="0" borderId="1" xfId="0" applyBorder="1"/>
    <xf numFmtId="0" fontId="0" fillId="2" borderId="2" xfId="0" applyFill="1" applyBorder="1"/>
    <xf numFmtId="0" fontId="0" fillId="3" borderId="3" xfId="0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B82"/>
  <sheetViews>
    <sheetView tabSelected="1" workbookViewId="0">
      <pane xSplit="1" ySplit="2" topLeftCell="AF72" activePane="bottomRight" state="frozen"/>
      <selection pane="topRight" activeCell="B1" sqref="B1"/>
      <selection pane="bottomLeft" activeCell="A3" sqref="A3"/>
      <selection pane="bottomRight" activeCell="AX86" sqref="AX86"/>
    </sheetView>
  </sheetViews>
  <sheetFormatPr defaultRowHeight="14.4" x14ac:dyDescent="0.3"/>
  <cols>
    <col min="1" max="2" width="9.44140625" bestFit="1" customWidth="1"/>
    <col min="3" max="3" width="6.6640625" bestFit="1" customWidth="1"/>
    <col min="4" max="4" width="36.5546875" bestFit="1" customWidth="1"/>
    <col min="5" max="5" width="7.109375" bestFit="1" customWidth="1"/>
    <col min="6" max="6" width="9.6640625" bestFit="1" customWidth="1"/>
    <col min="7" max="7" width="8.33203125" bestFit="1" customWidth="1"/>
    <col min="8" max="8" width="11.5546875" bestFit="1" customWidth="1"/>
    <col min="9" max="9" width="11.109375" bestFit="1" customWidth="1"/>
    <col min="10" max="10" width="6.6640625" bestFit="1" customWidth="1"/>
    <col min="11" max="11" width="7.88671875" bestFit="1" customWidth="1"/>
    <col min="12" max="12" width="6.6640625" bestFit="1" customWidth="1"/>
    <col min="13" max="13" width="8.44140625" bestFit="1" customWidth="1"/>
    <col min="14" max="14" width="9.5546875" bestFit="1" customWidth="1"/>
    <col min="15" max="15" width="10.88671875" bestFit="1" customWidth="1"/>
    <col min="16" max="16" width="9.5546875" bestFit="1" customWidth="1"/>
    <col min="17" max="17" width="10.88671875" bestFit="1" customWidth="1"/>
    <col min="18" max="18" width="7.109375" bestFit="1" customWidth="1"/>
    <col min="19" max="19" width="10" bestFit="1" customWidth="1"/>
    <col min="20" max="20" width="12" bestFit="1" customWidth="1"/>
    <col min="21" max="21" width="11.5546875" bestFit="1" customWidth="1"/>
    <col min="22" max="22" width="12.5546875" bestFit="1" customWidth="1"/>
    <col min="23" max="23" width="9.33203125" bestFit="1" customWidth="1"/>
    <col min="24" max="24" width="9.5546875" bestFit="1" customWidth="1"/>
    <col min="25" max="25" width="10.88671875" bestFit="1" customWidth="1"/>
    <col min="26" max="26" width="14" bestFit="1" customWidth="1"/>
    <col min="27" max="27" width="14.33203125" bestFit="1" customWidth="1"/>
    <col min="28" max="28" width="6.6640625" bestFit="1" customWidth="1"/>
    <col min="29" max="29" width="11.33203125" bestFit="1" customWidth="1"/>
    <col min="30" max="30" width="8.6640625" bestFit="1" customWidth="1"/>
    <col min="31" max="34" width="6.6640625" bestFit="1" customWidth="1"/>
    <col min="35" max="35" width="7.109375" bestFit="1" customWidth="1"/>
    <col min="36" max="36" width="10" bestFit="1" customWidth="1"/>
    <col min="37" max="37" width="8.5546875" bestFit="1" customWidth="1"/>
    <col min="38" max="38" width="8.88671875" bestFit="1" customWidth="1"/>
    <col min="39" max="39" width="12.109375" bestFit="1" customWidth="1"/>
    <col min="40" max="41" width="7" bestFit="1" customWidth="1"/>
    <col min="42" max="42" width="7.33203125" bestFit="1" customWidth="1"/>
    <col min="43" max="43" width="9" bestFit="1" customWidth="1"/>
    <col min="44" max="44" width="8.109375" bestFit="1" customWidth="1"/>
    <col min="45" max="45" width="9" bestFit="1" customWidth="1"/>
    <col min="46" max="46" width="8.109375" bestFit="1" customWidth="1"/>
    <col min="47" max="47" width="9" bestFit="1" customWidth="1"/>
    <col min="48" max="48" width="8.109375" bestFit="1" customWidth="1"/>
    <col min="49" max="49" width="9" bestFit="1" customWidth="1"/>
    <col min="50" max="50" width="8.109375" bestFit="1" customWidth="1"/>
    <col min="51" max="51" width="9.44140625" bestFit="1" customWidth="1"/>
    <col min="52" max="52" width="10.44140625" bestFit="1" customWidth="1"/>
    <col min="53" max="53" width="10.88671875" bestFit="1" customWidth="1"/>
    <col min="54" max="54" width="4.6640625" bestFit="1" customWidth="1"/>
  </cols>
  <sheetData>
    <row r="1" spans="1:54" x14ac:dyDescent="0.3">
      <c r="A1" s="2" t="s">
        <v>0</v>
      </c>
      <c r="B1" s="2" t="s">
        <v>0</v>
      </c>
      <c r="C1" s="2" t="s">
        <v>1</v>
      </c>
      <c r="D1" s="2" t="s">
        <v>0</v>
      </c>
      <c r="E1" s="2" t="s">
        <v>1</v>
      </c>
      <c r="F1" s="2" t="s">
        <v>0</v>
      </c>
      <c r="G1" s="2" t="s">
        <v>1</v>
      </c>
      <c r="H1" s="2" t="s">
        <v>1</v>
      </c>
      <c r="I1" s="2" t="s">
        <v>1</v>
      </c>
      <c r="J1" s="2" t="s">
        <v>1</v>
      </c>
      <c r="K1" s="2" t="s">
        <v>1</v>
      </c>
      <c r="L1" s="2" t="s">
        <v>1</v>
      </c>
      <c r="M1" s="2" t="s">
        <v>1</v>
      </c>
      <c r="N1" s="2" t="s">
        <v>1</v>
      </c>
      <c r="O1" s="2" t="s">
        <v>1</v>
      </c>
      <c r="P1" s="2" t="s">
        <v>1</v>
      </c>
      <c r="Q1" s="2" t="s">
        <v>1</v>
      </c>
      <c r="R1" s="2" t="s">
        <v>2</v>
      </c>
      <c r="S1" s="2" t="s">
        <v>1</v>
      </c>
      <c r="T1" s="2" t="s">
        <v>2</v>
      </c>
      <c r="U1" s="2" t="s">
        <v>1</v>
      </c>
      <c r="V1" s="2" t="s">
        <v>2</v>
      </c>
      <c r="W1" s="2" t="s">
        <v>1</v>
      </c>
      <c r="X1" s="2" t="s">
        <v>1</v>
      </c>
      <c r="Y1" s="2" t="s">
        <v>1</v>
      </c>
      <c r="Z1" s="2" t="s">
        <v>1</v>
      </c>
      <c r="AA1" s="2" t="s">
        <v>1</v>
      </c>
      <c r="AB1" s="2" t="s">
        <v>1</v>
      </c>
      <c r="AC1" s="2" t="s">
        <v>1</v>
      </c>
      <c r="AD1" s="2" t="s">
        <v>1</v>
      </c>
      <c r="AE1" s="2" t="s">
        <v>1</v>
      </c>
      <c r="AF1" s="2" t="s">
        <v>1</v>
      </c>
      <c r="AG1" s="2" t="s">
        <v>1</v>
      </c>
      <c r="AH1" s="2" t="s">
        <v>1</v>
      </c>
      <c r="AI1" s="2" t="s">
        <v>1</v>
      </c>
      <c r="AJ1" s="2" t="s">
        <v>1</v>
      </c>
      <c r="AK1" s="2" t="s">
        <v>1</v>
      </c>
      <c r="AL1" s="2" t="s">
        <v>1</v>
      </c>
      <c r="AM1" s="2" t="s">
        <v>1</v>
      </c>
      <c r="AN1" s="2" t="s">
        <v>1</v>
      </c>
      <c r="AO1" s="2" t="s">
        <v>2</v>
      </c>
      <c r="AP1" s="2" t="s">
        <v>1</v>
      </c>
      <c r="AQ1" s="2" t="s">
        <v>1</v>
      </c>
      <c r="AR1" s="2" t="s">
        <v>2</v>
      </c>
      <c r="AS1" s="2" t="s">
        <v>1</v>
      </c>
      <c r="AT1" s="2" t="s">
        <v>2</v>
      </c>
      <c r="AU1" s="2" t="s">
        <v>1</v>
      </c>
      <c r="AV1" s="2" t="s">
        <v>2</v>
      </c>
      <c r="AW1" s="2" t="s">
        <v>1</v>
      </c>
      <c r="AX1" s="2" t="s">
        <v>2</v>
      </c>
      <c r="AY1" s="2" t="s">
        <v>0</v>
      </c>
      <c r="AZ1" s="2" t="s">
        <v>1</v>
      </c>
      <c r="BA1" s="2" t="s">
        <v>1</v>
      </c>
      <c r="BB1" s="2" t="s">
        <v>3</v>
      </c>
    </row>
    <row r="2" spans="1:54" x14ac:dyDescent="0.3">
      <c r="A2" s="2" t="s">
        <v>4</v>
      </c>
      <c r="B2" s="2" t="s">
        <v>5</v>
      </c>
      <c r="C2" s="2" t="s">
        <v>6</v>
      </c>
      <c r="D2" s="2" t="s">
        <v>7</v>
      </c>
      <c r="E2" s="2" t="s">
        <v>8</v>
      </c>
      <c r="F2" s="2" t="s">
        <v>9</v>
      </c>
      <c r="G2" s="2" t="s">
        <v>10</v>
      </c>
      <c r="H2" s="2" t="s">
        <v>11</v>
      </c>
      <c r="I2" s="2" t="s">
        <v>12</v>
      </c>
      <c r="J2" s="2" t="s">
        <v>13</v>
      </c>
      <c r="K2" s="2" t="s">
        <v>14</v>
      </c>
      <c r="L2" s="2" t="s">
        <v>15</v>
      </c>
      <c r="M2" s="2" t="s">
        <v>16</v>
      </c>
      <c r="N2" s="2" t="s">
        <v>17</v>
      </c>
      <c r="O2" s="2" t="s">
        <v>18</v>
      </c>
      <c r="P2" s="2" t="s">
        <v>19</v>
      </c>
      <c r="Q2" s="2" t="s">
        <v>20</v>
      </c>
      <c r="R2" s="2" t="s">
        <v>21</v>
      </c>
      <c r="S2" s="2" t="s">
        <v>22</v>
      </c>
      <c r="T2" s="2" t="s">
        <v>23</v>
      </c>
      <c r="U2" s="2" t="s">
        <v>24</v>
      </c>
      <c r="V2" s="2" t="s">
        <v>25</v>
      </c>
      <c r="W2" s="2" t="s">
        <v>26</v>
      </c>
      <c r="X2" s="2" t="s">
        <v>27</v>
      </c>
      <c r="Y2" s="2" t="s">
        <v>28</v>
      </c>
      <c r="Z2" s="2" t="s">
        <v>29</v>
      </c>
      <c r="AA2" s="2" t="s">
        <v>30</v>
      </c>
      <c r="AB2" s="2" t="s">
        <v>31</v>
      </c>
      <c r="AC2" s="2" t="s">
        <v>32</v>
      </c>
      <c r="AD2" s="2" t="s">
        <v>33</v>
      </c>
      <c r="AE2" s="2" t="s">
        <v>34</v>
      </c>
      <c r="AF2" s="2" t="s">
        <v>35</v>
      </c>
      <c r="AG2" s="2" t="s">
        <v>36</v>
      </c>
      <c r="AH2" s="2" t="s">
        <v>37</v>
      </c>
      <c r="AI2" s="2" t="s">
        <v>38</v>
      </c>
      <c r="AJ2" s="2" t="s">
        <v>39</v>
      </c>
      <c r="AK2" s="2" t="s">
        <v>40</v>
      </c>
      <c r="AL2" s="2" t="s">
        <v>41</v>
      </c>
      <c r="AM2" s="2" t="s">
        <v>42</v>
      </c>
      <c r="AN2" s="2" t="s">
        <v>43</v>
      </c>
      <c r="AO2" s="2" t="s">
        <v>44</v>
      </c>
      <c r="AP2" s="2" t="s">
        <v>45</v>
      </c>
      <c r="AQ2" s="2" t="s">
        <v>46</v>
      </c>
      <c r="AR2" s="2" t="s">
        <v>47</v>
      </c>
      <c r="AS2" s="2" t="s">
        <v>48</v>
      </c>
      <c r="AT2" s="2" t="s">
        <v>49</v>
      </c>
      <c r="AU2" s="2" t="s">
        <v>50</v>
      </c>
      <c r="AV2" s="2" t="s">
        <v>51</v>
      </c>
      <c r="AW2" s="2" t="s">
        <v>52</v>
      </c>
      <c r="AX2" s="2" t="s">
        <v>53</v>
      </c>
      <c r="AY2" s="2" t="s">
        <v>54</v>
      </c>
      <c r="AZ2" s="2" t="s">
        <v>55</v>
      </c>
      <c r="BA2" s="2" t="s">
        <v>56</v>
      </c>
      <c r="BB2" s="2"/>
    </row>
    <row r="3" spans="1:54" x14ac:dyDescent="0.3">
      <c r="A3" s="3" t="s">
        <v>57</v>
      </c>
      <c r="B3" s="3" t="s">
        <v>58</v>
      </c>
      <c r="C3" s="3">
        <v>1</v>
      </c>
      <c r="D3" s="3" t="s">
        <v>219</v>
      </c>
      <c r="E3" s="3">
        <v>3</v>
      </c>
      <c r="F3" s="3" t="s">
        <v>59</v>
      </c>
      <c r="G3" s="3">
        <v>1</v>
      </c>
      <c r="H3" s="3">
        <v>0</v>
      </c>
      <c r="I3" s="3">
        <v>1</v>
      </c>
      <c r="J3" s="2">
        <v>0</v>
      </c>
      <c r="K3" s="2">
        <v>0</v>
      </c>
      <c r="L3" s="3">
        <v>30</v>
      </c>
      <c r="M3" s="3">
        <v>-1</v>
      </c>
      <c r="N3" s="3">
        <v>2</v>
      </c>
      <c r="O3" s="3">
        <v>1</v>
      </c>
      <c r="P3" s="3">
        <v>-1</v>
      </c>
      <c r="Q3" s="3">
        <v>-1</v>
      </c>
      <c r="R3" s="2">
        <v>0</v>
      </c>
      <c r="S3" s="2">
        <v>0</v>
      </c>
      <c r="T3" s="3">
        <v>40</v>
      </c>
      <c r="U3" s="3">
        <v>1700</v>
      </c>
      <c r="V3" s="2">
        <v>0</v>
      </c>
      <c r="W3" s="3">
        <v>961</v>
      </c>
      <c r="X3" s="3">
        <v>1068</v>
      </c>
      <c r="Y3" s="3">
        <v>20</v>
      </c>
      <c r="Z3" s="2">
        <v>30</v>
      </c>
      <c r="AA3" s="2">
        <v>50</v>
      </c>
      <c r="AB3" s="3">
        <v>303</v>
      </c>
      <c r="AC3" s="3">
        <v>0</v>
      </c>
      <c r="AD3" s="2">
        <v>-1</v>
      </c>
      <c r="AE3" s="3">
        <v>0</v>
      </c>
      <c r="AF3" s="3">
        <v>0</v>
      </c>
      <c r="AG3" s="3">
        <v>0</v>
      </c>
      <c r="AH3" s="3">
        <v>0</v>
      </c>
      <c r="AI3" s="3">
        <v>0</v>
      </c>
      <c r="AJ3" s="3">
        <v>100000</v>
      </c>
      <c r="AK3" s="3">
        <v>1</v>
      </c>
      <c r="AL3" s="3">
        <v>1</v>
      </c>
      <c r="AM3" s="2">
        <v>2000</v>
      </c>
      <c r="AN3" s="2">
        <v>0</v>
      </c>
      <c r="AO3" s="2">
        <v>0</v>
      </c>
      <c r="AP3" s="3">
        <v>1</v>
      </c>
      <c r="AQ3" s="2">
        <v>0</v>
      </c>
      <c r="AR3" s="2">
        <v>0</v>
      </c>
      <c r="AS3" s="2">
        <v>0</v>
      </c>
      <c r="AT3" s="2">
        <v>0</v>
      </c>
      <c r="AU3" s="2">
        <v>0</v>
      </c>
      <c r="AV3" s="2">
        <v>0</v>
      </c>
      <c r="AW3" s="2">
        <v>0</v>
      </c>
      <c r="AX3" s="2">
        <v>0</v>
      </c>
      <c r="AY3" s="2" t="str">
        <f>"t"&amp;A3</f>
        <v>tunar001</v>
      </c>
      <c r="AZ3" s="3">
        <v>4</v>
      </c>
      <c r="BA3" s="3">
        <v>2</v>
      </c>
      <c r="BB3" s="2"/>
    </row>
    <row r="4" spans="1:54" x14ac:dyDescent="0.3">
      <c r="A4" s="3" t="s">
        <v>60</v>
      </c>
      <c r="B4" s="3" t="s">
        <v>58</v>
      </c>
      <c r="C4" s="3">
        <v>2</v>
      </c>
      <c r="D4" s="3" t="s">
        <v>220</v>
      </c>
      <c r="E4" s="3">
        <v>3</v>
      </c>
      <c r="F4" s="3" t="s">
        <v>59</v>
      </c>
      <c r="G4" s="3">
        <v>1</v>
      </c>
      <c r="H4" s="3">
        <v>0</v>
      </c>
      <c r="I4" s="3">
        <v>1</v>
      </c>
      <c r="J4" s="2">
        <v>0</v>
      </c>
      <c r="K4" s="2">
        <v>0</v>
      </c>
      <c r="L4" s="3">
        <v>30</v>
      </c>
      <c r="M4" s="3">
        <v>-1</v>
      </c>
      <c r="N4" s="3">
        <v>2</v>
      </c>
      <c r="O4" s="3">
        <v>15</v>
      </c>
      <c r="P4" s="3">
        <v>-1</v>
      </c>
      <c r="Q4" s="3">
        <v>-1</v>
      </c>
      <c r="R4" s="2">
        <v>0</v>
      </c>
      <c r="S4" s="2">
        <v>0</v>
      </c>
      <c r="T4" s="3">
        <v>40</v>
      </c>
      <c r="U4" s="3">
        <v>1700</v>
      </c>
      <c r="V4" s="2">
        <v>0</v>
      </c>
      <c r="W4" s="3">
        <v>1153</v>
      </c>
      <c r="X4" s="3">
        <v>1282</v>
      </c>
      <c r="Y4" s="3">
        <v>25</v>
      </c>
      <c r="Z4" s="2">
        <v>30</v>
      </c>
      <c r="AA4" s="2">
        <v>40</v>
      </c>
      <c r="AB4" s="3">
        <v>303</v>
      </c>
      <c r="AC4" s="3">
        <v>0</v>
      </c>
      <c r="AD4" s="2">
        <v>-1</v>
      </c>
      <c r="AE4" s="3">
        <v>0</v>
      </c>
      <c r="AF4" s="3">
        <v>0</v>
      </c>
      <c r="AG4" s="3">
        <v>0</v>
      </c>
      <c r="AH4" s="3">
        <v>0</v>
      </c>
      <c r="AI4" s="3">
        <v>0</v>
      </c>
      <c r="AJ4" s="3">
        <v>200000</v>
      </c>
      <c r="AK4" s="3">
        <v>1</v>
      </c>
      <c r="AL4" s="3">
        <v>1</v>
      </c>
      <c r="AM4" s="2">
        <v>4000</v>
      </c>
      <c r="AN4" s="2">
        <v>0</v>
      </c>
      <c r="AO4" s="2">
        <v>0</v>
      </c>
      <c r="AP4" s="3">
        <v>1</v>
      </c>
      <c r="AQ4" s="2">
        <v>0</v>
      </c>
      <c r="AR4" s="2">
        <v>0</v>
      </c>
      <c r="AS4" s="2">
        <v>0</v>
      </c>
      <c r="AT4" s="2">
        <v>0</v>
      </c>
      <c r="AU4" s="2">
        <v>0</v>
      </c>
      <c r="AV4" s="2">
        <v>0</v>
      </c>
      <c r="AW4" s="2">
        <v>0</v>
      </c>
      <c r="AX4" s="2">
        <v>0</v>
      </c>
      <c r="AY4" s="2" t="str">
        <f t="shared" ref="AY4:AY67" si="0">"t"&amp;A4</f>
        <v>tunar002</v>
      </c>
      <c r="AZ4" s="3">
        <v>4</v>
      </c>
      <c r="BA4" s="3">
        <v>2</v>
      </c>
      <c r="BB4" s="2"/>
    </row>
    <row r="5" spans="1:54" x14ac:dyDescent="0.3">
      <c r="A5" s="3" t="s">
        <v>61</v>
      </c>
      <c r="B5" s="3" t="s">
        <v>62</v>
      </c>
      <c r="C5" s="3">
        <v>3</v>
      </c>
      <c r="D5" s="3" t="s">
        <v>221</v>
      </c>
      <c r="E5" s="3">
        <v>3</v>
      </c>
      <c r="F5" s="3" t="s">
        <v>59</v>
      </c>
      <c r="G5" s="3">
        <v>1</v>
      </c>
      <c r="H5" s="3">
        <v>0</v>
      </c>
      <c r="I5" s="3">
        <v>1</v>
      </c>
      <c r="J5" s="2">
        <v>0</v>
      </c>
      <c r="K5" s="2">
        <v>0</v>
      </c>
      <c r="L5" s="3">
        <v>30</v>
      </c>
      <c r="M5" s="3">
        <v>-1</v>
      </c>
      <c r="N5" s="3">
        <v>2</v>
      </c>
      <c r="O5" s="3">
        <v>30</v>
      </c>
      <c r="P5" s="3">
        <v>-1</v>
      </c>
      <c r="Q5" s="3">
        <v>-1</v>
      </c>
      <c r="R5" s="2">
        <v>0</v>
      </c>
      <c r="S5" s="2">
        <v>0</v>
      </c>
      <c r="T5" s="3">
        <v>40</v>
      </c>
      <c r="U5" s="3">
        <v>1700</v>
      </c>
      <c r="V5" s="2">
        <v>0</v>
      </c>
      <c r="W5" s="3">
        <v>1384</v>
      </c>
      <c r="X5" s="3">
        <v>1538</v>
      </c>
      <c r="Y5" s="3">
        <v>35</v>
      </c>
      <c r="Z5" s="2">
        <v>30</v>
      </c>
      <c r="AA5" s="2">
        <v>30</v>
      </c>
      <c r="AB5" s="3">
        <v>303</v>
      </c>
      <c r="AC5" s="3">
        <v>0</v>
      </c>
      <c r="AD5" s="2">
        <v>-1</v>
      </c>
      <c r="AE5" s="3">
        <v>0</v>
      </c>
      <c r="AF5" s="3">
        <v>0</v>
      </c>
      <c r="AG5" s="3">
        <v>0</v>
      </c>
      <c r="AH5" s="3">
        <v>0</v>
      </c>
      <c r="AI5" s="3">
        <v>0</v>
      </c>
      <c r="AJ5" s="3">
        <v>300000</v>
      </c>
      <c r="AK5" s="3">
        <v>1</v>
      </c>
      <c r="AL5" s="3">
        <v>1</v>
      </c>
      <c r="AM5" s="2">
        <v>6000</v>
      </c>
      <c r="AN5" s="2">
        <v>0</v>
      </c>
      <c r="AO5" s="2">
        <v>0</v>
      </c>
      <c r="AP5" s="3">
        <v>1</v>
      </c>
      <c r="AQ5" s="2">
        <v>0</v>
      </c>
      <c r="AR5" s="2">
        <v>0</v>
      </c>
      <c r="AS5" s="2">
        <v>0</v>
      </c>
      <c r="AT5" s="2">
        <v>0</v>
      </c>
      <c r="AU5" s="2">
        <v>0</v>
      </c>
      <c r="AV5" s="2">
        <v>0</v>
      </c>
      <c r="AW5" s="2">
        <v>0</v>
      </c>
      <c r="AX5" s="2">
        <v>0</v>
      </c>
      <c r="AY5" s="2" t="str">
        <f t="shared" si="0"/>
        <v>tunar003</v>
      </c>
      <c r="AZ5" s="3">
        <v>1</v>
      </c>
      <c r="BA5" s="3">
        <v>2</v>
      </c>
      <c r="BB5" s="2"/>
    </row>
    <row r="6" spans="1:54" x14ac:dyDescent="0.3">
      <c r="A6" s="3" t="s">
        <v>63</v>
      </c>
      <c r="B6" s="3" t="s">
        <v>263</v>
      </c>
      <c r="C6" s="3">
        <v>16</v>
      </c>
      <c r="D6" s="3" t="s">
        <v>222</v>
      </c>
      <c r="E6" s="3">
        <v>3</v>
      </c>
      <c r="F6" s="3" t="s">
        <v>59</v>
      </c>
      <c r="G6" s="3">
        <v>1</v>
      </c>
      <c r="H6" s="3">
        <v>0</v>
      </c>
      <c r="I6" s="3">
        <v>1</v>
      </c>
      <c r="J6" s="2">
        <v>0</v>
      </c>
      <c r="K6" s="2">
        <v>0</v>
      </c>
      <c r="L6" s="3">
        <v>69</v>
      </c>
      <c r="M6" s="3">
        <v>-1</v>
      </c>
      <c r="N6" s="3">
        <v>2</v>
      </c>
      <c r="O6" s="3">
        <v>99</v>
      </c>
      <c r="P6" s="3">
        <v>-1</v>
      </c>
      <c r="Q6" s="3">
        <v>-1</v>
      </c>
      <c r="R6" s="2">
        <v>0</v>
      </c>
      <c r="S6" s="2">
        <v>0</v>
      </c>
      <c r="T6" s="3">
        <v>40</v>
      </c>
      <c r="U6" s="3">
        <v>1700</v>
      </c>
      <c r="V6" s="2">
        <v>0</v>
      </c>
      <c r="W6" s="3">
        <v>45288</v>
      </c>
      <c r="X6" s="3">
        <v>50320</v>
      </c>
      <c r="Y6" s="3">
        <v>50</v>
      </c>
      <c r="Z6" s="2">
        <v>30</v>
      </c>
      <c r="AA6" s="2">
        <v>30</v>
      </c>
      <c r="AB6" s="3">
        <v>4211</v>
      </c>
      <c r="AC6" s="3">
        <v>0</v>
      </c>
      <c r="AD6" s="2">
        <v>-1</v>
      </c>
      <c r="AE6" s="3">
        <v>0</v>
      </c>
      <c r="AF6" s="3">
        <v>0</v>
      </c>
      <c r="AG6" s="3">
        <v>0</v>
      </c>
      <c r="AH6" s="3">
        <v>0</v>
      </c>
      <c r="AI6" s="3">
        <v>0</v>
      </c>
      <c r="AJ6" s="3">
        <v>1088640000</v>
      </c>
      <c r="AK6" s="3">
        <v>1</v>
      </c>
      <c r="AL6" s="3">
        <v>18</v>
      </c>
      <c r="AM6" s="2">
        <v>142000</v>
      </c>
      <c r="AN6" s="2">
        <v>0</v>
      </c>
      <c r="AO6" s="2">
        <v>0</v>
      </c>
      <c r="AP6" s="3">
        <v>1</v>
      </c>
      <c r="AQ6" s="2">
        <v>0</v>
      </c>
      <c r="AR6" s="2">
        <v>0</v>
      </c>
      <c r="AS6" s="2">
        <v>0</v>
      </c>
      <c r="AT6" s="2">
        <v>0</v>
      </c>
      <c r="AU6" s="2">
        <v>0</v>
      </c>
      <c r="AV6" s="2">
        <v>0</v>
      </c>
      <c r="AW6" s="2">
        <v>0</v>
      </c>
      <c r="AX6" s="2">
        <v>0</v>
      </c>
      <c r="AY6" s="2" t="str">
        <f t="shared" si="0"/>
        <v>tunar004</v>
      </c>
      <c r="AZ6" s="3">
        <v>-1</v>
      </c>
      <c r="BA6" s="3">
        <v>2</v>
      </c>
      <c r="BB6" s="2"/>
    </row>
    <row r="7" spans="1:54" x14ac:dyDescent="0.3">
      <c r="A7" s="3" t="s">
        <v>65</v>
      </c>
      <c r="B7" s="3" t="s">
        <v>58</v>
      </c>
      <c r="C7" s="3">
        <v>1</v>
      </c>
      <c r="D7" s="3" t="s">
        <v>223</v>
      </c>
      <c r="E7" s="3">
        <v>3</v>
      </c>
      <c r="F7" s="3" t="s">
        <v>59</v>
      </c>
      <c r="G7" s="3">
        <v>1</v>
      </c>
      <c r="H7" s="3">
        <v>0</v>
      </c>
      <c r="I7" s="3">
        <v>1</v>
      </c>
      <c r="J7" s="2">
        <v>0</v>
      </c>
      <c r="K7" s="2">
        <v>0</v>
      </c>
      <c r="L7" s="3">
        <v>35</v>
      </c>
      <c r="M7" s="3">
        <v>-1</v>
      </c>
      <c r="N7" s="3">
        <v>2</v>
      </c>
      <c r="O7" s="3">
        <v>52</v>
      </c>
      <c r="P7" s="3">
        <v>-1</v>
      </c>
      <c r="Q7" s="3">
        <v>-1</v>
      </c>
      <c r="R7" s="2">
        <v>0</v>
      </c>
      <c r="S7" s="2">
        <v>0</v>
      </c>
      <c r="T7" s="3">
        <v>40</v>
      </c>
      <c r="U7" s="3">
        <v>1700</v>
      </c>
      <c r="V7" s="2">
        <v>0</v>
      </c>
      <c r="W7" s="3">
        <v>1778</v>
      </c>
      <c r="X7" s="3">
        <v>1976</v>
      </c>
      <c r="Y7" s="3">
        <v>50</v>
      </c>
      <c r="Z7" s="2">
        <v>30</v>
      </c>
      <c r="AA7" s="2">
        <v>30</v>
      </c>
      <c r="AB7" s="3">
        <v>405</v>
      </c>
      <c r="AC7" s="3">
        <v>0</v>
      </c>
      <c r="AD7" s="2">
        <v>-1</v>
      </c>
      <c r="AE7" s="3">
        <v>0</v>
      </c>
      <c r="AF7" s="3">
        <v>0</v>
      </c>
      <c r="AG7" s="3">
        <v>0</v>
      </c>
      <c r="AH7" s="3">
        <v>0</v>
      </c>
      <c r="AI7" s="3">
        <v>0</v>
      </c>
      <c r="AJ7" s="3">
        <v>600000</v>
      </c>
      <c r="AK7" s="3">
        <v>1</v>
      </c>
      <c r="AL7" s="3">
        <v>1</v>
      </c>
      <c r="AM7" s="2">
        <v>12000</v>
      </c>
      <c r="AN7" s="2">
        <v>0</v>
      </c>
      <c r="AO7" s="2">
        <v>0</v>
      </c>
      <c r="AP7" s="3">
        <v>1</v>
      </c>
      <c r="AQ7" s="2">
        <v>0</v>
      </c>
      <c r="AR7" s="2">
        <v>0</v>
      </c>
      <c r="AS7" s="2">
        <v>0</v>
      </c>
      <c r="AT7" s="2">
        <v>0</v>
      </c>
      <c r="AU7" s="2">
        <v>0</v>
      </c>
      <c r="AV7" s="2">
        <v>0</v>
      </c>
      <c r="AW7" s="2">
        <v>0</v>
      </c>
      <c r="AX7" s="2">
        <v>0</v>
      </c>
      <c r="AY7" s="2" t="str">
        <f t="shared" si="0"/>
        <v>tunar005</v>
      </c>
      <c r="AZ7" s="3">
        <v>4</v>
      </c>
      <c r="BA7" s="3">
        <v>2</v>
      </c>
      <c r="BB7" s="2"/>
    </row>
    <row r="8" spans="1:54" x14ac:dyDescent="0.3">
      <c r="A8" s="3" t="s">
        <v>66</v>
      </c>
      <c r="B8" s="3" t="s">
        <v>62</v>
      </c>
      <c r="C8" s="3">
        <v>1</v>
      </c>
      <c r="D8" s="3" t="s">
        <v>224</v>
      </c>
      <c r="E8" s="3">
        <v>3</v>
      </c>
      <c r="F8" s="3" t="s">
        <v>59</v>
      </c>
      <c r="G8" s="3">
        <v>1</v>
      </c>
      <c r="H8" s="3">
        <v>0</v>
      </c>
      <c r="I8" s="3">
        <v>1</v>
      </c>
      <c r="J8" s="2">
        <v>0</v>
      </c>
      <c r="K8" s="2">
        <v>0</v>
      </c>
      <c r="L8" s="3">
        <v>37</v>
      </c>
      <c r="M8" s="3">
        <v>-1</v>
      </c>
      <c r="N8" s="3">
        <v>2</v>
      </c>
      <c r="O8" s="3">
        <v>60</v>
      </c>
      <c r="P8" s="3">
        <v>-1</v>
      </c>
      <c r="Q8" s="3">
        <v>-1</v>
      </c>
      <c r="R8" s="2">
        <v>0</v>
      </c>
      <c r="S8" s="2">
        <v>0</v>
      </c>
      <c r="T8" s="3">
        <v>40</v>
      </c>
      <c r="U8" s="3">
        <v>1700</v>
      </c>
      <c r="V8" s="2">
        <v>0</v>
      </c>
      <c r="W8" s="3">
        <v>2426</v>
      </c>
      <c r="X8" s="3">
        <v>2696</v>
      </c>
      <c r="Y8" s="3">
        <v>50</v>
      </c>
      <c r="Z8" s="2">
        <v>30</v>
      </c>
      <c r="AA8" s="2">
        <v>30</v>
      </c>
      <c r="AB8" s="3">
        <v>472</v>
      </c>
      <c r="AC8" s="3">
        <v>0</v>
      </c>
      <c r="AD8" s="2">
        <v>-1</v>
      </c>
      <c r="AE8" s="3">
        <v>0</v>
      </c>
      <c r="AF8" s="3">
        <v>0</v>
      </c>
      <c r="AG8" s="3">
        <v>0</v>
      </c>
      <c r="AH8" s="3">
        <v>0</v>
      </c>
      <c r="AI8" s="3">
        <v>0</v>
      </c>
      <c r="AJ8" s="3">
        <v>800000</v>
      </c>
      <c r="AK8" s="3">
        <v>1</v>
      </c>
      <c r="AL8" s="3">
        <v>1</v>
      </c>
      <c r="AM8" s="2">
        <v>16000</v>
      </c>
      <c r="AN8" s="2">
        <v>0</v>
      </c>
      <c r="AO8" s="2">
        <v>0</v>
      </c>
      <c r="AP8" s="3">
        <v>1</v>
      </c>
      <c r="AQ8" s="2">
        <v>0</v>
      </c>
      <c r="AR8" s="2">
        <v>0</v>
      </c>
      <c r="AS8" s="2">
        <v>0</v>
      </c>
      <c r="AT8" s="2">
        <v>0</v>
      </c>
      <c r="AU8" s="2">
        <v>0</v>
      </c>
      <c r="AV8" s="2">
        <v>0</v>
      </c>
      <c r="AW8" s="2">
        <v>0</v>
      </c>
      <c r="AX8" s="2">
        <v>0</v>
      </c>
      <c r="AY8" s="2" t="str">
        <f t="shared" si="0"/>
        <v>tunar006</v>
      </c>
      <c r="AZ8" s="3">
        <v>4</v>
      </c>
      <c r="BA8" s="3">
        <v>2</v>
      </c>
      <c r="BB8" s="2"/>
    </row>
    <row r="9" spans="1:54" x14ac:dyDescent="0.3">
      <c r="A9" s="3" t="s">
        <v>67</v>
      </c>
      <c r="B9" s="3" t="s">
        <v>64</v>
      </c>
      <c r="C9" s="3">
        <v>100</v>
      </c>
      <c r="D9" s="3" t="s">
        <v>225</v>
      </c>
      <c r="E9" s="3">
        <v>3</v>
      </c>
      <c r="F9" s="3" t="s">
        <v>59</v>
      </c>
      <c r="G9" s="3">
        <v>1</v>
      </c>
      <c r="H9" s="3">
        <v>0</v>
      </c>
      <c r="I9" s="3">
        <v>1</v>
      </c>
      <c r="J9" s="2">
        <v>0</v>
      </c>
      <c r="K9" s="2">
        <v>0</v>
      </c>
      <c r="L9" s="3">
        <v>100</v>
      </c>
      <c r="M9" s="3">
        <v>-1</v>
      </c>
      <c r="N9" s="3">
        <v>2</v>
      </c>
      <c r="O9" s="3">
        <v>100</v>
      </c>
      <c r="P9" s="3">
        <v>-1</v>
      </c>
      <c r="Q9" s="3">
        <v>-1</v>
      </c>
      <c r="R9" s="2">
        <v>0</v>
      </c>
      <c r="S9" s="2">
        <v>0</v>
      </c>
      <c r="T9" s="3">
        <v>0</v>
      </c>
      <c r="U9" s="3">
        <v>1700</v>
      </c>
      <c r="V9" s="2">
        <v>0</v>
      </c>
      <c r="W9" s="3">
        <v>0</v>
      </c>
      <c r="X9" s="3">
        <v>0</v>
      </c>
      <c r="Y9" s="3">
        <v>50</v>
      </c>
      <c r="Z9" s="2">
        <v>30</v>
      </c>
      <c r="AA9" s="2">
        <v>30</v>
      </c>
      <c r="AB9" s="3">
        <v>495</v>
      </c>
      <c r="AC9" s="3">
        <v>0</v>
      </c>
      <c r="AD9" s="2">
        <v>-1</v>
      </c>
      <c r="AE9" s="3">
        <v>0</v>
      </c>
      <c r="AF9" s="3">
        <v>0</v>
      </c>
      <c r="AG9" s="3">
        <v>0</v>
      </c>
      <c r="AH9" s="3">
        <v>0</v>
      </c>
      <c r="AI9" s="3">
        <v>0</v>
      </c>
      <c r="AJ9" s="3">
        <v>7100000</v>
      </c>
      <c r="AK9" s="3">
        <v>1</v>
      </c>
      <c r="AL9" s="3">
        <v>1</v>
      </c>
      <c r="AM9" s="2">
        <v>142000</v>
      </c>
      <c r="AN9" s="2">
        <v>0</v>
      </c>
      <c r="AO9" s="2">
        <v>0</v>
      </c>
      <c r="AP9" s="3">
        <v>1</v>
      </c>
      <c r="AQ9" s="2">
        <v>0</v>
      </c>
      <c r="AR9" s="2">
        <v>0</v>
      </c>
      <c r="AS9" s="2">
        <v>0</v>
      </c>
      <c r="AT9" s="2">
        <v>0</v>
      </c>
      <c r="AU9" s="2">
        <v>0</v>
      </c>
      <c r="AV9" s="2">
        <v>0</v>
      </c>
      <c r="AW9" s="2">
        <v>0</v>
      </c>
      <c r="AX9" s="2">
        <v>0</v>
      </c>
      <c r="AY9" s="2" t="str">
        <f t="shared" si="0"/>
        <v>tunar007</v>
      </c>
      <c r="AZ9" s="3">
        <v>4</v>
      </c>
      <c r="BA9" s="3">
        <v>2</v>
      </c>
      <c r="BB9" s="2"/>
    </row>
    <row r="10" spans="1:54" x14ac:dyDescent="0.3">
      <c r="A10" s="3" t="s">
        <v>68</v>
      </c>
      <c r="B10" s="3" t="s">
        <v>264</v>
      </c>
      <c r="C10" s="3">
        <v>18</v>
      </c>
      <c r="D10" s="3" t="s">
        <v>267</v>
      </c>
      <c r="E10" s="3">
        <v>3</v>
      </c>
      <c r="F10" s="3" t="s">
        <v>59</v>
      </c>
      <c r="G10" s="3">
        <v>1</v>
      </c>
      <c r="H10" s="3">
        <v>0</v>
      </c>
      <c r="I10" s="3">
        <v>1</v>
      </c>
      <c r="J10" s="2">
        <v>0</v>
      </c>
      <c r="K10" s="2">
        <v>0</v>
      </c>
      <c r="L10" s="3">
        <v>74</v>
      </c>
      <c r="M10" s="3">
        <v>-1</v>
      </c>
      <c r="N10" s="3">
        <v>2</v>
      </c>
      <c r="O10" s="3">
        <v>99</v>
      </c>
      <c r="P10" s="3">
        <v>-1</v>
      </c>
      <c r="Q10" s="3">
        <v>-1</v>
      </c>
      <c r="R10" s="2">
        <v>0</v>
      </c>
      <c r="S10" s="2">
        <v>0</v>
      </c>
      <c r="T10" s="3">
        <v>40</v>
      </c>
      <c r="U10" s="3">
        <v>1700</v>
      </c>
      <c r="V10" s="2">
        <v>0</v>
      </c>
      <c r="W10" s="3">
        <v>57000</v>
      </c>
      <c r="X10" s="3">
        <v>63000</v>
      </c>
      <c r="Y10" s="3">
        <v>50</v>
      </c>
      <c r="Z10" s="2">
        <v>30</v>
      </c>
      <c r="AA10" s="2">
        <v>30</v>
      </c>
      <c r="AB10" s="3">
        <v>4500</v>
      </c>
      <c r="AC10" s="3">
        <v>0</v>
      </c>
      <c r="AD10" s="2">
        <v>-1</v>
      </c>
      <c r="AE10" s="3">
        <v>0</v>
      </c>
      <c r="AF10" s="3">
        <v>0</v>
      </c>
      <c r="AG10" s="3">
        <v>0</v>
      </c>
      <c r="AH10" s="3">
        <v>0</v>
      </c>
      <c r="AI10" s="3">
        <v>0</v>
      </c>
      <c r="AJ10" s="3">
        <v>1260000000</v>
      </c>
      <c r="AK10" s="3">
        <v>1</v>
      </c>
      <c r="AL10" s="3">
        <v>22</v>
      </c>
      <c r="AM10" s="2">
        <v>142000</v>
      </c>
      <c r="AN10" s="2">
        <v>0</v>
      </c>
      <c r="AO10" s="2">
        <v>0</v>
      </c>
      <c r="AP10" s="3">
        <v>1</v>
      </c>
      <c r="AQ10" s="2">
        <v>0</v>
      </c>
      <c r="AR10" s="2">
        <v>0</v>
      </c>
      <c r="AS10" s="2">
        <v>0</v>
      </c>
      <c r="AT10" s="2">
        <v>0</v>
      </c>
      <c r="AU10" s="2">
        <v>0</v>
      </c>
      <c r="AV10" s="2">
        <v>0</v>
      </c>
      <c r="AW10" s="2">
        <v>0</v>
      </c>
      <c r="AX10" s="2">
        <v>0</v>
      </c>
      <c r="AY10" s="2" t="str">
        <f t="shared" si="0"/>
        <v>tunar008</v>
      </c>
      <c r="AZ10" s="3">
        <v>-1</v>
      </c>
      <c r="BA10" s="3">
        <v>2</v>
      </c>
      <c r="BB10" s="2"/>
    </row>
    <row r="11" spans="1:54" x14ac:dyDescent="0.3">
      <c r="A11" s="3" t="s">
        <v>69</v>
      </c>
      <c r="B11" s="3" t="s">
        <v>70</v>
      </c>
      <c r="C11" s="3">
        <v>100</v>
      </c>
      <c r="D11" s="3" t="s">
        <v>268</v>
      </c>
      <c r="E11" s="3">
        <v>3</v>
      </c>
      <c r="F11" s="3" t="s">
        <v>59</v>
      </c>
      <c r="G11" s="3">
        <v>1</v>
      </c>
      <c r="H11" s="3">
        <v>0</v>
      </c>
      <c r="I11" s="3">
        <v>1</v>
      </c>
      <c r="J11" s="2">
        <v>0</v>
      </c>
      <c r="K11" s="2">
        <v>0</v>
      </c>
      <c r="L11" s="3">
        <v>100</v>
      </c>
      <c r="M11" s="3">
        <v>-1</v>
      </c>
      <c r="N11" s="3">
        <v>2</v>
      </c>
      <c r="O11" s="3">
        <v>100</v>
      </c>
      <c r="P11" s="3">
        <v>-1</v>
      </c>
      <c r="Q11" s="3">
        <v>-1</v>
      </c>
      <c r="R11" s="2">
        <v>0</v>
      </c>
      <c r="S11" s="2">
        <v>0</v>
      </c>
      <c r="T11" s="3">
        <v>0</v>
      </c>
      <c r="U11" s="3">
        <v>1700</v>
      </c>
      <c r="V11" s="2">
        <v>0</v>
      </c>
      <c r="W11" s="3">
        <v>0</v>
      </c>
      <c r="X11" s="3">
        <v>0</v>
      </c>
      <c r="Y11" s="3">
        <v>50</v>
      </c>
      <c r="Z11" s="2">
        <v>30</v>
      </c>
      <c r="AA11" s="2">
        <v>30</v>
      </c>
      <c r="AB11" s="3">
        <v>0</v>
      </c>
      <c r="AC11" s="3">
        <v>0</v>
      </c>
      <c r="AD11" s="2">
        <v>-1</v>
      </c>
      <c r="AE11" s="3">
        <v>0</v>
      </c>
      <c r="AF11" s="3">
        <v>0</v>
      </c>
      <c r="AG11" s="3">
        <v>0</v>
      </c>
      <c r="AH11" s="3">
        <v>0</v>
      </c>
      <c r="AI11" s="3">
        <v>0</v>
      </c>
      <c r="AJ11" s="3">
        <v>7100000</v>
      </c>
      <c r="AK11" s="3">
        <v>1</v>
      </c>
      <c r="AL11" s="3">
        <v>1</v>
      </c>
      <c r="AM11" s="2">
        <v>142000</v>
      </c>
      <c r="AN11" s="2">
        <v>0</v>
      </c>
      <c r="AO11" s="2">
        <v>0</v>
      </c>
      <c r="AP11" s="3">
        <v>1</v>
      </c>
      <c r="AQ11" s="2">
        <v>0</v>
      </c>
      <c r="AR11" s="2">
        <v>0</v>
      </c>
      <c r="AS11" s="2">
        <v>0</v>
      </c>
      <c r="AT11" s="2">
        <v>0</v>
      </c>
      <c r="AU11" s="2">
        <v>0</v>
      </c>
      <c r="AV11" s="2">
        <v>0</v>
      </c>
      <c r="AW11" s="2">
        <v>0</v>
      </c>
      <c r="AX11" s="2">
        <v>0</v>
      </c>
      <c r="AY11" s="2" t="str">
        <f t="shared" si="0"/>
        <v>tunar009</v>
      </c>
      <c r="AZ11" s="3">
        <v>4</v>
      </c>
      <c r="BA11" s="3">
        <v>2</v>
      </c>
      <c r="BB11" s="2"/>
    </row>
    <row r="12" spans="1:54" x14ac:dyDescent="0.3">
      <c r="A12" s="3" t="s">
        <v>71</v>
      </c>
      <c r="B12" s="3" t="s">
        <v>72</v>
      </c>
      <c r="C12" s="3">
        <v>7</v>
      </c>
      <c r="D12" s="3" t="s">
        <v>226</v>
      </c>
      <c r="E12" s="3">
        <v>3</v>
      </c>
      <c r="F12" s="3" t="s">
        <v>59</v>
      </c>
      <c r="G12" s="3">
        <v>1</v>
      </c>
      <c r="H12" s="3">
        <v>0</v>
      </c>
      <c r="I12" s="3">
        <v>1</v>
      </c>
      <c r="J12" s="2">
        <v>0</v>
      </c>
      <c r="K12" s="2">
        <v>0</v>
      </c>
      <c r="L12" s="3">
        <v>40</v>
      </c>
      <c r="M12" s="3">
        <v>-1</v>
      </c>
      <c r="N12" s="3">
        <v>2</v>
      </c>
      <c r="O12" s="3">
        <v>77</v>
      </c>
      <c r="P12" s="3">
        <v>-1</v>
      </c>
      <c r="Q12" s="3">
        <v>-1</v>
      </c>
      <c r="R12" s="2">
        <v>0</v>
      </c>
      <c r="S12" s="2">
        <v>0</v>
      </c>
      <c r="T12" s="3">
        <v>40</v>
      </c>
      <c r="U12" s="3">
        <v>1700</v>
      </c>
      <c r="V12" s="2">
        <v>0</v>
      </c>
      <c r="W12" s="3">
        <v>3877</v>
      </c>
      <c r="X12" s="3">
        <v>4308</v>
      </c>
      <c r="Y12" s="3">
        <v>50</v>
      </c>
      <c r="Z12" s="2">
        <v>30</v>
      </c>
      <c r="AA12" s="2">
        <v>30</v>
      </c>
      <c r="AB12" s="3">
        <v>562</v>
      </c>
      <c r="AC12" s="3">
        <v>0</v>
      </c>
      <c r="AD12" s="2">
        <v>-1</v>
      </c>
      <c r="AE12" s="3">
        <v>0</v>
      </c>
      <c r="AF12" s="3">
        <v>0</v>
      </c>
      <c r="AG12" s="3">
        <v>0</v>
      </c>
      <c r="AH12" s="3">
        <v>0</v>
      </c>
      <c r="AI12" s="3">
        <v>0</v>
      </c>
      <c r="AJ12" s="3">
        <v>1100000</v>
      </c>
      <c r="AK12" s="3">
        <v>1</v>
      </c>
      <c r="AL12" s="3">
        <v>1</v>
      </c>
      <c r="AM12" s="2">
        <v>22000</v>
      </c>
      <c r="AN12" s="2">
        <v>0</v>
      </c>
      <c r="AO12" s="2">
        <v>0</v>
      </c>
      <c r="AP12" s="3">
        <v>1</v>
      </c>
      <c r="AQ12" s="2">
        <v>0</v>
      </c>
      <c r="AR12" s="2">
        <v>0</v>
      </c>
      <c r="AS12" s="2">
        <v>0</v>
      </c>
      <c r="AT12" s="2">
        <v>0</v>
      </c>
      <c r="AU12" s="2">
        <v>0</v>
      </c>
      <c r="AV12" s="2">
        <v>0</v>
      </c>
      <c r="AW12" s="2">
        <v>0</v>
      </c>
      <c r="AX12" s="2">
        <v>0</v>
      </c>
      <c r="AY12" s="2" t="str">
        <f t="shared" si="0"/>
        <v>tunar010</v>
      </c>
      <c r="AZ12" s="3">
        <v>1</v>
      </c>
      <c r="BA12" s="3">
        <v>2</v>
      </c>
      <c r="BB12" s="2"/>
    </row>
    <row r="13" spans="1:54" x14ac:dyDescent="0.3">
      <c r="A13" s="3" t="s">
        <v>73</v>
      </c>
      <c r="B13" s="3" t="s">
        <v>72</v>
      </c>
      <c r="C13" s="3">
        <v>7</v>
      </c>
      <c r="D13" s="3" t="s">
        <v>227</v>
      </c>
      <c r="E13" s="3">
        <v>3</v>
      </c>
      <c r="F13" s="3" t="s">
        <v>59</v>
      </c>
      <c r="G13" s="3">
        <v>1</v>
      </c>
      <c r="H13" s="3">
        <v>0</v>
      </c>
      <c r="I13" s="3">
        <v>1</v>
      </c>
      <c r="J13" s="2">
        <v>0</v>
      </c>
      <c r="K13" s="2">
        <v>0</v>
      </c>
      <c r="L13" s="3">
        <v>43</v>
      </c>
      <c r="M13" s="3">
        <v>-1</v>
      </c>
      <c r="N13" s="3">
        <v>2</v>
      </c>
      <c r="O13" s="3">
        <v>81</v>
      </c>
      <c r="P13" s="3">
        <v>-1</v>
      </c>
      <c r="Q13" s="3">
        <v>-1</v>
      </c>
      <c r="R13" s="2">
        <v>0</v>
      </c>
      <c r="S13" s="2">
        <v>0</v>
      </c>
      <c r="T13" s="3">
        <v>40</v>
      </c>
      <c r="U13" s="3">
        <v>1700</v>
      </c>
      <c r="V13" s="2">
        <v>0</v>
      </c>
      <c r="W13" s="3">
        <v>6373</v>
      </c>
      <c r="X13" s="3">
        <v>7081</v>
      </c>
      <c r="Y13" s="3">
        <v>50</v>
      </c>
      <c r="Z13" s="2">
        <v>30</v>
      </c>
      <c r="AA13" s="2">
        <v>30</v>
      </c>
      <c r="AB13" s="3">
        <v>630</v>
      </c>
      <c r="AC13" s="3">
        <v>0</v>
      </c>
      <c r="AD13" s="2">
        <v>-1</v>
      </c>
      <c r="AE13" s="3">
        <v>0</v>
      </c>
      <c r="AF13" s="3">
        <v>0</v>
      </c>
      <c r="AG13" s="3">
        <v>0</v>
      </c>
      <c r="AH13" s="3">
        <v>0</v>
      </c>
      <c r="AI13" s="3">
        <v>0</v>
      </c>
      <c r="AJ13" s="3">
        <v>1400000</v>
      </c>
      <c r="AK13" s="3">
        <v>1</v>
      </c>
      <c r="AL13" s="3">
        <v>1</v>
      </c>
      <c r="AM13" s="2">
        <v>28000</v>
      </c>
      <c r="AN13" s="2">
        <v>0</v>
      </c>
      <c r="AO13" s="2">
        <v>0</v>
      </c>
      <c r="AP13" s="3">
        <v>1</v>
      </c>
      <c r="AQ13" s="2">
        <v>0</v>
      </c>
      <c r="AR13" s="2">
        <v>0</v>
      </c>
      <c r="AS13" s="2">
        <v>0</v>
      </c>
      <c r="AT13" s="2">
        <v>0</v>
      </c>
      <c r="AU13" s="2">
        <v>0</v>
      </c>
      <c r="AV13" s="2">
        <v>0</v>
      </c>
      <c r="AW13" s="2">
        <v>0</v>
      </c>
      <c r="AX13" s="2">
        <v>0</v>
      </c>
      <c r="AY13" s="2" t="str">
        <f t="shared" si="0"/>
        <v>tunar011</v>
      </c>
      <c r="AZ13" s="3">
        <v>1</v>
      </c>
      <c r="BA13" s="3">
        <v>2</v>
      </c>
      <c r="BB13" s="2"/>
    </row>
    <row r="14" spans="1:54" x14ac:dyDescent="0.3">
      <c r="A14" s="3" t="s">
        <v>74</v>
      </c>
      <c r="B14" s="3" t="s">
        <v>72</v>
      </c>
      <c r="C14" s="3">
        <v>7</v>
      </c>
      <c r="D14" s="3" t="s">
        <v>228</v>
      </c>
      <c r="E14" s="3">
        <v>3</v>
      </c>
      <c r="F14" s="3" t="s">
        <v>59</v>
      </c>
      <c r="G14" s="3">
        <v>1</v>
      </c>
      <c r="H14" s="3">
        <v>0</v>
      </c>
      <c r="I14" s="3">
        <v>1</v>
      </c>
      <c r="J14" s="2">
        <v>0</v>
      </c>
      <c r="K14" s="2">
        <v>0</v>
      </c>
      <c r="L14" s="3">
        <v>48</v>
      </c>
      <c r="M14" s="3">
        <v>-1</v>
      </c>
      <c r="N14" s="3">
        <v>2</v>
      </c>
      <c r="O14" s="3">
        <v>93</v>
      </c>
      <c r="P14" s="3">
        <v>-1</v>
      </c>
      <c r="Q14" s="3">
        <v>-1</v>
      </c>
      <c r="R14" s="2">
        <v>0</v>
      </c>
      <c r="S14" s="2">
        <v>0</v>
      </c>
      <c r="T14" s="3">
        <v>40</v>
      </c>
      <c r="U14" s="3">
        <v>1700</v>
      </c>
      <c r="V14" s="2">
        <v>0</v>
      </c>
      <c r="W14" s="3">
        <v>11241</v>
      </c>
      <c r="X14" s="3">
        <v>12489</v>
      </c>
      <c r="Y14" s="3">
        <v>50</v>
      </c>
      <c r="Z14" s="2">
        <v>30</v>
      </c>
      <c r="AA14" s="2">
        <v>30</v>
      </c>
      <c r="AB14" s="3">
        <v>697</v>
      </c>
      <c r="AC14" s="3">
        <v>0</v>
      </c>
      <c r="AD14" s="2">
        <v>-1</v>
      </c>
      <c r="AE14" s="3">
        <v>0</v>
      </c>
      <c r="AF14" s="3">
        <v>0</v>
      </c>
      <c r="AG14" s="3">
        <v>0</v>
      </c>
      <c r="AH14" s="3">
        <v>0</v>
      </c>
      <c r="AI14" s="3">
        <v>0</v>
      </c>
      <c r="AJ14" s="3">
        <v>1900000</v>
      </c>
      <c r="AK14" s="3">
        <v>1</v>
      </c>
      <c r="AL14" s="3">
        <v>1</v>
      </c>
      <c r="AM14" s="2">
        <v>38000</v>
      </c>
      <c r="AN14" s="2">
        <v>0</v>
      </c>
      <c r="AO14" s="2">
        <v>0</v>
      </c>
      <c r="AP14" s="3">
        <v>1</v>
      </c>
      <c r="AQ14" s="2">
        <v>0</v>
      </c>
      <c r="AR14" s="2">
        <v>0</v>
      </c>
      <c r="AS14" s="2">
        <v>0</v>
      </c>
      <c r="AT14" s="2">
        <v>0</v>
      </c>
      <c r="AU14" s="2">
        <v>0</v>
      </c>
      <c r="AV14" s="2">
        <v>0</v>
      </c>
      <c r="AW14" s="2">
        <v>0</v>
      </c>
      <c r="AX14" s="2">
        <v>0</v>
      </c>
      <c r="AY14" s="2" t="str">
        <f t="shared" si="0"/>
        <v>tunar012</v>
      </c>
      <c r="AZ14" s="3">
        <v>1</v>
      </c>
      <c r="BA14" s="3">
        <v>2</v>
      </c>
      <c r="BB14" s="2"/>
    </row>
    <row r="15" spans="1:54" x14ac:dyDescent="0.3">
      <c r="A15" s="3" t="s">
        <v>75</v>
      </c>
      <c r="B15" s="3" t="s">
        <v>76</v>
      </c>
      <c r="C15" s="3">
        <v>9</v>
      </c>
      <c r="D15" s="3" t="s">
        <v>229</v>
      </c>
      <c r="E15" s="3">
        <v>3</v>
      </c>
      <c r="F15" s="3" t="s">
        <v>59</v>
      </c>
      <c r="G15" s="3">
        <v>1</v>
      </c>
      <c r="H15" s="3">
        <v>0</v>
      </c>
      <c r="I15" s="3">
        <v>1</v>
      </c>
      <c r="J15" s="2">
        <v>0</v>
      </c>
      <c r="K15" s="2">
        <v>0</v>
      </c>
      <c r="L15" s="3">
        <v>50</v>
      </c>
      <c r="M15" s="3">
        <v>-1</v>
      </c>
      <c r="N15" s="3">
        <v>2</v>
      </c>
      <c r="O15" s="3">
        <v>99</v>
      </c>
      <c r="P15" s="3">
        <v>-1</v>
      </c>
      <c r="Q15" s="3">
        <v>-1</v>
      </c>
      <c r="R15" s="2">
        <v>0</v>
      </c>
      <c r="S15" s="2">
        <v>0</v>
      </c>
      <c r="T15" s="3">
        <v>40</v>
      </c>
      <c r="U15" s="3">
        <v>1700</v>
      </c>
      <c r="V15" s="2">
        <v>0</v>
      </c>
      <c r="W15" s="3">
        <v>15993</v>
      </c>
      <c r="X15" s="3">
        <v>17770</v>
      </c>
      <c r="Y15" s="3">
        <v>50</v>
      </c>
      <c r="Z15" s="2">
        <v>30</v>
      </c>
      <c r="AA15" s="2">
        <v>30</v>
      </c>
      <c r="AB15" s="3">
        <v>836</v>
      </c>
      <c r="AC15" s="3">
        <v>0</v>
      </c>
      <c r="AD15" s="2">
        <v>-1</v>
      </c>
      <c r="AE15" s="3">
        <v>0</v>
      </c>
      <c r="AF15" s="3">
        <v>0</v>
      </c>
      <c r="AG15" s="3">
        <v>0</v>
      </c>
      <c r="AH15" s="3">
        <v>0</v>
      </c>
      <c r="AI15" s="3">
        <v>0</v>
      </c>
      <c r="AJ15" s="3">
        <v>147000000</v>
      </c>
      <c r="AK15" s="3">
        <v>1</v>
      </c>
      <c r="AL15" s="3">
        <v>1</v>
      </c>
      <c r="AM15" s="2">
        <v>2940000</v>
      </c>
      <c r="AN15" s="2">
        <v>0</v>
      </c>
      <c r="AO15" s="2">
        <v>0</v>
      </c>
      <c r="AP15" s="3">
        <v>1</v>
      </c>
      <c r="AQ15" s="2">
        <v>0</v>
      </c>
      <c r="AR15" s="2">
        <v>0</v>
      </c>
      <c r="AS15" s="2">
        <v>0</v>
      </c>
      <c r="AT15" s="2">
        <v>0</v>
      </c>
      <c r="AU15" s="2">
        <v>0</v>
      </c>
      <c r="AV15" s="2">
        <v>0</v>
      </c>
      <c r="AW15" s="2">
        <v>0</v>
      </c>
      <c r="AX15" s="2">
        <v>0</v>
      </c>
      <c r="AY15" s="2" t="str">
        <f t="shared" si="0"/>
        <v>tunar013</v>
      </c>
      <c r="AZ15" s="3">
        <v>1</v>
      </c>
      <c r="BA15" s="3">
        <v>2</v>
      </c>
      <c r="BB15" s="2"/>
    </row>
    <row r="16" spans="1:54" x14ac:dyDescent="0.3">
      <c r="A16" s="3" t="s">
        <v>77</v>
      </c>
      <c r="B16" s="3" t="s">
        <v>76</v>
      </c>
      <c r="C16" s="3">
        <v>9</v>
      </c>
      <c r="D16" s="3" t="s">
        <v>230</v>
      </c>
      <c r="E16" s="3">
        <v>3</v>
      </c>
      <c r="F16" s="3" t="s">
        <v>59</v>
      </c>
      <c r="G16" s="3">
        <v>1</v>
      </c>
      <c r="H16" s="3">
        <v>0</v>
      </c>
      <c r="I16" s="3">
        <v>1</v>
      </c>
      <c r="J16" s="2">
        <v>0</v>
      </c>
      <c r="K16" s="2">
        <v>0</v>
      </c>
      <c r="L16" s="3">
        <v>50</v>
      </c>
      <c r="M16" s="3">
        <v>-1</v>
      </c>
      <c r="N16" s="3">
        <v>2</v>
      </c>
      <c r="O16" s="3">
        <v>99</v>
      </c>
      <c r="P16" s="3">
        <v>-1</v>
      </c>
      <c r="Q16" s="3">
        <v>-1</v>
      </c>
      <c r="R16" s="2">
        <v>0</v>
      </c>
      <c r="S16" s="2">
        <v>0</v>
      </c>
      <c r="T16" s="3">
        <v>40</v>
      </c>
      <c r="U16" s="3">
        <v>1700</v>
      </c>
      <c r="V16" s="2">
        <v>0</v>
      </c>
      <c r="W16" s="3">
        <v>19192</v>
      </c>
      <c r="X16" s="3">
        <v>21324</v>
      </c>
      <c r="Y16" s="3">
        <v>50</v>
      </c>
      <c r="Z16" s="2">
        <v>30</v>
      </c>
      <c r="AA16" s="2">
        <v>30</v>
      </c>
      <c r="AB16" s="3">
        <v>1002</v>
      </c>
      <c r="AC16" s="3">
        <v>0</v>
      </c>
      <c r="AD16" s="2">
        <v>-1</v>
      </c>
      <c r="AE16" s="3">
        <v>0</v>
      </c>
      <c r="AF16" s="3">
        <v>0</v>
      </c>
      <c r="AG16" s="3">
        <v>0</v>
      </c>
      <c r="AH16" s="3">
        <v>0</v>
      </c>
      <c r="AI16" s="3">
        <v>0</v>
      </c>
      <c r="AJ16" s="3">
        <v>298200000</v>
      </c>
      <c r="AK16" s="3">
        <v>1</v>
      </c>
      <c r="AL16" s="3">
        <v>1</v>
      </c>
      <c r="AM16" s="2">
        <v>5964000</v>
      </c>
      <c r="AN16" s="2">
        <v>0</v>
      </c>
      <c r="AO16" s="2">
        <v>0</v>
      </c>
      <c r="AP16" s="3">
        <v>1</v>
      </c>
      <c r="AQ16" s="2">
        <v>0</v>
      </c>
      <c r="AR16" s="2">
        <v>0</v>
      </c>
      <c r="AS16" s="2">
        <v>0</v>
      </c>
      <c r="AT16" s="2">
        <v>0</v>
      </c>
      <c r="AU16" s="2">
        <v>0</v>
      </c>
      <c r="AV16" s="2">
        <v>0</v>
      </c>
      <c r="AW16" s="2">
        <v>0</v>
      </c>
      <c r="AX16" s="2">
        <v>0</v>
      </c>
      <c r="AY16" s="2" t="str">
        <f t="shared" si="0"/>
        <v>tunar014</v>
      </c>
      <c r="AZ16" s="3">
        <v>1</v>
      </c>
      <c r="BA16" s="3">
        <v>2</v>
      </c>
      <c r="BB16" s="2"/>
    </row>
    <row r="17" spans="1:54" x14ac:dyDescent="0.3">
      <c r="A17" s="3" t="s">
        <v>78</v>
      </c>
      <c r="B17" s="3" t="s">
        <v>76</v>
      </c>
      <c r="C17" s="3">
        <v>9</v>
      </c>
      <c r="D17" s="3" t="s">
        <v>231</v>
      </c>
      <c r="E17" s="3">
        <v>3</v>
      </c>
      <c r="F17" s="3" t="s">
        <v>59</v>
      </c>
      <c r="G17" s="3">
        <v>1</v>
      </c>
      <c r="H17" s="3">
        <v>0</v>
      </c>
      <c r="I17" s="3">
        <v>1</v>
      </c>
      <c r="J17" s="2">
        <v>0</v>
      </c>
      <c r="K17" s="2">
        <v>0</v>
      </c>
      <c r="L17" s="3">
        <v>50</v>
      </c>
      <c r="M17" s="3">
        <v>-1</v>
      </c>
      <c r="N17" s="3">
        <v>2</v>
      </c>
      <c r="O17" s="3">
        <v>99</v>
      </c>
      <c r="P17" s="3">
        <v>-1</v>
      </c>
      <c r="Q17" s="3">
        <v>-1</v>
      </c>
      <c r="R17" s="2">
        <v>0</v>
      </c>
      <c r="S17" s="2">
        <v>0</v>
      </c>
      <c r="T17" s="3">
        <v>40</v>
      </c>
      <c r="U17" s="3">
        <v>1700</v>
      </c>
      <c r="V17" s="2">
        <v>0</v>
      </c>
      <c r="W17" s="3">
        <v>23030</v>
      </c>
      <c r="X17" s="3">
        <v>25589</v>
      </c>
      <c r="Y17" s="3">
        <v>50</v>
      </c>
      <c r="Z17" s="2">
        <v>30</v>
      </c>
      <c r="AA17" s="2">
        <v>30</v>
      </c>
      <c r="AB17" s="3">
        <v>1302</v>
      </c>
      <c r="AC17" s="3">
        <v>0</v>
      </c>
      <c r="AD17" s="2">
        <v>-1</v>
      </c>
      <c r="AE17" s="3">
        <v>0</v>
      </c>
      <c r="AF17" s="3">
        <v>0</v>
      </c>
      <c r="AG17" s="3">
        <v>0</v>
      </c>
      <c r="AH17" s="3">
        <v>0</v>
      </c>
      <c r="AI17" s="3">
        <v>0</v>
      </c>
      <c r="AJ17" s="3">
        <v>453600000</v>
      </c>
      <c r="AK17" s="3">
        <v>1</v>
      </c>
      <c r="AL17" s="3">
        <v>1</v>
      </c>
      <c r="AM17" s="2">
        <v>9072000</v>
      </c>
      <c r="AN17" s="2">
        <v>0</v>
      </c>
      <c r="AO17" s="2">
        <v>0</v>
      </c>
      <c r="AP17" s="3">
        <v>1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2" t="str">
        <f t="shared" si="0"/>
        <v>tunar015</v>
      </c>
      <c r="AZ17" s="3">
        <v>1</v>
      </c>
      <c r="BA17" s="3">
        <v>2</v>
      </c>
      <c r="BB17" s="2"/>
    </row>
    <row r="18" spans="1:54" x14ac:dyDescent="0.3">
      <c r="A18" s="3" t="s">
        <v>79</v>
      </c>
      <c r="B18" s="3" t="s">
        <v>64</v>
      </c>
      <c r="C18" s="3">
        <v>11</v>
      </c>
      <c r="D18" s="3" t="s">
        <v>232</v>
      </c>
      <c r="E18" s="3">
        <v>3</v>
      </c>
      <c r="F18" s="3" t="s">
        <v>59</v>
      </c>
      <c r="G18" s="3">
        <v>1</v>
      </c>
      <c r="H18" s="3">
        <v>0</v>
      </c>
      <c r="I18" s="3">
        <v>1</v>
      </c>
      <c r="J18" s="2">
        <v>0</v>
      </c>
      <c r="K18" s="2">
        <v>0</v>
      </c>
      <c r="L18" s="3">
        <v>51</v>
      </c>
      <c r="M18" s="3">
        <v>-1</v>
      </c>
      <c r="N18" s="3">
        <v>2</v>
      </c>
      <c r="O18" s="3">
        <v>99</v>
      </c>
      <c r="P18" s="3">
        <v>-1</v>
      </c>
      <c r="Q18" s="3">
        <v>-1</v>
      </c>
      <c r="R18" s="2">
        <v>0</v>
      </c>
      <c r="S18" s="2">
        <v>0</v>
      </c>
      <c r="T18" s="3">
        <v>40</v>
      </c>
      <c r="U18" s="3">
        <v>1700</v>
      </c>
      <c r="V18" s="2">
        <v>0</v>
      </c>
      <c r="W18" s="3">
        <v>25333</v>
      </c>
      <c r="X18" s="3">
        <v>28148</v>
      </c>
      <c r="Y18" s="3">
        <v>50</v>
      </c>
      <c r="Z18" s="2">
        <v>30</v>
      </c>
      <c r="AA18" s="2">
        <v>30</v>
      </c>
      <c r="AB18" s="3">
        <v>1562</v>
      </c>
      <c r="AC18" s="3">
        <v>0</v>
      </c>
      <c r="AD18" s="2">
        <v>-1</v>
      </c>
      <c r="AE18" s="3">
        <v>0</v>
      </c>
      <c r="AF18" s="3">
        <v>0</v>
      </c>
      <c r="AG18" s="3">
        <v>0</v>
      </c>
      <c r="AH18" s="3">
        <v>0</v>
      </c>
      <c r="AI18" s="3">
        <v>0</v>
      </c>
      <c r="AJ18" s="3">
        <v>147000000</v>
      </c>
      <c r="AK18" s="3">
        <v>1</v>
      </c>
      <c r="AL18" s="3">
        <v>1</v>
      </c>
      <c r="AM18" s="2">
        <v>2940000</v>
      </c>
      <c r="AN18" s="2">
        <v>0</v>
      </c>
      <c r="AO18" s="2">
        <v>0</v>
      </c>
      <c r="AP18" s="3">
        <v>1</v>
      </c>
      <c r="AQ18" s="2">
        <v>0</v>
      </c>
      <c r="AR18" s="2">
        <v>0</v>
      </c>
      <c r="AS18" s="2">
        <v>0</v>
      </c>
      <c r="AT18" s="2">
        <v>0</v>
      </c>
      <c r="AU18" s="2">
        <v>0</v>
      </c>
      <c r="AV18" s="2">
        <v>0</v>
      </c>
      <c r="AW18" s="2">
        <v>0</v>
      </c>
      <c r="AX18" s="2">
        <v>0</v>
      </c>
      <c r="AY18" s="2" t="str">
        <f t="shared" si="0"/>
        <v>tunar016</v>
      </c>
      <c r="AZ18" s="3">
        <v>-1</v>
      </c>
      <c r="BA18" s="3">
        <v>2</v>
      </c>
      <c r="BB18" s="2"/>
    </row>
    <row r="19" spans="1:54" x14ac:dyDescent="0.3">
      <c r="A19" s="3" t="s">
        <v>80</v>
      </c>
      <c r="B19" s="3" t="s">
        <v>64</v>
      </c>
      <c r="C19" s="3">
        <v>11</v>
      </c>
      <c r="D19" s="3" t="s">
        <v>233</v>
      </c>
      <c r="E19" s="3">
        <v>3</v>
      </c>
      <c r="F19" s="3" t="s">
        <v>59</v>
      </c>
      <c r="G19" s="3">
        <v>1</v>
      </c>
      <c r="H19" s="3">
        <v>0</v>
      </c>
      <c r="I19" s="3">
        <v>1</v>
      </c>
      <c r="J19" s="2">
        <v>0</v>
      </c>
      <c r="K19" s="2">
        <v>0</v>
      </c>
      <c r="L19" s="3">
        <v>53</v>
      </c>
      <c r="M19" s="3">
        <v>-1</v>
      </c>
      <c r="N19" s="3">
        <v>2</v>
      </c>
      <c r="O19" s="3">
        <v>99</v>
      </c>
      <c r="P19" s="3">
        <v>-1</v>
      </c>
      <c r="Q19" s="3">
        <v>-1</v>
      </c>
      <c r="R19" s="2">
        <v>0</v>
      </c>
      <c r="S19" s="2">
        <v>0</v>
      </c>
      <c r="T19" s="3">
        <v>40</v>
      </c>
      <c r="U19" s="3">
        <v>1700</v>
      </c>
      <c r="V19" s="2">
        <v>0</v>
      </c>
      <c r="W19" s="3">
        <v>27866</v>
      </c>
      <c r="X19" s="3">
        <v>30963</v>
      </c>
      <c r="Y19" s="3">
        <v>50</v>
      </c>
      <c r="Z19" s="2">
        <v>30</v>
      </c>
      <c r="AA19" s="2">
        <v>30</v>
      </c>
      <c r="AB19" s="3">
        <v>1875</v>
      </c>
      <c r="AC19" s="3">
        <v>0</v>
      </c>
      <c r="AD19" s="2">
        <v>-1</v>
      </c>
      <c r="AE19" s="3">
        <v>0</v>
      </c>
      <c r="AF19" s="3">
        <v>0</v>
      </c>
      <c r="AG19" s="3">
        <v>0</v>
      </c>
      <c r="AH19" s="3">
        <v>0</v>
      </c>
      <c r="AI19" s="3">
        <v>0</v>
      </c>
      <c r="AJ19" s="3">
        <v>298200000</v>
      </c>
      <c r="AK19" s="3">
        <v>1</v>
      </c>
      <c r="AL19" s="3">
        <v>1</v>
      </c>
      <c r="AM19" s="2">
        <v>5964000</v>
      </c>
      <c r="AN19" s="2">
        <v>0</v>
      </c>
      <c r="AO19" s="2">
        <v>0</v>
      </c>
      <c r="AP19" s="3">
        <v>1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2">
        <v>0</v>
      </c>
      <c r="AX19" s="2">
        <v>0</v>
      </c>
      <c r="AY19" s="2" t="str">
        <f t="shared" si="0"/>
        <v>tunar017</v>
      </c>
      <c r="AZ19" s="3">
        <v>-1</v>
      </c>
      <c r="BA19" s="3">
        <v>2</v>
      </c>
      <c r="BB19" s="2"/>
    </row>
    <row r="20" spans="1:54" x14ac:dyDescent="0.3">
      <c r="A20" s="3" t="s">
        <v>81</v>
      </c>
      <c r="B20" s="3" t="s">
        <v>64</v>
      </c>
      <c r="C20" s="3">
        <v>11</v>
      </c>
      <c r="D20" s="3" t="s">
        <v>234</v>
      </c>
      <c r="E20" s="3">
        <v>3</v>
      </c>
      <c r="F20" s="3" t="s">
        <v>59</v>
      </c>
      <c r="G20" s="3">
        <v>1</v>
      </c>
      <c r="H20" s="3">
        <v>0</v>
      </c>
      <c r="I20" s="3">
        <v>1</v>
      </c>
      <c r="J20" s="2">
        <v>0</v>
      </c>
      <c r="K20" s="2">
        <v>0</v>
      </c>
      <c r="L20" s="3">
        <v>55</v>
      </c>
      <c r="M20" s="3">
        <v>-1</v>
      </c>
      <c r="N20" s="3">
        <v>2</v>
      </c>
      <c r="O20" s="3">
        <v>99</v>
      </c>
      <c r="P20" s="3">
        <v>-1</v>
      </c>
      <c r="Q20" s="3">
        <v>-1</v>
      </c>
      <c r="R20" s="2">
        <v>0</v>
      </c>
      <c r="S20" s="2">
        <v>0</v>
      </c>
      <c r="T20" s="3">
        <v>40</v>
      </c>
      <c r="U20" s="3">
        <v>1700</v>
      </c>
      <c r="V20" s="2">
        <v>0</v>
      </c>
      <c r="W20" s="3">
        <v>30653</v>
      </c>
      <c r="X20" s="3">
        <v>34059</v>
      </c>
      <c r="Y20" s="3">
        <v>50</v>
      </c>
      <c r="Z20" s="2">
        <v>30</v>
      </c>
      <c r="AA20" s="2">
        <v>30</v>
      </c>
      <c r="AB20" s="3">
        <v>2437</v>
      </c>
      <c r="AC20" s="3">
        <v>0</v>
      </c>
      <c r="AD20" s="2">
        <v>-1</v>
      </c>
      <c r="AE20" s="3">
        <v>0</v>
      </c>
      <c r="AF20" s="3">
        <v>0</v>
      </c>
      <c r="AG20" s="3">
        <v>0</v>
      </c>
      <c r="AH20" s="3">
        <v>0</v>
      </c>
      <c r="AI20" s="3">
        <v>0</v>
      </c>
      <c r="AJ20" s="3">
        <v>453600000</v>
      </c>
      <c r="AK20" s="3">
        <v>1</v>
      </c>
      <c r="AL20" s="3">
        <v>1</v>
      </c>
      <c r="AM20" s="2">
        <v>9072000</v>
      </c>
      <c r="AN20" s="2">
        <v>0</v>
      </c>
      <c r="AO20" s="2">
        <v>0</v>
      </c>
      <c r="AP20" s="3">
        <v>1</v>
      </c>
      <c r="AQ20" s="2">
        <v>0</v>
      </c>
      <c r="AR20" s="2">
        <v>0</v>
      </c>
      <c r="AS20" s="2">
        <v>0</v>
      </c>
      <c r="AT20" s="2">
        <v>0</v>
      </c>
      <c r="AU20" s="2">
        <v>0</v>
      </c>
      <c r="AV20" s="2">
        <v>0</v>
      </c>
      <c r="AW20" s="2">
        <v>0</v>
      </c>
      <c r="AX20" s="2">
        <v>0</v>
      </c>
      <c r="AY20" s="2" t="str">
        <f t="shared" si="0"/>
        <v>tunar018</v>
      </c>
      <c r="AZ20" s="3">
        <v>-1</v>
      </c>
      <c r="BA20" s="3">
        <v>2</v>
      </c>
      <c r="BB20" s="2"/>
    </row>
    <row r="21" spans="1:54" x14ac:dyDescent="0.3">
      <c r="A21" s="3" t="s">
        <v>82</v>
      </c>
      <c r="B21" s="3" t="s">
        <v>83</v>
      </c>
      <c r="C21" s="3">
        <v>16</v>
      </c>
      <c r="D21" s="3" t="s">
        <v>235</v>
      </c>
      <c r="E21" s="3">
        <v>3</v>
      </c>
      <c r="F21" s="3" t="s">
        <v>59</v>
      </c>
      <c r="G21" s="3">
        <v>1</v>
      </c>
      <c r="H21" s="3">
        <v>0</v>
      </c>
      <c r="I21" s="3">
        <v>1</v>
      </c>
      <c r="J21" s="2">
        <v>0</v>
      </c>
      <c r="K21" s="2">
        <v>0</v>
      </c>
      <c r="L21" s="3">
        <v>59</v>
      </c>
      <c r="M21" s="3">
        <v>-1</v>
      </c>
      <c r="N21" s="3">
        <v>2</v>
      </c>
      <c r="O21" s="3">
        <v>99</v>
      </c>
      <c r="P21" s="3">
        <v>-1</v>
      </c>
      <c r="Q21" s="3">
        <v>-1</v>
      </c>
      <c r="R21" s="2">
        <v>0</v>
      </c>
      <c r="S21" s="2">
        <v>0</v>
      </c>
      <c r="T21" s="3">
        <v>40</v>
      </c>
      <c r="U21" s="3">
        <v>1700</v>
      </c>
      <c r="V21" s="2">
        <v>0</v>
      </c>
      <c r="W21" s="3">
        <v>36784</v>
      </c>
      <c r="X21" s="3">
        <v>40871</v>
      </c>
      <c r="Y21" s="3">
        <v>50</v>
      </c>
      <c r="Z21" s="2">
        <v>30</v>
      </c>
      <c r="AA21" s="2">
        <v>30</v>
      </c>
      <c r="AB21" s="3">
        <v>2924</v>
      </c>
      <c r="AC21" s="3">
        <v>0</v>
      </c>
      <c r="AD21" s="2">
        <v>-1</v>
      </c>
      <c r="AE21" s="3">
        <v>0</v>
      </c>
      <c r="AF21" s="3">
        <v>0</v>
      </c>
      <c r="AG21" s="3">
        <v>0</v>
      </c>
      <c r="AH21" s="3">
        <v>0</v>
      </c>
      <c r="AI21" s="3">
        <v>0</v>
      </c>
      <c r="AJ21" s="3">
        <v>725760000</v>
      </c>
      <c r="AK21" s="3">
        <v>1</v>
      </c>
      <c r="AL21" s="3">
        <v>4</v>
      </c>
      <c r="AM21" s="2">
        <v>14515200</v>
      </c>
      <c r="AN21" s="2">
        <v>0</v>
      </c>
      <c r="AO21" s="2">
        <v>0</v>
      </c>
      <c r="AP21" s="3">
        <v>1</v>
      </c>
      <c r="AQ21" s="2">
        <v>0</v>
      </c>
      <c r="AR21" s="2">
        <v>0</v>
      </c>
      <c r="AS21" s="2">
        <v>0</v>
      </c>
      <c r="AT21" s="2">
        <v>0</v>
      </c>
      <c r="AU21" s="2">
        <v>0</v>
      </c>
      <c r="AV21" s="2">
        <v>0</v>
      </c>
      <c r="AW21" s="2">
        <v>0</v>
      </c>
      <c r="AX21" s="2">
        <v>0</v>
      </c>
      <c r="AY21" s="2" t="str">
        <f t="shared" si="0"/>
        <v>tunar019</v>
      </c>
      <c r="AZ21" s="3">
        <v>-1</v>
      </c>
      <c r="BA21" s="3">
        <v>2</v>
      </c>
      <c r="BB21" s="2"/>
    </row>
    <row r="22" spans="1:54" x14ac:dyDescent="0.3">
      <c r="A22" s="3" t="s">
        <v>84</v>
      </c>
      <c r="B22" s="3" t="s">
        <v>83</v>
      </c>
      <c r="C22" s="3">
        <v>16</v>
      </c>
      <c r="D22" s="3" t="s">
        <v>236</v>
      </c>
      <c r="E22" s="3">
        <v>3</v>
      </c>
      <c r="F22" s="3" t="s">
        <v>59</v>
      </c>
      <c r="G22" s="3">
        <v>1</v>
      </c>
      <c r="H22" s="3">
        <v>0</v>
      </c>
      <c r="I22" s="3">
        <v>1</v>
      </c>
      <c r="J22" s="2">
        <v>0</v>
      </c>
      <c r="K22" s="2">
        <v>0</v>
      </c>
      <c r="L22" s="3">
        <v>64</v>
      </c>
      <c r="M22" s="3">
        <v>-1</v>
      </c>
      <c r="N22" s="3">
        <v>2</v>
      </c>
      <c r="O22" s="3">
        <v>99</v>
      </c>
      <c r="P22" s="3">
        <v>-1</v>
      </c>
      <c r="Q22" s="3">
        <v>-1</v>
      </c>
      <c r="R22" s="2">
        <v>0</v>
      </c>
      <c r="S22" s="2">
        <v>0</v>
      </c>
      <c r="T22" s="3">
        <v>40</v>
      </c>
      <c r="U22" s="3">
        <v>1700</v>
      </c>
      <c r="V22" s="2">
        <v>0</v>
      </c>
      <c r="W22" s="3">
        <v>37740</v>
      </c>
      <c r="X22" s="3">
        <v>41933</v>
      </c>
      <c r="Y22" s="3">
        <v>50</v>
      </c>
      <c r="Z22" s="2">
        <v>30</v>
      </c>
      <c r="AA22" s="2">
        <v>30</v>
      </c>
      <c r="AB22" s="3">
        <v>3509</v>
      </c>
      <c r="AC22" s="3">
        <v>0</v>
      </c>
      <c r="AD22" s="2">
        <v>-1</v>
      </c>
      <c r="AE22" s="3">
        <v>0</v>
      </c>
      <c r="AF22" s="3">
        <v>0</v>
      </c>
      <c r="AG22" s="3">
        <v>0</v>
      </c>
      <c r="AH22" s="3">
        <v>0</v>
      </c>
      <c r="AI22" s="3">
        <v>0</v>
      </c>
      <c r="AJ22" s="3">
        <v>907200000</v>
      </c>
      <c r="AK22" s="3">
        <v>1</v>
      </c>
      <c r="AL22" s="3">
        <v>5</v>
      </c>
      <c r="AM22" s="2">
        <v>18144000</v>
      </c>
      <c r="AN22" s="2">
        <v>0</v>
      </c>
      <c r="AO22" s="2">
        <v>0</v>
      </c>
      <c r="AP22" s="3">
        <v>1</v>
      </c>
      <c r="AQ22" s="2">
        <v>0</v>
      </c>
      <c r="AR22" s="2">
        <v>0</v>
      </c>
      <c r="AS22" s="2">
        <v>0</v>
      </c>
      <c r="AT22" s="2">
        <v>0</v>
      </c>
      <c r="AU22" s="2">
        <v>0</v>
      </c>
      <c r="AV22" s="2">
        <v>0</v>
      </c>
      <c r="AW22" s="2">
        <v>0</v>
      </c>
      <c r="AX22" s="2">
        <v>0</v>
      </c>
      <c r="AY22" s="2" t="str">
        <f t="shared" si="0"/>
        <v>tunar020</v>
      </c>
      <c r="AZ22" s="3">
        <v>-1</v>
      </c>
      <c r="BA22" s="3">
        <v>2</v>
      </c>
      <c r="BB22" s="2"/>
    </row>
    <row r="23" spans="1:54" x14ac:dyDescent="0.3">
      <c r="A23" s="3" t="s">
        <v>85</v>
      </c>
      <c r="B23" s="3" t="s">
        <v>86</v>
      </c>
      <c r="C23" s="3">
        <v>4</v>
      </c>
      <c r="D23" s="3" t="s">
        <v>237</v>
      </c>
      <c r="E23" s="3">
        <v>3</v>
      </c>
      <c r="F23" s="3" t="s">
        <v>87</v>
      </c>
      <c r="G23" s="3">
        <v>2</v>
      </c>
      <c r="H23" s="3">
        <v>5</v>
      </c>
      <c r="I23" s="3">
        <v>1</v>
      </c>
      <c r="J23" s="2">
        <v>0</v>
      </c>
      <c r="K23" s="2">
        <v>0</v>
      </c>
      <c r="L23" s="3">
        <v>30</v>
      </c>
      <c r="M23" s="3">
        <v>-1</v>
      </c>
      <c r="N23" s="3">
        <v>2</v>
      </c>
      <c r="O23" s="3">
        <v>1</v>
      </c>
      <c r="P23" s="3">
        <v>-1</v>
      </c>
      <c r="Q23" s="3">
        <v>-1</v>
      </c>
      <c r="R23" s="2">
        <v>0</v>
      </c>
      <c r="S23" s="2">
        <v>0</v>
      </c>
      <c r="T23" s="3">
        <v>225</v>
      </c>
      <c r="U23" s="3">
        <v>1700</v>
      </c>
      <c r="V23" s="2">
        <v>0</v>
      </c>
      <c r="W23" s="3">
        <v>1442</v>
      </c>
      <c r="X23" s="3">
        <v>1602</v>
      </c>
      <c r="Y23" s="3">
        <v>20</v>
      </c>
      <c r="Z23" s="2">
        <v>30</v>
      </c>
      <c r="AA23" s="2">
        <v>50</v>
      </c>
      <c r="AB23" s="3">
        <v>185</v>
      </c>
      <c r="AC23" s="3">
        <v>0</v>
      </c>
      <c r="AD23" s="2">
        <v>-1</v>
      </c>
      <c r="AE23" s="3">
        <v>0</v>
      </c>
      <c r="AF23" s="3">
        <v>0</v>
      </c>
      <c r="AG23" s="3">
        <v>0</v>
      </c>
      <c r="AH23" s="3">
        <v>0</v>
      </c>
      <c r="AI23" s="3">
        <v>0</v>
      </c>
      <c r="AJ23" s="3">
        <v>100000</v>
      </c>
      <c r="AK23" s="3">
        <v>1</v>
      </c>
      <c r="AL23" s="3">
        <v>1</v>
      </c>
      <c r="AM23" s="2">
        <v>2000</v>
      </c>
      <c r="AN23" s="2">
        <v>0</v>
      </c>
      <c r="AO23" s="2">
        <v>0</v>
      </c>
      <c r="AP23" s="3">
        <v>1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2">
        <v>0</v>
      </c>
      <c r="AX23" s="2">
        <v>0</v>
      </c>
      <c r="AY23" s="2" t="str">
        <f t="shared" si="0"/>
        <v>tunar021</v>
      </c>
      <c r="AZ23" s="3">
        <v>9</v>
      </c>
      <c r="BA23" s="3">
        <v>2</v>
      </c>
      <c r="BB23" s="2"/>
    </row>
    <row r="24" spans="1:54" x14ac:dyDescent="0.3">
      <c r="A24" s="3" t="s">
        <v>88</v>
      </c>
      <c r="B24" s="3" t="s">
        <v>86</v>
      </c>
      <c r="C24" s="3">
        <v>5</v>
      </c>
      <c r="D24" s="3" t="s">
        <v>238</v>
      </c>
      <c r="E24" s="3">
        <v>3</v>
      </c>
      <c r="F24" s="3" t="s">
        <v>87</v>
      </c>
      <c r="G24" s="3">
        <v>3</v>
      </c>
      <c r="H24" s="3">
        <v>5</v>
      </c>
      <c r="I24" s="3">
        <v>1</v>
      </c>
      <c r="J24" s="2">
        <v>0</v>
      </c>
      <c r="K24" s="2">
        <v>0</v>
      </c>
      <c r="L24" s="3">
        <v>30</v>
      </c>
      <c r="M24" s="3">
        <v>-1</v>
      </c>
      <c r="N24" s="3">
        <v>2</v>
      </c>
      <c r="O24" s="3">
        <v>15</v>
      </c>
      <c r="P24" s="3">
        <v>-1</v>
      </c>
      <c r="Q24" s="3">
        <v>-1</v>
      </c>
      <c r="R24" s="2">
        <v>0</v>
      </c>
      <c r="S24" s="2">
        <v>0</v>
      </c>
      <c r="T24" s="3">
        <v>225</v>
      </c>
      <c r="U24" s="3">
        <v>1700</v>
      </c>
      <c r="V24" s="2">
        <v>0</v>
      </c>
      <c r="W24" s="3">
        <v>1730</v>
      </c>
      <c r="X24" s="3">
        <v>1922</v>
      </c>
      <c r="Y24" s="3">
        <v>25</v>
      </c>
      <c r="Z24" s="2">
        <v>30</v>
      </c>
      <c r="AA24" s="2">
        <v>40</v>
      </c>
      <c r="AB24" s="3">
        <v>185</v>
      </c>
      <c r="AC24" s="3">
        <v>0</v>
      </c>
      <c r="AD24" s="2">
        <v>-1</v>
      </c>
      <c r="AE24" s="3">
        <v>0</v>
      </c>
      <c r="AF24" s="3">
        <v>0</v>
      </c>
      <c r="AG24" s="3">
        <v>0</v>
      </c>
      <c r="AH24" s="3">
        <v>0</v>
      </c>
      <c r="AI24" s="3">
        <v>0</v>
      </c>
      <c r="AJ24" s="3">
        <v>200000</v>
      </c>
      <c r="AK24" s="3">
        <v>4</v>
      </c>
      <c r="AL24" s="3">
        <v>4</v>
      </c>
      <c r="AM24" s="2">
        <v>4000</v>
      </c>
      <c r="AN24" s="2">
        <v>0</v>
      </c>
      <c r="AO24" s="2">
        <v>0</v>
      </c>
      <c r="AP24" s="3">
        <v>1</v>
      </c>
      <c r="AQ24" s="2">
        <v>0</v>
      </c>
      <c r="AR24" s="2">
        <v>0</v>
      </c>
      <c r="AS24" s="2">
        <v>0</v>
      </c>
      <c r="AT24" s="2">
        <v>0</v>
      </c>
      <c r="AU24" s="2">
        <v>0</v>
      </c>
      <c r="AV24" s="2">
        <v>0</v>
      </c>
      <c r="AW24" s="2">
        <v>0</v>
      </c>
      <c r="AX24" s="2">
        <v>0</v>
      </c>
      <c r="AY24" s="2" t="str">
        <f t="shared" si="0"/>
        <v>tunar022</v>
      </c>
      <c r="AZ24" s="3">
        <v>9</v>
      </c>
      <c r="BA24" s="3">
        <v>2</v>
      </c>
      <c r="BB24" s="2"/>
    </row>
    <row r="25" spans="1:54" x14ac:dyDescent="0.3">
      <c r="A25" s="3" t="s">
        <v>89</v>
      </c>
      <c r="B25" s="3" t="s">
        <v>90</v>
      </c>
      <c r="C25" s="3">
        <v>6</v>
      </c>
      <c r="D25" s="3" t="s">
        <v>239</v>
      </c>
      <c r="E25" s="3">
        <v>3</v>
      </c>
      <c r="F25" s="3" t="s">
        <v>87</v>
      </c>
      <c r="G25" s="3">
        <v>4</v>
      </c>
      <c r="H25" s="3">
        <v>5</v>
      </c>
      <c r="I25" s="3">
        <v>1</v>
      </c>
      <c r="J25" s="2">
        <v>0</v>
      </c>
      <c r="K25" s="2">
        <v>0</v>
      </c>
      <c r="L25" s="3">
        <v>30</v>
      </c>
      <c r="M25" s="3">
        <v>-1</v>
      </c>
      <c r="N25" s="3">
        <v>2</v>
      </c>
      <c r="O25" s="3">
        <v>30</v>
      </c>
      <c r="P25" s="3">
        <v>-1</v>
      </c>
      <c r="Q25" s="3">
        <v>-1</v>
      </c>
      <c r="R25" s="2">
        <v>0</v>
      </c>
      <c r="S25" s="2">
        <v>0</v>
      </c>
      <c r="T25" s="3">
        <v>225</v>
      </c>
      <c r="U25" s="3">
        <v>1700</v>
      </c>
      <c r="V25" s="2">
        <v>0</v>
      </c>
      <c r="W25" s="3">
        <v>2019</v>
      </c>
      <c r="X25" s="3">
        <v>2243</v>
      </c>
      <c r="Y25" s="3">
        <v>35</v>
      </c>
      <c r="Z25" s="2">
        <v>30</v>
      </c>
      <c r="AA25" s="2">
        <v>30</v>
      </c>
      <c r="AB25" s="3">
        <v>185</v>
      </c>
      <c r="AC25" s="3">
        <v>0</v>
      </c>
      <c r="AD25" s="2">
        <v>-1</v>
      </c>
      <c r="AE25" s="3">
        <v>0</v>
      </c>
      <c r="AF25" s="3">
        <v>0</v>
      </c>
      <c r="AG25" s="3">
        <v>0</v>
      </c>
      <c r="AH25" s="3">
        <v>0</v>
      </c>
      <c r="AI25" s="3">
        <v>0</v>
      </c>
      <c r="AJ25" s="3">
        <v>300000</v>
      </c>
      <c r="AK25" s="3">
        <v>4</v>
      </c>
      <c r="AL25" s="3">
        <v>4</v>
      </c>
      <c r="AM25" s="2">
        <v>6000</v>
      </c>
      <c r="AN25" s="2">
        <v>0</v>
      </c>
      <c r="AO25" s="2">
        <v>0</v>
      </c>
      <c r="AP25" s="3">
        <v>1</v>
      </c>
      <c r="AQ25" s="2">
        <v>0</v>
      </c>
      <c r="AR25" s="2">
        <v>0</v>
      </c>
      <c r="AS25" s="2">
        <v>0</v>
      </c>
      <c r="AT25" s="2">
        <v>0</v>
      </c>
      <c r="AU25" s="2">
        <v>0</v>
      </c>
      <c r="AV25" s="2">
        <v>0</v>
      </c>
      <c r="AW25" s="2">
        <v>0</v>
      </c>
      <c r="AX25" s="2">
        <v>0</v>
      </c>
      <c r="AY25" s="2" t="str">
        <f t="shared" si="0"/>
        <v>tunar023</v>
      </c>
      <c r="AZ25" s="3">
        <v>12</v>
      </c>
      <c r="BA25" s="3">
        <v>2</v>
      </c>
      <c r="BB25" s="2"/>
    </row>
    <row r="26" spans="1:54" x14ac:dyDescent="0.3">
      <c r="A26" s="3" t="s">
        <v>91</v>
      </c>
      <c r="B26" s="3" t="s">
        <v>265</v>
      </c>
      <c r="C26" s="3">
        <v>17</v>
      </c>
      <c r="D26" s="3" t="s">
        <v>240</v>
      </c>
      <c r="E26" s="3">
        <v>3</v>
      </c>
      <c r="F26" s="3" t="s">
        <v>87</v>
      </c>
      <c r="G26" s="3">
        <v>2</v>
      </c>
      <c r="H26" s="3">
        <v>5</v>
      </c>
      <c r="I26" s="3">
        <v>1</v>
      </c>
      <c r="J26" s="2">
        <v>0</v>
      </c>
      <c r="K26" s="2">
        <v>0</v>
      </c>
      <c r="L26" s="3">
        <v>69</v>
      </c>
      <c r="M26" s="3">
        <v>-1</v>
      </c>
      <c r="N26" s="3">
        <v>2</v>
      </c>
      <c r="O26" s="3">
        <v>99</v>
      </c>
      <c r="P26" s="3">
        <v>-1</v>
      </c>
      <c r="Q26" s="3">
        <v>-1</v>
      </c>
      <c r="R26" s="2">
        <v>0</v>
      </c>
      <c r="S26" s="2">
        <v>0</v>
      </c>
      <c r="T26" s="3">
        <v>240</v>
      </c>
      <c r="U26" s="3">
        <v>1700</v>
      </c>
      <c r="V26" s="2">
        <v>0</v>
      </c>
      <c r="W26" s="3">
        <v>69215</v>
      </c>
      <c r="X26" s="3">
        <v>76904</v>
      </c>
      <c r="Y26" s="3">
        <v>50</v>
      </c>
      <c r="Z26" s="2">
        <v>50</v>
      </c>
      <c r="AA26" s="2">
        <v>50</v>
      </c>
      <c r="AB26" s="3">
        <v>2774</v>
      </c>
      <c r="AC26" s="3">
        <v>0</v>
      </c>
      <c r="AD26" s="2">
        <v>-1</v>
      </c>
      <c r="AE26" s="3">
        <v>0</v>
      </c>
      <c r="AF26" s="3">
        <v>0</v>
      </c>
      <c r="AG26" s="3">
        <v>0</v>
      </c>
      <c r="AH26" s="3">
        <v>0</v>
      </c>
      <c r="AI26" s="3">
        <v>0</v>
      </c>
      <c r="AJ26" s="3">
        <v>1088640000</v>
      </c>
      <c r="AK26" s="3">
        <v>9</v>
      </c>
      <c r="AL26" s="3">
        <v>56</v>
      </c>
      <c r="AM26" s="2">
        <v>142000</v>
      </c>
      <c r="AN26" s="2">
        <v>0</v>
      </c>
      <c r="AO26" s="2">
        <v>0</v>
      </c>
      <c r="AP26" s="3">
        <v>1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2">
        <v>0</v>
      </c>
      <c r="AX26" s="2">
        <v>0</v>
      </c>
      <c r="AY26" s="2" t="str">
        <f t="shared" si="0"/>
        <v>tunar024</v>
      </c>
      <c r="AZ26" s="3">
        <v>-1</v>
      </c>
      <c r="BA26" s="3">
        <v>2</v>
      </c>
      <c r="BB26" s="2"/>
    </row>
    <row r="27" spans="1:54" x14ac:dyDescent="0.3">
      <c r="A27" s="3" t="s">
        <v>93</v>
      </c>
      <c r="B27" s="3" t="s">
        <v>92</v>
      </c>
      <c r="C27" s="3">
        <v>6</v>
      </c>
      <c r="D27" s="3" t="s">
        <v>241</v>
      </c>
      <c r="E27" s="3">
        <v>3</v>
      </c>
      <c r="F27" s="3" t="s">
        <v>87</v>
      </c>
      <c r="G27" s="3">
        <v>4</v>
      </c>
      <c r="H27" s="3">
        <v>5</v>
      </c>
      <c r="I27" s="3">
        <v>1</v>
      </c>
      <c r="J27" s="2">
        <v>0</v>
      </c>
      <c r="K27" s="2">
        <v>0</v>
      </c>
      <c r="L27" s="3">
        <v>35</v>
      </c>
      <c r="M27" s="3">
        <v>-1</v>
      </c>
      <c r="N27" s="3">
        <v>2</v>
      </c>
      <c r="O27" s="3">
        <v>52</v>
      </c>
      <c r="P27" s="3">
        <v>-1</v>
      </c>
      <c r="Q27" s="3">
        <v>-1</v>
      </c>
      <c r="R27" s="2">
        <v>0</v>
      </c>
      <c r="S27" s="2">
        <v>0</v>
      </c>
      <c r="T27" s="3">
        <v>225</v>
      </c>
      <c r="U27" s="3">
        <v>1700</v>
      </c>
      <c r="V27" s="2">
        <v>0</v>
      </c>
      <c r="W27" s="3">
        <v>2568</v>
      </c>
      <c r="X27" s="3">
        <v>2854</v>
      </c>
      <c r="Y27" s="3">
        <v>50</v>
      </c>
      <c r="Z27" s="2">
        <v>50</v>
      </c>
      <c r="AA27" s="2">
        <v>50</v>
      </c>
      <c r="AB27" s="3">
        <v>248</v>
      </c>
      <c r="AC27" s="3">
        <v>0</v>
      </c>
      <c r="AD27" s="2">
        <v>-1</v>
      </c>
      <c r="AE27" s="3">
        <v>0</v>
      </c>
      <c r="AF27" s="3">
        <v>0</v>
      </c>
      <c r="AG27" s="3">
        <v>0</v>
      </c>
      <c r="AH27" s="3">
        <v>0</v>
      </c>
      <c r="AI27" s="3">
        <v>0</v>
      </c>
      <c r="AJ27" s="3">
        <v>600000</v>
      </c>
      <c r="AK27" s="3">
        <v>1</v>
      </c>
      <c r="AL27" s="3">
        <v>1</v>
      </c>
      <c r="AM27" s="2">
        <v>12000</v>
      </c>
      <c r="AN27" s="2">
        <v>0</v>
      </c>
      <c r="AO27" s="2">
        <v>0</v>
      </c>
      <c r="AP27" s="3">
        <v>1</v>
      </c>
      <c r="AQ27" s="2">
        <v>0</v>
      </c>
      <c r="AR27" s="2">
        <v>0</v>
      </c>
      <c r="AS27" s="2">
        <v>0</v>
      </c>
      <c r="AT27" s="2">
        <v>0</v>
      </c>
      <c r="AU27" s="2">
        <v>0</v>
      </c>
      <c r="AV27" s="2">
        <v>0</v>
      </c>
      <c r="AW27" s="2">
        <v>0</v>
      </c>
      <c r="AX27" s="2">
        <v>0</v>
      </c>
      <c r="AY27" s="2" t="str">
        <f t="shared" si="0"/>
        <v>tunar025</v>
      </c>
      <c r="AZ27" s="3">
        <v>12</v>
      </c>
      <c r="BA27" s="3">
        <v>2</v>
      </c>
      <c r="BB27" s="2"/>
    </row>
    <row r="28" spans="1:54" x14ac:dyDescent="0.3">
      <c r="A28" s="3" t="s">
        <v>94</v>
      </c>
      <c r="B28" s="3" t="s">
        <v>90</v>
      </c>
      <c r="C28" s="3">
        <v>6</v>
      </c>
      <c r="D28" s="3" t="s">
        <v>242</v>
      </c>
      <c r="E28" s="3">
        <v>3</v>
      </c>
      <c r="F28" s="3" t="s">
        <v>87</v>
      </c>
      <c r="G28" s="3">
        <v>4</v>
      </c>
      <c r="H28" s="3">
        <v>5</v>
      </c>
      <c r="I28" s="3">
        <v>1</v>
      </c>
      <c r="J28" s="2">
        <v>0</v>
      </c>
      <c r="K28" s="2">
        <v>0</v>
      </c>
      <c r="L28" s="3">
        <v>37</v>
      </c>
      <c r="M28" s="3">
        <v>-1</v>
      </c>
      <c r="N28" s="3">
        <v>2</v>
      </c>
      <c r="O28" s="3">
        <v>60</v>
      </c>
      <c r="P28" s="3">
        <v>-1</v>
      </c>
      <c r="Q28" s="3">
        <v>-1</v>
      </c>
      <c r="R28" s="2">
        <v>0</v>
      </c>
      <c r="S28" s="2">
        <v>0</v>
      </c>
      <c r="T28" s="3">
        <v>225</v>
      </c>
      <c r="U28" s="3">
        <v>1700</v>
      </c>
      <c r="V28" s="2">
        <v>0</v>
      </c>
      <c r="W28" s="3">
        <v>3505</v>
      </c>
      <c r="X28" s="3">
        <v>3895</v>
      </c>
      <c r="Y28" s="3">
        <v>50</v>
      </c>
      <c r="Z28" s="2">
        <v>50</v>
      </c>
      <c r="AA28" s="2">
        <v>50</v>
      </c>
      <c r="AB28" s="3">
        <v>289</v>
      </c>
      <c r="AC28" s="3">
        <v>0</v>
      </c>
      <c r="AD28" s="2">
        <v>-1</v>
      </c>
      <c r="AE28" s="3">
        <v>0</v>
      </c>
      <c r="AF28" s="3">
        <v>0</v>
      </c>
      <c r="AG28" s="3">
        <v>0</v>
      </c>
      <c r="AH28" s="3">
        <v>0</v>
      </c>
      <c r="AI28" s="3">
        <v>0</v>
      </c>
      <c r="AJ28" s="3">
        <v>800000</v>
      </c>
      <c r="AK28" s="3">
        <v>4</v>
      </c>
      <c r="AL28" s="3">
        <v>4</v>
      </c>
      <c r="AM28" s="2">
        <v>16000</v>
      </c>
      <c r="AN28" s="2">
        <v>0</v>
      </c>
      <c r="AO28" s="2">
        <v>0</v>
      </c>
      <c r="AP28" s="3">
        <v>1</v>
      </c>
      <c r="AQ28" s="2">
        <v>0</v>
      </c>
      <c r="AR28" s="2">
        <v>0</v>
      </c>
      <c r="AS28" s="2">
        <v>0</v>
      </c>
      <c r="AT28" s="2">
        <v>0</v>
      </c>
      <c r="AU28" s="2">
        <v>0</v>
      </c>
      <c r="AV28" s="2">
        <v>0</v>
      </c>
      <c r="AW28" s="2">
        <v>0</v>
      </c>
      <c r="AX28" s="2">
        <v>0</v>
      </c>
      <c r="AY28" s="2" t="str">
        <f t="shared" si="0"/>
        <v>tunar026</v>
      </c>
      <c r="AZ28" s="3">
        <v>12</v>
      </c>
      <c r="BA28" s="3">
        <v>2</v>
      </c>
      <c r="BB28" s="2"/>
    </row>
    <row r="29" spans="1:54" x14ac:dyDescent="0.3">
      <c r="A29" s="3" t="s">
        <v>95</v>
      </c>
      <c r="B29" s="3" t="s">
        <v>92</v>
      </c>
      <c r="C29" s="3">
        <v>100</v>
      </c>
      <c r="D29" s="3" t="s">
        <v>243</v>
      </c>
      <c r="E29" s="3">
        <v>3</v>
      </c>
      <c r="F29" s="3" t="s">
        <v>87</v>
      </c>
      <c r="G29" s="3">
        <v>4</v>
      </c>
      <c r="H29" s="3">
        <v>5</v>
      </c>
      <c r="I29" s="3">
        <v>1</v>
      </c>
      <c r="J29" s="2">
        <v>0</v>
      </c>
      <c r="K29" s="2">
        <v>0</v>
      </c>
      <c r="L29" s="3">
        <v>100</v>
      </c>
      <c r="M29" s="3">
        <v>-1</v>
      </c>
      <c r="N29" s="3">
        <v>2</v>
      </c>
      <c r="O29" s="3">
        <v>100</v>
      </c>
      <c r="P29" s="3">
        <v>-1</v>
      </c>
      <c r="Q29" s="3">
        <v>-1</v>
      </c>
      <c r="R29" s="2">
        <v>0</v>
      </c>
      <c r="S29" s="2">
        <v>0</v>
      </c>
      <c r="T29" s="3">
        <v>0</v>
      </c>
      <c r="U29" s="3">
        <v>1700</v>
      </c>
      <c r="V29" s="2">
        <v>0</v>
      </c>
      <c r="W29" s="3">
        <v>0</v>
      </c>
      <c r="X29" s="3">
        <v>0</v>
      </c>
      <c r="Y29" s="3">
        <v>50</v>
      </c>
      <c r="Z29" s="2">
        <v>50</v>
      </c>
      <c r="AA29" s="2">
        <v>50</v>
      </c>
      <c r="AB29" s="3">
        <v>302</v>
      </c>
      <c r="AC29" s="3">
        <v>0</v>
      </c>
      <c r="AD29" s="2">
        <v>-1</v>
      </c>
      <c r="AE29" s="3">
        <v>0</v>
      </c>
      <c r="AF29" s="3">
        <v>0</v>
      </c>
      <c r="AG29" s="3">
        <v>0</v>
      </c>
      <c r="AH29" s="3">
        <v>0</v>
      </c>
      <c r="AI29" s="3">
        <v>0</v>
      </c>
      <c r="AJ29" s="3">
        <v>7100000</v>
      </c>
      <c r="AK29" s="3">
        <v>4</v>
      </c>
      <c r="AL29" s="3">
        <v>4</v>
      </c>
      <c r="AM29" s="2">
        <v>142000</v>
      </c>
      <c r="AN29" s="2">
        <v>0</v>
      </c>
      <c r="AO29" s="2">
        <v>0</v>
      </c>
      <c r="AP29" s="3">
        <v>1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2">
        <v>0</v>
      </c>
      <c r="AX29" s="2">
        <v>0</v>
      </c>
      <c r="AY29" s="2" t="str">
        <f t="shared" si="0"/>
        <v>tunar027</v>
      </c>
      <c r="AZ29" s="3">
        <v>12</v>
      </c>
      <c r="BA29" s="3">
        <v>2</v>
      </c>
      <c r="BB29" s="2"/>
    </row>
    <row r="30" spans="1:54" x14ac:dyDescent="0.3">
      <c r="A30" s="3" t="s">
        <v>96</v>
      </c>
      <c r="B30" s="3" t="s">
        <v>266</v>
      </c>
      <c r="C30" s="3">
        <v>19</v>
      </c>
      <c r="D30" s="3" t="s">
        <v>269</v>
      </c>
      <c r="E30" s="3">
        <v>3</v>
      </c>
      <c r="F30" s="3" t="s">
        <v>87</v>
      </c>
      <c r="G30" s="3">
        <v>2</v>
      </c>
      <c r="H30" s="3">
        <v>5</v>
      </c>
      <c r="I30" s="3">
        <v>1</v>
      </c>
      <c r="J30" s="2">
        <v>0</v>
      </c>
      <c r="K30" s="2">
        <v>0</v>
      </c>
      <c r="L30" s="3">
        <v>74</v>
      </c>
      <c r="M30" s="3">
        <v>-1</v>
      </c>
      <c r="N30" s="3">
        <v>2</v>
      </c>
      <c r="O30" s="3">
        <v>99</v>
      </c>
      <c r="P30" s="3">
        <v>-1</v>
      </c>
      <c r="Q30" s="3">
        <v>-1</v>
      </c>
      <c r="R30" s="2">
        <v>0</v>
      </c>
      <c r="S30" s="2">
        <v>0</v>
      </c>
      <c r="T30" s="3">
        <v>240</v>
      </c>
      <c r="U30" s="3">
        <v>1850</v>
      </c>
      <c r="V30" s="2">
        <v>0</v>
      </c>
      <c r="W30" s="3">
        <v>76000</v>
      </c>
      <c r="X30" s="3">
        <v>100000</v>
      </c>
      <c r="Y30" s="3">
        <v>50</v>
      </c>
      <c r="Z30" s="2">
        <v>50</v>
      </c>
      <c r="AA30" s="2">
        <v>50</v>
      </c>
      <c r="AB30" s="3">
        <v>6800</v>
      </c>
      <c r="AC30" s="3">
        <v>0</v>
      </c>
      <c r="AD30" s="2">
        <v>-1</v>
      </c>
      <c r="AE30" s="3">
        <v>0</v>
      </c>
      <c r="AF30" s="3">
        <v>0</v>
      </c>
      <c r="AG30" s="3">
        <v>0</v>
      </c>
      <c r="AH30" s="3">
        <v>0</v>
      </c>
      <c r="AI30" s="3">
        <v>0</v>
      </c>
      <c r="AJ30" s="3">
        <v>1260000000</v>
      </c>
      <c r="AK30" s="3">
        <v>9</v>
      </c>
      <c r="AL30" s="3">
        <v>63</v>
      </c>
      <c r="AM30" s="2">
        <v>142000</v>
      </c>
      <c r="AN30" s="2">
        <v>0</v>
      </c>
      <c r="AO30" s="2">
        <v>0</v>
      </c>
      <c r="AP30" s="3">
        <v>1</v>
      </c>
      <c r="AQ30" s="2">
        <v>0</v>
      </c>
      <c r="AR30" s="2">
        <v>0</v>
      </c>
      <c r="AS30" s="2">
        <v>0</v>
      </c>
      <c r="AT30" s="2">
        <v>0</v>
      </c>
      <c r="AU30" s="2">
        <v>0</v>
      </c>
      <c r="AV30" s="2">
        <v>0</v>
      </c>
      <c r="AW30" s="2">
        <v>0</v>
      </c>
      <c r="AX30" s="2">
        <v>0</v>
      </c>
      <c r="AY30" s="2" t="str">
        <f t="shared" si="0"/>
        <v>tunar028</v>
      </c>
      <c r="AZ30" s="3">
        <v>-1</v>
      </c>
      <c r="BA30" s="3">
        <v>2</v>
      </c>
      <c r="BB30" s="2"/>
    </row>
    <row r="31" spans="1:54" x14ac:dyDescent="0.3">
      <c r="A31" s="3" t="s">
        <v>97</v>
      </c>
      <c r="B31" s="3" t="s">
        <v>98</v>
      </c>
      <c r="C31" s="3">
        <v>100</v>
      </c>
      <c r="D31" s="3" t="s">
        <v>268</v>
      </c>
      <c r="E31" s="3">
        <v>3</v>
      </c>
      <c r="F31" s="3" t="s">
        <v>87</v>
      </c>
      <c r="G31" s="3">
        <v>4</v>
      </c>
      <c r="H31" s="3">
        <v>5</v>
      </c>
      <c r="I31" s="3">
        <v>1</v>
      </c>
      <c r="J31" s="2">
        <v>0</v>
      </c>
      <c r="K31" s="2">
        <v>0</v>
      </c>
      <c r="L31" s="3">
        <v>100</v>
      </c>
      <c r="M31" s="3">
        <v>-1</v>
      </c>
      <c r="N31" s="3">
        <v>2</v>
      </c>
      <c r="O31" s="3">
        <v>100</v>
      </c>
      <c r="P31" s="3">
        <v>-1</v>
      </c>
      <c r="Q31" s="3">
        <v>-1</v>
      </c>
      <c r="R31" s="2">
        <v>0</v>
      </c>
      <c r="S31" s="2">
        <v>0</v>
      </c>
      <c r="T31" s="3">
        <v>0</v>
      </c>
      <c r="U31" s="3">
        <v>1700</v>
      </c>
      <c r="V31" s="2">
        <v>0</v>
      </c>
      <c r="W31" s="3">
        <v>0</v>
      </c>
      <c r="X31" s="3">
        <v>0</v>
      </c>
      <c r="Y31" s="3">
        <v>50</v>
      </c>
      <c r="Z31" s="2">
        <v>50</v>
      </c>
      <c r="AA31" s="2">
        <v>50</v>
      </c>
      <c r="AB31" s="3">
        <v>0</v>
      </c>
      <c r="AC31" s="3">
        <v>0</v>
      </c>
      <c r="AD31" s="2">
        <v>-1</v>
      </c>
      <c r="AE31" s="3">
        <v>0</v>
      </c>
      <c r="AF31" s="3">
        <v>0</v>
      </c>
      <c r="AG31" s="3">
        <v>0</v>
      </c>
      <c r="AH31" s="3">
        <v>0</v>
      </c>
      <c r="AI31" s="3">
        <v>0</v>
      </c>
      <c r="AJ31" s="3">
        <v>7100000</v>
      </c>
      <c r="AK31" s="3">
        <v>4</v>
      </c>
      <c r="AL31" s="3">
        <v>4</v>
      </c>
      <c r="AM31" s="2">
        <v>142000</v>
      </c>
      <c r="AN31" s="2">
        <v>0</v>
      </c>
      <c r="AO31" s="2">
        <v>0</v>
      </c>
      <c r="AP31" s="3">
        <v>1</v>
      </c>
      <c r="AQ31" s="2">
        <v>0</v>
      </c>
      <c r="AR31" s="2">
        <v>0</v>
      </c>
      <c r="AS31" s="2">
        <v>0</v>
      </c>
      <c r="AT31" s="2">
        <v>0</v>
      </c>
      <c r="AU31" s="2">
        <v>0</v>
      </c>
      <c r="AV31" s="2">
        <v>0</v>
      </c>
      <c r="AW31" s="2">
        <v>0</v>
      </c>
      <c r="AX31" s="2">
        <v>0</v>
      </c>
      <c r="AY31" s="2" t="str">
        <f t="shared" si="0"/>
        <v>tunar029</v>
      </c>
      <c r="AZ31" s="3">
        <v>12</v>
      </c>
      <c r="BA31" s="3">
        <v>2</v>
      </c>
      <c r="BB31" s="2"/>
    </row>
    <row r="32" spans="1:54" x14ac:dyDescent="0.3">
      <c r="A32" s="3" t="s">
        <v>99</v>
      </c>
      <c r="B32" s="3" t="s">
        <v>100</v>
      </c>
      <c r="C32" s="3">
        <v>8</v>
      </c>
      <c r="D32" s="3" t="s">
        <v>244</v>
      </c>
      <c r="E32" s="3">
        <v>3</v>
      </c>
      <c r="F32" s="3" t="s">
        <v>87</v>
      </c>
      <c r="G32" s="3">
        <v>2</v>
      </c>
      <c r="H32" s="3">
        <v>5</v>
      </c>
      <c r="I32" s="3">
        <v>1</v>
      </c>
      <c r="J32" s="2">
        <v>0</v>
      </c>
      <c r="K32" s="2">
        <v>0</v>
      </c>
      <c r="L32" s="3">
        <v>40</v>
      </c>
      <c r="M32" s="3">
        <v>-1</v>
      </c>
      <c r="N32" s="3">
        <v>2</v>
      </c>
      <c r="O32" s="3">
        <v>77</v>
      </c>
      <c r="P32" s="3">
        <v>-1</v>
      </c>
      <c r="Q32" s="3">
        <v>-1</v>
      </c>
      <c r="R32" s="2">
        <v>0</v>
      </c>
      <c r="S32" s="2">
        <v>0</v>
      </c>
      <c r="T32" s="3">
        <v>225</v>
      </c>
      <c r="U32" s="3">
        <v>1700</v>
      </c>
      <c r="V32" s="2">
        <v>0</v>
      </c>
      <c r="W32" s="3">
        <v>5600</v>
      </c>
      <c r="X32" s="3">
        <v>6223</v>
      </c>
      <c r="Y32" s="3">
        <v>50</v>
      </c>
      <c r="Z32" s="2">
        <v>50</v>
      </c>
      <c r="AA32" s="2">
        <v>50</v>
      </c>
      <c r="AB32" s="3">
        <v>344</v>
      </c>
      <c r="AC32" s="3">
        <v>0</v>
      </c>
      <c r="AD32" s="2">
        <v>-1</v>
      </c>
      <c r="AE32" s="3">
        <v>0</v>
      </c>
      <c r="AF32" s="3">
        <v>0</v>
      </c>
      <c r="AG32" s="3">
        <v>0</v>
      </c>
      <c r="AH32" s="3">
        <v>0</v>
      </c>
      <c r="AI32" s="3">
        <v>0</v>
      </c>
      <c r="AJ32" s="3">
        <v>1100000</v>
      </c>
      <c r="AK32" s="3">
        <v>1</v>
      </c>
      <c r="AL32" s="3">
        <v>1</v>
      </c>
      <c r="AM32" s="2">
        <v>22000</v>
      </c>
      <c r="AN32" s="2">
        <v>0</v>
      </c>
      <c r="AO32" s="2">
        <v>0</v>
      </c>
      <c r="AP32" s="3">
        <v>1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2">
        <v>0</v>
      </c>
      <c r="AX32" s="2">
        <v>0</v>
      </c>
      <c r="AY32" s="2" t="str">
        <f t="shared" si="0"/>
        <v>tunar030</v>
      </c>
      <c r="AZ32" s="3">
        <v>9</v>
      </c>
      <c r="BA32" s="3">
        <v>2</v>
      </c>
      <c r="BB32" s="2"/>
    </row>
    <row r="33" spans="1:54" x14ac:dyDescent="0.3">
      <c r="A33" s="3" t="s">
        <v>101</v>
      </c>
      <c r="B33" s="3" t="s">
        <v>100</v>
      </c>
      <c r="C33" s="3">
        <v>8</v>
      </c>
      <c r="D33" s="3" t="s">
        <v>245</v>
      </c>
      <c r="E33" s="3">
        <v>3</v>
      </c>
      <c r="F33" s="3" t="s">
        <v>87</v>
      </c>
      <c r="G33" s="3">
        <v>2</v>
      </c>
      <c r="H33" s="3">
        <v>5</v>
      </c>
      <c r="I33" s="3">
        <v>1</v>
      </c>
      <c r="J33" s="2">
        <v>0</v>
      </c>
      <c r="K33" s="2">
        <v>0</v>
      </c>
      <c r="L33" s="3">
        <v>43</v>
      </c>
      <c r="M33" s="3">
        <v>-1</v>
      </c>
      <c r="N33" s="3">
        <v>2</v>
      </c>
      <c r="O33" s="3">
        <v>81</v>
      </c>
      <c r="P33" s="3">
        <v>-1</v>
      </c>
      <c r="Q33" s="3">
        <v>-1</v>
      </c>
      <c r="R33" s="2">
        <v>0</v>
      </c>
      <c r="S33" s="2">
        <v>0</v>
      </c>
      <c r="T33" s="3">
        <v>225</v>
      </c>
      <c r="U33" s="3">
        <v>1700</v>
      </c>
      <c r="V33" s="2">
        <v>0</v>
      </c>
      <c r="W33" s="3">
        <v>9205</v>
      </c>
      <c r="X33" s="3">
        <v>10228</v>
      </c>
      <c r="Y33" s="3">
        <v>50</v>
      </c>
      <c r="Z33" s="2">
        <v>50</v>
      </c>
      <c r="AA33" s="2">
        <v>50</v>
      </c>
      <c r="AB33" s="3">
        <v>397</v>
      </c>
      <c r="AC33" s="3">
        <v>0</v>
      </c>
      <c r="AD33" s="2">
        <v>-1</v>
      </c>
      <c r="AE33" s="3">
        <v>0</v>
      </c>
      <c r="AF33" s="3">
        <v>0</v>
      </c>
      <c r="AG33" s="3">
        <v>0</v>
      </c>
      <c r="AH33" s="3">
        <v>0</v>
      </c>
      <c r="AI33" s="3">
        <v>0</v>
      </c>
      <c r="AJ33" s="3">
        <v>1400000</v>
      </c>
      <c r="AK33" s="3">
        <v>4</v>
      </c>
      <c r="AL33" s="3">
        <v>4</v>
      </c>
      <c r="AM33" s="2">
        <v>28000</v>
      </c>
      <c r="AN33" s="2">
        <v>0</v>
      </c>
      <c r="AO33" s="2">
        <v>0</v>
      </c>
      <c r="AP33" s="3">
        <v>1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2">
        <v>0</v>
      </c>
      <c r="AX33" s="2">
        <v>0</v>
      </c>
      <c r="AY33" s="2" t="str">
        <f t="shared" si="0"/>
        <v>tunar031</v>
      </c>
      <c r="AZ33" s="3">
        <v>9</v>
      </c>
      <c r="BA33" s="3">
        <v>2</v>
      </c>
      <c r="BB33" s="2"/>
    </row>
    <row r="34" spans="1:54" x14ac:dyDescent="0.3">
      <c r="A34" s="3" t="s">
        <v>102</v>
      </c>
      <c r="B34" s="3" t="s">
        <v>100</v>
      </c>
      <c r="C34" s="3">
        <v>8</v>
      </c>
      <c r="D34" s="3" t="s">
        <v>246</v>
      </c>
      <c r="E34" s="3">
        <v>3</v>
      </c>
      <c r="F34" s="3" t="s">
        <v>87</v>
      </c>
      <c r="G34" s="3">
        <v>2</v>
      </c>
      <c r="H34" s="3">
        <v>5</v>
      </c>
      <c r="I34" s="3">
        <v>1</v>
      </c>
      <c r="J34" s="2">
        <v>0</v>
      </c>
      <c r="K34" s="2">
        <v>0</v>
      </c>
      <c r="L34" s="3">
        <v>48</v>
      </c>
      <c r="M34" s="3">
        <v>-1</v>
      </c>
      <c r="N34" s="3">
        <v>2</v>
      </c>
      <c r="O34" s="3">
        <v>93</v>
      </c>
      <c r="P34" s="3">
        <v>-1</v>
      </c>
      <c r="Q34" s="3">
        <v>-1</v>
      </c>
      <c r="R34" s="2">
        <v>0</v>
      </c>
      <c r="S34" s="2">
        <v>0</v>
      </c>
      <c r="T34" s="3">
        <v>225</v>
      </c>
      <c r="U34" s="3">
        <v>1700</v>
      </c>
      <c r="V34" s="2">
        <v>0</v>
      </c>
      <c r="W34" s="3">
        <v>16237</v>
      </c>
      <c r="X34" s="3">
        <v>18040</v>
      </c>
      <c r="Y34" s="3">
        <v>50</v>
      </c>
      <c r="Z34" s="2">
        <v>50</v>
      </c>
      <c r="AA34" s="2">
        <v>50</v>
      </c>
      <c r="AB34" s="3">
        <v>459</v>
      </c>
      <c r="AC34" s="3">
        <v>0</v>
      </c>
      <c r="AD34" s="2">
        <v>-1</v>
      </c>
      <c r="AE34" s="3">
        <v>0</v>
      </c>
      <c r="AF34" s="3">
        <v>0</v>
      </c>
      <c r="AG34" s="3">
        <v>0</v>
      </c>
      <c r="AH34" s="3">
        <v>0</v>
      </c>
      <c r="AI34" s="3">
        <v>0</v>
      </c>
      <c r="AJ34" s="3">
        <v>1900000</v>
      </c>
      <c r="AK34" s="3">
        <v>1</v>
      </c>
      <c r="AL34" s="3">
        <v>1</v>
      </c>
      <c r="AM34" s="2">
        <v>38000</v>
      </c>
      <c r="AN34" s="2">
        <v>0</v>
      </c>
      <c r="AO34" s="2">
        <v>0</v>
      </c>
      <c r="AP34" s="3">
        <v>1</v>
      </c>
      <c r="AQ34" s="2">
        <v>0</v>
      </c>
      <c r="AR34" s="2">
        <v>0</v>
      </c>
      <c r="AS34" s="2">
        <v>0</v>
      </c>
      <c r="AT34" s="2">
        <v>0</v>
      </c>
      <c r="AU34" s="2">
        <v>0</v>
      </c>
      <c r="AV34" s="2">
        <v>0</v>
      </c>
      <c r="AW34" s="2">
        <v>0</v>
      </c>
      <c r="AX34" s="2">
        <v>0</v>
      </c>
      <c r="AY34" s="2" t="str">
        <f t="shared" si="0"/>
        <v>tunar032</v>
      </c>
      <c r="AZ34" s="3">
        <v>9</v>
      </c>
      <c r="BA34" s="3">
        <v>2</v>
      </c>
      <c r="BB34" s="2"/>
    </row>
    <row r="35" spans="1:54" x14ac:dyDescent="0.3">
      <c r="A35" s="3" t="s">
        <v>103</v>
      </c>
      <c r="B35" s="3" t="s">
        <v>104</v>
      </c>
      <c r="C35" s="3">
        <v>10</v>
      </c>
      <c r="D35" s="3" t="s">
        <v>247</v>
      </c>
      <c r="E35" s="3">
        <v>3</v>
      </c>
      <c r="F35" s="3" t="s">
        <v>87</v>
      </c>
      <c r="G35" s="3">
        <v>2</v>
      </c>
      <c r="H35" s="3">
        <v>5</v>
      </c>
      <c r="I35" s="3">
        <v>1</v>
      </c>
      <c r="J35" s="2">
        <v>0</v>
      </c>
      <c r="K35" s="2">
        <v>0</v>
      </c>
      <c r="L35" s="3">
        <v>50</v>
      </c>
      <c r="M35" s="3">
        <v>-1</v>
      </c>
      <c r="N35" s="3">
        <v>2</v>
      </c>
      <c r="O35" s="3">
        <v>99</v>
      </c>
      <c r="P35" s="3">
        <v>-1</v>
      </c>
      <c r="Q35" s="3">
        <v>-1</v>
      </c>
      <c r="R35" s="2">
        <v>0</v>
      </c>
      <c r="S35" s="2">
        <v>0</v>
      </c>
      <c r="T35" s="3">
        <v>240</v>
      </c>
      <c r="U35" s="3">
        <v>1700</v>
      </c>
      <c r="V35" s="2">
        <v>0</v>
      </c>
      <c r="W35" s="3">
        <v>23101</v>
      </c>
      <c r="X35" s="3">
        <v>25667</v>
      </c>
      <c r="Y35" s="3">
        <v>50</v>
      </c>
      <c r="Z35" s="2">
        <v>50</v>
      </c>
      <c r="AA35" s="2">
        <v>50</v>
      </c>
      <c r="AB35" s="3">
        <v>550</v>
      </c>
      <c r="AC35" s="3">
        <v>0</v>
      </c>
      <c r="AD35" s="2">
        <v>-1</v>
      </c>
      <c r="AE35" s="3">
        <v>0</v>
      </c>
      <c r="AF35" s="3">
        <v>0</v>
      </c>
      <c r="AG35" s="3">
        <v>0</v>
      </c>
      <c r="AH35" s="3">
        <v>0</v>
      </c>
      <c r="AI35" s="3">
        <v>0</v>
      </c>
      <c r="AJ35" s="3">
        <v>147000000</v>
      </c>
      <c r="AK35" s="3">
        <v>1</v>
      </c>
      <c r="AL35" s="3">
        <v>1</v>
      </c>
      <c r="AM35" s="2">
        <v>2940000</v>
      </c>
      <c r="AN35" s="2">
        <v>0</v>
      </c>
      <c r="AO35" s="2">
        <v>0</v>
      </c>
      <c r="AP35" s="3">
        <v>1</v>
      </c>
      <c r="AQ35" s="2">
        <v>0</v>
      </c>
      <c r="AR35" s="2">
        <v>0</v>
      </c>
      <c r="AS35" s="2">
        <v>0</v>
      </c>
      <c r="AT35" s="2">
        <v>0</v>
      </c>
      <c r="AU35" s="2">
        <v>0</v>
      </c>
      <c r="AV35" s="2">
        <v>0</v>
      </c>
      <c r="AW35" s="2">
        <v>0</v>
      </c>
      <c r="AX35" s="2">
        <v>0</v>
      </c>
      <c r="AY35" s="2" t="str">
        <f t="shared" si="0"/>
        <v>tunar033</v>
      </c>
      <c r="AZ35" s="3">
        <v>9</v>
      </c>
      <c r="BA35" s="3">
        <v>2</v>
      </c>
      <c r="BB35" s="2"/>
    </row>
    <row r="36" spans="1:54" x14ac:dyDescent="0.3">
      <c r="A36" s="3" t="s">
        <v>105</v>
      </c>
      <c r="B36" s="3" t="s">
        <v>104</v>
      </c>
      <c r="C36" s="3">
        <v>10</v>
      </c>
      <c r="D36" s="3" t="s">
        <v>248</v>
      </c>
      <c r="E36" s="3">
        <v>3</v>
      </c>
      <c r="F36" s="3" t="s">
        <v>87</v>
      </c>
      <c r="G36" s="3">
        <v>2</v>
      </c>
      <c r="H36" s="3">
        <v>5</v>
      </c>
      <c r="I36" s="3">
        <v>1</v>
      </c>
      <c r="J36" s="2">
        <v>0</v>
      </c>
      <c r="K36" s="2">
        <v>0</v>
      </c>
      <c r="L36" s="3">
        <v>50</v>
      </c>
      <c r="M36" s="3">
        <v>-1</v>
      </c>
      <c r="N36" s="3">
        <v>2</v>
      </c>
      <c r="O36" s="3">
        <v>99</v>
      </c>
      <c r="P36" s="3">
        <v>-1</v>
      </c>
      <c r="Q36" s="3">
        <v>-1</v>
      </c>
      <c r="R36" s="2">
        <v>0</v>
      </c>
      <c r="S36" s="2">
        <v>0</v>
      </c>
      <c r="T36" s="3">
        <v>240</v>
      </c>
      <c r="U36" s="3">
        <v>1700</v>
      </c>
      <c r="V36" s="2">
        <v>0</v>
      </c>
      <c r="W36" s="3">
        <v>27721</v>
      </c>
      <c r="X36" s="3">
        <v>30800</v>
      </c>
      <c r="Y36" s="3">
        <v>50</v>
      </c>
      <c r="Z36" s="2">
        <v>50</v>
      </c>
      <c r="AA36" s="2">
        <v>50</v>
      </c>
      <c r="AB36" s="3">
        <v>660</v>
      </c>
      <c r="AC36" s="3">
        <v>0</v>
      </c>
      <c r="AD36" s="2">
        <v>-1</v>
      </c>
      <c r="AE36" s="3">
        <v>0</v>
      </c>
      <c r="AF36" s="3">
        <v>0</v>
      </c>
      <c r="AG36" s="3">
        <v>0</v>
      </c>
      <c r="AH36" s="3">
        <v>0</v>
      </c>
      <c r="AI36" s="3">
        <v>0</v>
      </c>
      <c r="AJ36" s="3">
        <v>298200000</v>
      </c>
      <c r="AK36" s="3">
        <v>4</v>
      </c>
      <c r="AL36" s="3">
        <v>4</v>
      </c>
      <c r="AM36" s="2">
        <v>5964000</v>
      </c>
      <c r="AN36" s="2">
        <v>0</v>
      </c>
      <c r="AO36" s="2">
        <v>0</v>
      </c>
      <c r="AP36" s="3">
        <v>1</v>
      </c>
      <c r="AQ36" s="2">
        <v>0</v>
      </c>
      <c r="AR36" s="2">
        <v>0</v>
      </c>
      <c r="AS36" s="2">
        <v>0</v>
      </c>
      <c r="AT36" s="2">
        <v>0</v>
      </c>
      <c r="AU36" s="2">
        <v>0</v>
      </c>
      <c r="AV36" s="2">
        <v>0</v>
      </c>
      <c r="AW36" s="2">
        <v>0</v>
      </c>
      <c r="AX36" s="2">
        <v>0</v>
      </c>
      <c r="AY36" s="2" t="str">
        <f t="shared" si="0"/>
        <v>tunar034</v>
      </c>
      <c r="AZ36" s="3">
        <v>9</v>
      </c>
      <c r="BA36" s="3">
        <v>2</v>
      </c>
      <c r="BB36" s="2"/>
    </row>
    <row r="37" spans="1:54" x14ac:dyDescent="0.3">
      <c r="A37" s="3" t="s">
        <v>106</v>
      </c>
      <c r="B37" s="3" t="s">
        <v>104</v>
      </c>
      <c r="C37" s="3">
        <v>10</v>
      </c>
      <c r="D37" s="3" t="s">
        <v>249</v>
      </c>
      <c r="E37" s="3">
        <v>3</v>
      </c>
      <c r="F37" s="3" t="s">
        <v>87</v>
      </c>
      <c r="G37" s="3">
        <v>2</v>
      </c>
      <c r="H37" s="3">
        <v>5</v>
      </c>
      <c r="I37" s="3">
        <v>1</v>
      </c>
      <c r="J37" s="2">
        <v>0</v>
      </c>
      <c r="K37" s="2">
        <v>0</v>
      </c>
      <c r="L37" s="3">
        <v>50</v>
      </c>
      <c r="M37" s="3">
        <v>-1</v>
      </c>
      <c r="N37" s="3">
        <v>2</v>
      </c>
      <c r="O37" s="3">
        <v>99</v>
      </c>
      <c r="P37" s="3">
        <v>-1</v>
      </c>
      <c r="Q37" s="3">
        <v>-1</v>
      </c>
      <c r="R37" s="2">
        <v>0</v>
      </c>
      <c r="S37" s="2">
        <v>0</v>
      </c>
      <c r="T37" s="3">
        <v>240</v>
      </c>
      <c r="U37" s="3">
        <v>1700</v>
      </c>
      <c r="V37" s="2">
        <v>0</v>
      </c>
      <c r="W37" s="3">
        <v>32341</v>
      </c>
      <c r="X37" s="3">
        <v>35934</v>
      </c>
      <c r="Y37" s="3">
        <v>50</v>
      </c>
      <c r="Z37" s="2">
        <v>50</v>
      </c>
      <c r="AA37" s="2">
        <v>50</v>
      </c>
      <c r="AB37" s="3">
        <v>858</v>
      </c>
      <c r="AC37" s="3">
        <v>0</v>
      </c>
      <c r="AD37" s="2">
        <v>-1</v>
      </c>
      <c r="AE37" s="3">
        <v>0</v>
      </c>
      <c r="AF37" s="3">
        <v>0</v>
      </c>
      <c r="AG37" s="3">
        <v>0</v>
      </c>
      <c r="AH37" s="3">
        <v>0</v>
      </c>
      <c r="AI37" s="3">
        <v>0</v>
      </c>
      <c r="AJ37" s="3">
        <v>453600000</v>
      </c>
      <c r="AK37" s="3">
        <v>9</v>
      </c>
      <c r="AL37" s="3">
        <v>9</v>
      </c>
      <c r="AM37" s="2">
        <v>9072000</v>
      </c>
      <c r="AN37" s="2">
        <v>0</v>
      </c>
      <c r="AO37" s="2">
        <v>0</v>
      </c>
      <c r="AP37" s="3">
        <v>1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 t="str">
        <f t="shared" si="0"/>
        <v>tunar035</v>
      </c>
      <c r="AZ37" s="3">
        <v>9</v>
      </c>
      <c r="BA37" s="3">
        <v>2</v>
      </c>
      <c r="BB37" s="2"/>
    </row>
    <row r="38" spans="1:54" x14ac:dyDescent="0.3">
      <c r="A38" s="3" t="s">
        <v>107</v>
      </c>
      <c r="B38" s="3" t="s">
        <v>92</v>
      </c>
      <c r="C38" s="3">
        <v>12</v>
      </c>
      <c r="D38" s="3" t="s">
        <v>250</v>
      </c>
      <c r="E38" s="3">
        <v>3</v>
      </c>
      <c r="F38" s="3" t="s">
        <v>87</v>
      </c>
      <c r="G38" s="3">
        <v>2</v>
      </c>
      <c r="H38" s="3">
        <v>5</v>
      </c>
      <c r="I38" s="3">
        <v>1</v>
      </c>
      <c r="J38" s="2">
        <v>0</v>
      </c>
      <c r="K38" s="2">
        <v>0</v>
      </c>
      <c r="L38" s="3">
        <v>51</v>
      </c>
      <c r="M38" s="3">
        <v>-1</v>
      </c>
      <c r="N38" s="3">
        <v>2</v>
      </c>
      <c r="O38" s="3">
        <v>99</v>
      </c>
      <c r="P38" s="3">
        <v>-1</v>
      </c>
      <c r="Q38" s="3">
        <v>-1</v>
      </c>
      <c r="R38" s="2">
        <v>0</v>
      </c>
      <c r="S38" s="2">
        <v>0</v>
      </c>
      <c r="T38" s="3">
        <v>240</v>
      </c>
      <c r="U38" s="3">
        <v>1700</v>
      </c>
      <c r="V38" s="2">
        <v>0</v>
      </c>
      <c r="W38" s="3">
        <v>36037</v>
      </c>
      <c r="X38" s="3">
        <v>40040</v>
      </c>
      <c r="Y38" s="3">
        <v>50</v>
      </c>
      <c r="Z38" s="2">
        <v>50</v>
      </c>
      <c r="AA38" s="2">
        <v>50</v>
      </c>
      <c r="AB38" s="3">
        <v>1030</v>
      </c>
      <c r="AC38" s="3">
        <v>0</v>
      </c>
      <c r="AD38" s="2">
        <v>-1</v>
      </c>
      <c r="AE38" s="3">
        <v>0</v>
      </c>
      <c r="AF38" s="3">
        <v>0</v>
      </c>
      <c r="AG38" s="3">
        <v>0</v>
      </c>
      <c r="AH38" s="3">
        <v>0</v>
      </c>
      <c r="AI38" s="3">
        <v>0</v>
      </c>
      <c r="AJ38" s="3">
        <v>147000000</v>
      </c>
      <c r="AK38" s="3">
        <v>1</v>
      </c>
      <c r="AL38" s="3">
        <v>1</v>
      </c>
      <c r="AM38" s="2">
        <v>2940000</v>
      </c>
      <c r="AN38" s="2">
        <v>0</v>
      </c>
      <c r="AO38" s="2">
        <v>0</v>
      </c>
      <c r="AP38" s="3">
        <v>1</v>
      </c>
      <c r="AQ38" s="2">
        <v>0</v>
      </c>
      <c r="AR38" s="2">
        <v>0</v>
      </c>
      <c r="AS38" s="2">
        <v>0</v>
      </c>
      <c r="AT38" s="2">
        <v>0</v>
      </c>
      <c r="AU38" s="2">
        <v>0</v>
      </c>
      <c r="AV38" s="2">
        <v>0</v>
      </c>
      <c r="AW38" s="2">
        <v>0</v>
      </c>
      <c r="AX38" s="2">
        <v>0</v>
      </c>
      <c r="AY38" s="2" t="str">
        <f t="shared" si="0"/>
        <v>tunar036</v>
      </c>
      <c r="AZ38" s="3">
        <v>-1</v>
      </c>
      <c r="BA38" s="3">
        <v>2</v>
      </c>
      <c r="BB38" s="2"/>
    </row>
    <row r="39" spans="1:54" x14ac:dyDescent="0.3">
      <c r="A39" s="3" t="s">
        <v>108</v>
      </c>
      <c r="B39" s="3" t="s">
        <v>92</v>
      </c>
      <c r="C39" s="3">
        <v>12</v>
      </c>
      <c r="D39" s="3" t="s">
        <v>251</v>
      </c>
      <c r="E39" s="3">
        <v>3</v>
      </c>
      <c r="F39" s="3" t="s">
        <v>87</v>
      </c>
      <c r="G39" s="3">
        <v>2</v>
      </c>
      <c r="H39" s="3">
        <v>5</v>
      </c>
      <c r="I39" s="3">
        <v>1</v>
      </c>
      <c r="J39" s="2">
        <v>0</v>
      </c>
      <c r="K39" s="2">
        <v>0</v>
      </c>
      <c r="L39" s="3">
        <v>53</v>
      </c>
      <c r="M39" s="3">
        <v>-1</v>
      </c>
      <c r="N39" s="3">
        <v>2</v>
      </c>
      <c r="O39" s="3">
        <v>99</v>
      </c>
      <c r="P39" s="3">
        <v>-1</v>
      </c>
      <c r="Q39" s="3">
        <v>-1</v>
      </c>
      <c r="R39" s="2">
        <v>0</v>
      </c>
      <c r="S39" s="2">
        <v>0</v>
      </c>
      <c r="T39" s="3">
        <v>240</v>
      </c>
      <c r="U39" s="3">
        <v>1700</v>
      </c>
      <c r="V39" s="2">
        <v>0</v>
      </c>
      <c r="W39" s="3">
        <v>42043</v>
      </c>
      <c r="X39" s="3">
        <v>46714</v>
      </c>
      <c r="Y39" s="3">
        <v>50</v>
      </c>
      <c r="Z39" s="2">
        <v>50</v>
      </c>
      <c r="AA39" s="2">
        <v>50</v>
      </c>
      <c r="AB39" s="3">
        <v>1235</v>
      </c>
      <c r="AC39" s="3">
        <v>0</v>
      </c>
      <c r="AD39" s="2">
        <v>-1</v>
      </c>
      <c r="AE39" s="3">
        <v>0</v>
      </c>
      <c r="AF39" s="3">
        <v>0</v>
      </c>
      <c r="AG39" s="3">
        <v>0</v>
      </c>
      <c r="AH39" s="3">
        <v>0</v>
      </c>
      <c r="AI39" s="3">
        <v>0</v>
      </c>
      <c r="AJ39" s="3">
        <v>298200000</v>
      </c>
      <c r="AK39" s="3">
        <v>4</v>
      </c>
      <c r="AL39" s="3">
        <v>4</v>
      </c>
      <c r="AM39" s="2">
        <v>5964000</v>
      </c>
      <c r="AN39" s="2">
        <v>0</v>
      </c>
      <c r="AO39" s="2">
        <v>0</v>
      </c>
      <c r="AP39" s="3">
        <v>1</v>
      </c>
      <c r="AQ39" s="2">
        <v>0</v>
      </c>
      <c r="AR39" s="2">
        <v>0</v>
      </c>
      <c r="AS39" s="2">
        <v>0</v>
      </c>
      <c r="AT39" s="2">
        <v>0</v>
      </c>
      <c r="AU39" s="2">
        <v>0</v>
      </c>
      <c r="AV39" s="2">
        <v>0</v>
      </c>
      <c r="AW39" s="2">
        <v>0</v>
      </c>
      <c r="AX39" s="2">
        <v>0</v>
      </c>
      <c r="AY39" s="2" t="str">
        <f t="shared" si="0"/>
        <v>tunar037</v>
      </c>
      <c r="AZ39" s="3">
        <v>-1</v>
      </c>
      <c r="BA39" s="3">
        <v>2</v>
      </c>
      <c r="BB39" s="2"/>
    </row>
    <row r="40" spans="1:54" x14ac:dyDescent="0.3">
      <c r="A40" s="3" t="s">
        <v>109</v>
      </c>
      <c r="B40" s="3" t="s">
        <v>92</v>
      </c>
      <c r="C40" s="3">
        <v>12</v>
      </c>
      <c r="D40" s="3" t="s">
        <v>252</v>
      </c>
      <c r="E40" s="3">
        <v>3</v>
      </c>
      <c r="F40" s="3" t="s">
        <v>87</v>
      </c>
      <c r="G40" s="3">
        <v>2</v>
      </c>
      <c r="H40" s="3">
        <v>5</v>
      </c>
      <c r="I40" s="3">
        <v>1</v>
      </c>
      <c r="J40" s="2">
        <v>0</v>
      </c>
      <c r="K40" s="2">
        <v>0</v>
      </c>
      <c r="L40" s="3">
        <v>55</v>
      </c>
      <c r="M40" s="3">
        <v>-1</v>
      </c>
      <c r="N40" s="3">
        <v>2</v>
      </c>
      <c r="O40" s="3">
        <v>99</v>
      </c>
      <c r="P40" s="3">
        <v>-1</v>
      </c>
      <c r="Q40" s="3">
        <v>-1</v>
      </c>
      <c r="R40" s="2">
        <v>0</v>
      </c>
      <c r="S40" s="2">
        <v>0</v>
      </c>
      <c r="T40" s="3">
        <v>240</v>
      </c>
      <c r="U40" s="3">
        <v>1700</v>
      </c>
      <c r="V40" s="2">
        <v>0</v>
      </c>
      <c r="W40" s="3">
        <v>46848</v>
      </c>
      <c r="X40" s="3">
        <v>52052</v>
      </c>
      <c r="Y40" s="3">
        <v>50</v>
      </c>
      <c r="Z40" s="2">
        <v>50</v>
      </c>
      <c r="AA40" s="2">
        <v>50</v>
      </c>
      <c r="AB40" s="3">
        <v>1606</v>
      </c>
      <c r="AC40" s="3">
        <v>0</v>
      </c>
      <c r="AD40" s="2">
        <v>-1</v>
      </c>
      <c r="AE40" s="3">
        <v>0</v>
      </c>
      <c r="AF40" s="3">
        <v>0</v>
      </c>
      <c r="AG40" s="3">
        <v>0</v>
      </c>
      <c r="AH40" s="3">
        <v>0</v>
      </c>
      <c r="AI40" s="3">
        <v>0</v>
      </c>
      <c r="AJ40" s="3">
        <v>453600000</v>
      </c>
      <c r="AK40" s="3">
        <v>9</v>
      </c>
      <c r="AL40" s="3">
        <v>9</v>
      </c>
      <c r="AM40" s="2">
        <v>9072000</v>
      </c>
      <c r="AN40" s="2">
        <v>0</v>
      </c>
      <c r="AO40" s="2">
        <v>0</v>
      </c>
      <c r="AP40" s="3">
        <v>1</v>
      </c>
      <c r="AQ40" s="2">
        <v>0</v>
      </c>
      <c r="AR40" s="2">
        <v>0</v>
      </c>
      <c r="AS40" s="2">
        <v>0</v>
      </c>
      <c r="AT40" s="2">
        <v>0</v>
      </c>
      <c r="AU40" s="2">
        <v>0</v>
      </c>
      <c r="AV40" s="2">
        <v>0</v>
      </c>
      <c r="AW40" s="2">
        <v>0</v>
      </c>
      <c r="AX40" s="2">
        <v>0</v>
      </c>
      <c r="AY40" s="2" t="str">
        <f t="shared" si="0"/>
        <v>tunar038</v>
      </c>
      <c r="AZ40" s="3">
        <v>-1</v>
      </c>
      <c r="BA40" s="3">
        <v>2</v>
      </c>
      <c r="BB40" s="2"/>
    </row>
    <row r="41" spans="1:54" x14ac:dyDescent="0.3">
      <c r="A41" s="3" t="s">
        <v>110</v>
      </c>
      <c r="B41" s="3" t="s">
        <v>111</v>
      </c>
      <c r="C41" s="3">
        <v>17</v>
      </c>
      <c r="D41" s="3" t="s">
        <v>253</v>
      </c>
      <c r="E41" s="3">
        <v>3</v>
      </c>
      <c r="F41" s="3" t="s">
        <v>87</v>
      </c>
      <c r="G41" s="3">
        <v>2</v>
      </c>
      <c r="H41" s="3">
        <v>5</v>
      </c>
      <c r="I41" s="3">
        <v>1</v>
      </c>
      <c r="J41" s="2">
        <v>0</v>
      </c>
      <c r="K41" s="2">
        <v>0</v>
      </c>
      <c r="L41" s="3">
        <v>59</v>
      </c>
      <c r="M41" s="3">
        <v>-1</v>
      </c>
      <c r="N41" s="3">
        <v>2</v>
      </c>
      <c r="O41" s="3">
        <v>99</v>
      </c>
      <c r="P41" s="3">
        <v>-1</v>
      </c>
      <c r="Q41" s="3">
        <v>-1</v>
      </c>
      <c r="R41" s="2">
        <v>0</v>
      </c>
      <c r="S41" s="2">
        <v>0</v>
      </c>
      <c r="T41" s="3">
        <v>240</v>
      </c>
      <c r="U41" s="3">
        <v>1700</v>
      </c>
      <c r="V41" s="2">
        <v>0</v>
      </c>
      <c r="W41" s="3">
        <v>56218</v>
      </c>
      <c r="X41" s="3">
        <v>62462</v>
      </c>
      <c r="Y41" s="3">
        <v>50</v>
      </c>
      <c r="Z41" s="2">
        <v>50</v>
      </c>
      <c r="AA41" s="2">
        <v>50</v>
      </c>
      <c r="AB41" s="3">
        <v>1927</v>
      </c>
      <c r="AC41" s="3">
        <v>0</v>
      </c>
      <c r="AD41" s="2">
        <v>-1</v>
      </c>
      <c r="AE41" s="3">
        <v>0</v>
      </c>
      <c r="AF41" s="3">
        <v>0</v>
      </c>
      <c r="AG41" s="3">
        <v>0</v>
      </c>
      <c r="AH41" s="3">
        <v>0</v>
      </c>
      <c r="AI41" s="3">
        <v>0</v>
      </c>
      <c r="AJ41" s="3">
        <v>725760000</v>
      </c>
      <c r="AK41" s="3">
        <v>9</v>
      </c>
      <c r="AL41" s="3">
        <v>36</v>
      </c>
      <c r="AM41" s="2">
        <v>14515200</v>
      </c>
      <c r="AN41" s="2">
        <v>0</v>
      </c>
      <c r="AO41" s="2">
        <v>0</v>
      </c>
      <c r="AP41" s="3">
        <v>1</v>
      </c>
      <c r="AQ41" s="2">
        <v>0</v>
      </c>
      <c r="AR41" s="2">
        <v>0</v>
      </c>
      <c r="AS41" s="2">
        <v>0</v>
      </c>
      <c r="AT41" s="2">
        <v>0</v>
      </c>
      <c r="AU41" s="2">
        <v>0</v>
      </c>
      <c r="AV41" s="2">
        <v>0</v>
      </c>
      <c r="AW41" s="2">
        <v>0</v>
      </c>
      <c r="AX41" s="2">
        <v>0</v>
      </c>
      <c r="AY41" s="2" t="str">
        <f t="shared" si="0"/>
        <v>tunar039</v>
      </c>
      <c r="AZ41" s="3">
        <v>-1</v>
      </c>
      <c r="BA41" s="3">
        <v>2</v>
      </c>
      <c r="BB41" s="2"/>
    </row>
    <row r="42" spans="1:54" x14ac:dyDescent="0.3">
      <c r="A42" s="3" t="s">
        <v>112</v>
      </c>
      <c r="B42" s="3" t="s">
        <v>111</v>
      </c>
      <c r="C42" s="3">
        <v>17</v>
      </c>
      <c r="D42" s="3" t="s">
        <v>254</v>
      </c>
      <c r="E42" s="3">
        <v>3</v>
      </c>
      <c r="F42" s="3" t="s">
        <v>87</v>
      </c>
      <c r="G42" s="3">
        <v>2</v>
      </c>
      <c r="H42" s="3">
        <v>5</v>
      </c>
      <c r="I42" s="3">
        <v>1</v>
      </c>
      <c r="J42" s="2">
        <v>0</v>
      </c>
      <c r="K42" s="2">
        <v>0</v>
      </c>
      <c r="L42" s="3">
        <v>64</v>
      </c>
      <c r="M42" s="3">
        <v>-1</v>
      </c>
      <c r="N42" s="3">
        <v>2</v>
      </c>
      <c r="O42" s="3">
        <v>99</v>
      </c>
      <c r="P42" s="3">
        <v>-1</v>
      </c>
      <c r="Q42" s="3">
        <v>-1</v>
      </c>
      <c r="R42" s="2">
        <v>0</v>
      </c>
      <c r="S42" s="2">
        <v>0</v>
      </c>
      <c r="T42" s="3">
        <v>240</v>
      </c>
      <c r="U42" s="3">
        <v>1700</v>
      </c>
      <c r="V42" s="2">
        <v>0</v>
      </c>
      <c r="W42" s="3">
        <v>57679</v>
      </c>
      <c r="X42" s="3">
        <v>64087</v>
      </c>
      <c r="Y42" s="3">
        <v>50</v>
      </c>
      <c r="Z42" s="2">
        <v>50</v>
      </c>
      <c r="AA42" s="2">
        <v>50</v>
      </c>
      <c r="AB42" s="3">
        <v>2312</v>
      </c>
      <c r="AC42" s="3">
        <v>0</v>
      </c>
      <c r="AD42" s="2">
        <v>-1</v>
      </c>
      <c r="AE42" s="3">
        <v>0</v>
      </c>
      <c r="AF42" s="3">
        <v>0</v>
      </c>
      <c r="AG42" s="3">
        <v>0</v>
      </c>
      <c r="AH42" s="3">
        <v>0</v>
      </c>
      <c r="AI42" s="3">
        <v>0</v>
      </c>
      <c r="AJ42" s="3">
        <v>907200000</v>
      </c>
      <c r="AK42" s="3">
        <v>9</v>
      </c>
      <c r="AL42" s="3">
        <v>45</v>
      </c>
      <c r="AM42" s="2">
        <v>18144000</v>
      </c>
      <c r="AN42" s="2">
        <v>0</v>
      </c>
      <c r="AO42" s="2">
        <v>0</v>
      </c>
      <c r="AP42" s="3">
        <v>1</v>
      </c>
      <c r="AQ42" s="2">
        <v>0</v>
      </c>
      <c r="AR42" s="2">
        <v>0</v>
      </c>
      <c r="AS42" s="2">
        <v>0</v>
      </c>
      <c r="AT42" s="2">
        <v>0</v>
      </c>
      <c r="AU42" s="2">
        <v>0</v>
      </c>
      <c r="AV42" s="2">
        <v>0</v>
      </c>
      <c r="AW42" s="2">
        <v>0</v>
      </c>
      <c r="AX42" s="2">
        <v>0</v>
      </c>
      <c r="AY42" s="2" t="str">
        <f t="shared" si="0"/>
        <v>tunar040</v>
      </c>
      <c r="AZ42" s="3">
        <v>-1</v>
      </c>
      <c r="BA42" s="3">
        <v>2</v>
      </c>
      <c r="BB42" s="2"/>
    </row>
    <row r="43" spans="1:54" x14ac:dyDescent="0.3">
      <c r="A43" s="3" t="s">
        <v>113</v>
      </c>
      <c r="B43" s="3" t="s">
        <v>114</v>
      </c>
      <c r="C43" s="3">
        <v>100</v>
      </c>
      <c r="D43" s="3" t="s">
        <v>268</v>
      </c>
      <c r="E43" s="3">
        <v>3</v>
      </c>
      <c r="F43" s="3" t="s">
        <v>115</v>
      </c>
      <c r="G43" s="3">
        <v>3</v>
      </c>
      <c r="H43" s="3">
        <v>1</v>
      </c>
      <c r="I43" s="3">
        <v>1</v>
      </c>
      <c r="J43" s="2">
        <v>0</v>
      </c>
      <c r="K43" s="2">
        <v>0</v>
      </c>
      <c r="L43" s="3">
        <v>100</v>
      </c>
      <c r="M43" s="3">
        <v>-1</v>
      </c>
      <c r="N43" s="3">
        <v>2</v>
      </c>
      <c r="O43" s="3">
        <v>100</v>
      </c>
      <c r="P43" s="3">
        <v>-1</v>
      </c>
      <c r="Q43" s="3">
        <v>-1</v>
      </c>
      <c r="R43" s="2">
        <v>0</v>
      </c>
      <c r="S43" s="2">
        <v>0</v>
      </c>
      <c r="T43" s="3">
        <v>0</v>
      </c>
      <c r="U43" s="3">
        <v>1700</v>
      </c>
      <c r="V43" s="2">
        <v>0</v>
      </c>
      <c r="W43" s="3">
        <v>916</v>
      </c>
      <c r="X43" s="3">
        <v>996</v>
      </c>
      <c r="Y43" s="3">
        <v>49</v>
      </c>
      <c r="Z43" s="2">
        <v>50</v>
      </c>
      <c r="AA43" s="2">
        <v>50</v>
      </c>
      <c r="AB43" s="3">
        <v>0</v>
      </c>
      <c r="AC43" s="3">
        <v>0</v>
      </c>
      <c r="AD43" s="2">
        <v>-1</v>
      </c>
      <c r="AE43" s="3">
        <v>0</v>
      </c>
      <c r="AF43" s="3">
        <v>0</v>
      </c>
      <c r="AG43" s="3">
        <v>0</v>
      </c>
      <c r="AH43" s="3">
        <v>0</v>
      </c>
      <c r="AI43" s="3">
        <v>0</v>
      </c>
      <c r="AJ43" s="3">
        <v>0</v>
      </c>
      <c r="AK43" s="3">
        <v>1</v>
      </c>
      <c r="AL43" s="3">
        <v>1</v>
      </c>
      <c r="AM43" s="2">
        <v>0</v>
      </c>
      <c r="AN43" s="2">
        <v>0</v>
      </c>
      <c r="AO43" s="2">
        <v>0</v>
      </c>
      <c r="AP43" s="3">
        <v>1</v>
      </c>
      <c r="AQ43" s="2">
        <v>0</v>
      </c>
      <c r="AR43" s="2">
        <v>0</v>
      </c>
      <c r="AS43" s="2">
        <v>0</v>
      </c>
      <c r="AT43" s="2">
        <v>0</v>
      </c>
      <c r="AU43" s="2">
        <v>0</v>
      </c>
      <c r="AV43" s="2">
        <v>0</v>
      </c>
      <c r="AW43" s="2">
        <v>0</v>
      </c>
      <c r="AX43" s="2">
        <v>0</v>
      </c>
      <c r="AY43" s="2" t="str">
        <f t="shared" si="0"/>
        <v>tunar041</v>
      </c>
      <c r="AZ43" s="3">
        <v>-1</v>
      </c>
      <c r="BA43" s="3">
        <v>2</v>
      </c>
      <c r="BB43" s="2"/>
    </row>
    <row r="44" spans="1:54" x14ac:dyDescent="0.3">
      <c r="A44" s="3" t="s">
        <v>116</v>
      </c>
      <c r="B44" s="3" t="s">
        <v>117</v>
      </c>
      <c r="C44" s="3">
        <v>100</v>
      </c>
      <c r="D44" s="3" t="s">
        <v>268</v>
      </c>
      <c r="E44" s="3">
        <v>3</v>
      </c>
      <c r="F44" s="3" t="s">
        <v>115</v>
      </c>
      <c r="G44" s="3">
        <v>3</v>
      </c>
      <c r="H44" s="3">
        <v>1</v>
      </c>
      <c r="I44" s="3">
        <v>1</v>
      </c>
      <c r="J44" s="2">
        <v>0</v>
      </c>
      <c r="K44" s="2">
        <v>0</v>
      </c>
      <c r="L44" s="3">
        <v>100</v>
      </c>
      <c r="M44" s="3">
        <v>-1</v>
      </c>
      <c r="N44" s="3">
        <v>2</v>
      </c>
      <c r="O44" s="3">
        <v>100</v>
      </c>
      <c r="P44" s="3">
        <v>-1</v>
      </c>
      <c r="Q44" s="3">
        <v>-1</v>
      </c>
      <c r="R44" s="2">
        <v>0</v>
      </c>
      <c r="S44" s="2">
        <v>0</v>
      </c>
      <c r="T44" s="3">
        <v>0</v>
      </c>
      <c r="U44" s="3">
        <v>1700</v>
      </c>
      <c r="V44" s="2">
        <v>0</v>
      </c>
      <c r="W44" s="3">
        <v>200</v>
      </c>
      <c r="X44" s="3">
        <v>300</v>
      </c>
      <c r="Y44" s="3">
        <v>99</v>
      </c>
      <c r="Z44" s="2">
        <v>50</v>
      </c>
      <c r="AA44" s="2">
        <v>50</v>
      </c>
      <c r="AB44" s="3">
        <v>0</v>
      </c>
      <c r="AC44" s="3">
        <v>0</v>
      </c>
      <c r="AD44" s="2">
        <v>-1</v>
      </c>
      <c r="AE44" s="3">
        <v>0</v>
      </c>
      <c r="AF44" s="3">
        <v>0</v>
      </c>
      <c r="AG44" s="3">
        <v>0</v>
      </c>
      <c r="AH44" s="3">
        <v>0</v>
      </c>
      <c r="AI44" s="3">
        <v>0</v>
      </c>
      <c r="AJ44" s="3">
        <v>0</v>
      </c>
      <c r="AK44" s="3">
        <v>1</v>
      </c>
      <c r="AL44" s="3">
        <v>1</v>
      </c>
      <c r="AM44" s="2">
        <v>0</v>
      </c>
      <c r="AN44" s="2">
        <v>0</v>
      </c>
      <c r="AO44" s="2">
        <v>0</v>
      </c>
      <c r="AP44" s="3">
        <v>1</v>
      </c>
      <c r="AQ44" s="2">
        <v>0</v>
      </c>
      <c r="AR44" s="2">
        <v>0</v>
      </c>
      <c r="AS44" s="2">
        <v>0</v>
      </c>
      <c r="AT44" s="2">
        <v>0</v>
      </c>
      <c r="AU44" s="2">
        <v>0</v>
      </c>
      <c r="AV44" s="2">
        <v>0</v>
      </c>
      <c r="AW44" s="2">
        <v>0</v>
      </c>
      <c r="AX44" s="2">
        <v>0</v>
      </c>
      <c r="AY44" s="2" t="str">
        <f t="shared" si="0"/>
        <v>tunar042</v>
      </c>
      <c r="AZ44" s="3">
        <v>-1</v>
      </c>
      <c r="BA44" s="3">
        <v>2</v>
      </c>
      <c r="BB44" s="2"/>
    </row>
    <row r="45" spans="1:54" x14ac:dyDescent="0.3">
      <c r="A45" s="3" t="s">
        <v>118</v>
      </c>
      <c r="B45" s="3" t="s">
        <v>119</v>
      </c>
      <c r="C45" s="3">
        <v>100</v>
      </c>
      <c r="D45" s="3" t="s">
        <v>268</v>
      </c>
      <c r="E45" s="3">
        <v>3</v>
      </c>
      <c r="F45" s="3" t="s">
        <v>115</v>
      </c>
      <c r="G45" s="3">
        <v>3</v>
      </c>
      <c r="H45" s="3">
        <v>1</v>
      </c>
      <c r="I45" s="3">
        <v>1</v>
      </c>
      <c r="J45" s="2">
        <v>0</v>
      </c>
      <c r="K45" s="2">
        <v>0</v>
      </c>
      <c r="L45" s="3">
        <v>100</v>
      </c>
      <c r="M45" s="3">
        <v>-1</v>
      </c>
      <c r="N45" s="3">
        <v>2</v>
      </c>
      <c r="O45" s="3">
        <v>100</v>
      </c>
      <c r="P45" s="3">
        <v>-1</v>
      </c>
      <c r="Q45" s="3">
        <v>-1</v>
      </c>
      <c r="R45" s="2">
        <v>0</v>
      </c>
      <c r="S45" s="2">
        <v>0</v>
      </c>
      <c r="T45" s="3">
        <v>0</v>
      </c>
      <c r="U45" s="3">
        <v>1700</v>
      </c>
      <c r="V45" s="2">
        <v>0</v>
      </c>
      <c r="W45" s="3">
        <v>100</v>
      </c>
      <c r="X45" s="3">
        <v>200</v>
      </c>
      <c r="Y45" s="3">
        <v>99</v>
      </c>
      <c r="Z45" s="2">
        <v>50</v>
      </c>
      <c r="AA45" s="2">
        <v>50</v>
      </c>
      <c r="AB45" s="3">
        <v>180</v>
      </c>
      <c r="AC45" s="3">
        <v>0</v>
      </c>
      <c r="AD45" s="2">
        <v>-1</v>
      </c>
      <c r="AE45" s="3">
        <v>0</v>
      </c>
      <c r="AF45" s="3">
        <v>0</v>
      </c>
      <c r="AG45" s="3">
        <v>0</v>
      </c>
      <c r="AH45" s="3">
        <v>0</v>
      </c>
      <c r="AI45" s="3">
        <v>0</v>
      </c>
      <c r="AJ45" s="3">
        <v>0</v>
      </c>
      <c r="AK45" s="3">
        <v>1</v>
      </c>
      <c r="AL45" s="3">
        <v>1</v>
      </c>
      <c r="AM45" s="2">
        <v>0</v>
      </c>
      <c r="AN45" s="2">
        <v>0</v>
      </c>
      <c r="AO45" s="2">
        <v>0</v>
      </c>
      <c r="AP45" s="3">
        <v>1</v>
      </c>
      <c r="AQ45" s="2">
        <v>0</v>
      </c>
      <c r="AR45" s="2">
        <v>0</v>
      </c>
      <c r="AS45" s="2">
        <v>0</v>
      </c>
      <c r="AT45" s="2">
        <v>0</v>
      </c>
      <c r="AU45" s="2">
        <v>0</v>
      </c>
      <c r="AV45" s="2">
        <v>0</v>
      </c>
      <c r="AW45" s="2">
        <v>0</v>
      </c>
      <c r="AX45" s="2">
        <v>0</v>
      </c>
      <c r="AY45" s="2" t="str">
        <f t="shared" si="0"/>
        <v>tunar043</v>
      </c>
      <c r="AZ45" s="3">
        <v>-1</v>
      </c>
      <c r="BA45" s="3">
        <v>2</v>
      </c>
      <c r="BB45" s="2"/>
    </row>
    <row r="46" spans="1:54" x14ac:dyDescent="0.3">
      <c r="A46" s="3" t="s">
        <v>120</v>
      </c>
      <c r="B46" s="3" t="s">
        <v>121</v>
      </c>
      <c r="C46" s="3">
        <v>100</v>
      </c>
      <c r="D46" s="3" t="s">
        <v>268</v>
      </c>
      <c r="E46" s="3">
        <v>3</v>
      </c>
      <c r="F46" s="3" t="s">
        <v>115</v>
      </c>
      <c r="G46" s="3">
        <v>3</v>
      </c>
      <c r="H46" s="3">
        <v>1</v>
      </c>
      <c r="I46" s="3">
        <v>1</v>
      </c>
      <c r="J46" s="2">
        <v>0</v>
      </c>
      <c r="K46" s="2">
        <v>0</v>
      </c>
      <c r="L46" s="3">
        <v>100</v>
      </c>
      <c r="M46" s="3">
        <v>-1</v>
      </c>
      <c r="N46" s="3">
        <v>2</v>
      </c>
      <c r="O46" s="3">
        <v>100</v>
      </c>
      <c r="P46" s="3">
        <v>-1</v>
      </c>
      <c r="Q46" s="3">
        <v>-1</v>
      </c>
      <c r="R46" s="2">
        <v>0</v>
      </c>
      <c r="S46" s="2">
        <v>0</v>
      </c>
      <c r="T46" s="3">
        <v>0</v>
      </c>
      <c r="U46" s="3">
        <v>1700</v>
      </c>
      <c r="V46" s="2">
        <v>0</v>
      </c>
      <c r="W46" s="3">
        <v>200</v>
      </c>
      <c r="X46" s="3">
        <v>300</v>
      </c>
      <c r="Y46" s="3">
        <v>99</v>
      </c>
      <c r="Z46" s="2">
        <v>50</v>
      </c>
      <c r="AA46" s="2">
        <v>50</v>
      </c>
      <c r="AB46" s="3">
        <v>180</v>
      </c>
      <c r="AC46" s="3">
        <v>0</v>
      </c>
      <c r="AD46" s="2">
        <v>-1</v>
      </c>
      <c r="AE46" s="3">
        <v>0</v>
      </c>
      <c r="AF46" s="3">
        <v>0</v>
      </c>
      <c r="AG46" s="3">
        <v>0</v>
      </c>
      <c r="AH46" s="3">
        <v>0</v>
      </c>
      <c r="AI46" s="3">
        <v>0</v>
      </c>
      <c r="AJ46" s="3">
        <v>0</v>
      </c>
      <c r="AK46" s="3">
        <v>1</v>
      </c>
      <c r="AL46" s="3">
        <v>1</v>
      </c>
      <c r="AM46" s="2">
        <v>0</v>
      </c>
      <c r="AN46" s="2">
        <v>0</v>
      </c>
      <c r="AO46" s="2">
        <v>0</v>
      </c>
      <c r="AP46" s="3">
        <v>1</v>
      </c>
      <c r="AQ46" s="2">
        <v>0</v>
      </c>
      <c r="AR46" s="2">
        <v>0</v>
      </c>
      <c r="AS46" s="2">
        <v>0</v>
      </c>
      <c r="AT46" s="2">
        <v>0</v>
      </c>
      <c r="AU46" s="2">
        <v>0</v>
      </c>
      <c r="AV46" s="2">
        <v>0</v>
      </c>
      <c r="AW46" s="2">
        <v>0</v>
      </c>
      <c r="AX46" s="2">
        <v>0</v>
      </c>
      <c r="AY46" s="2" t="str">
        <f t="shared" si="0"/>
        <v>tunar044</v>
      </c>
      <c r="AZ46" s="3">
        <v>-1</v>
      </c>
      <c r="BA46" s="3">
        <v>2</v>
      </c>
      <c r="BB46" s="2"/>
    </row>
    <row r="47" spans="1:54" x14ac:dyDescent="0.3">
      <c r="A47" s="3" t="s">
        <v>122</v>
      </c>
      <c r="B47" s="3" t="s">
        <v>123</v>
      </c>
      <c r="C47" s="3">
        <v>100</v>
      </c>
      <c r="D47" s="3" t="s">
        <v>268</v>
      </c>
      <c r="E47" s="3">
        <v>3</v>
      </c>
      <c r="F47" s="3" t="s">
        <v>115</v>
      </c>
      <c r="G47" s="3">
        <v>3</v>
      </c>
      <c r="H47" s="3">
        <v>1</v>
      </c>
      <c r="I47" s="3">
        <v>1</v>
      </c>
      <c r="J47" s="2">
        <v>0</v>
      </c>
      <c r="K47" s="2">
        <v>0</v>
      </c>
      <c r="L47" s="3">
        <v>100</v>
      </c>
      <c r="M47" s="3">
        <v>-1</v>
      </c>
      <c r="N47" s="3">
        <v>2</v>
      </c>
      <c r="O47" s="3">
        <v>100</v>
      </c>
      <c r="P47" s="3">
        <v>-1</v>
      </c>
      <c r="Q47" s="3">
        <v>-1</v>
      </c>
      <c r="R47" s="2">
        <v>0</v>
      </c>
      <c r="S47" s="2">
        <v>0</v>
      </c>
      <c r="T47" s="3">
        <v>0</v>
      </c>
      <c r="U47" s="3">
        <v>1700</v>
      </c>
      <c r="V47" s="2">
        <v>0</v>
      </c>
      <c r="W47" s="3">
        <v>100</v>
      </c>
      <c r="X47" s="3">
        <v>200</v>
      </c>
      <c r="Y47" s="3">
        <v>99</v>
      </c>
      <c r="Z47" s="2">
        <v>50</v>
      </c>
      <c r="AA47" s="2">
        <v>50</v>
      </c>
      <c r="AB47" s="3">
        <v>180</v>
      </c>
      <c r="AC47" s="3">
        <v>0</v>
      </c>
      <c r="AD47" s="2">
        <v>-1</v>
      </c>
      <c r="AE47" s="3">
        <v>0</v>
      </c>
      <c r="AF47" s="3">
        <v>0</v>
      </c>
      <c r="AG47" s="3">
        <v>0</v>
      </c>
      <c r="AH47" s="3">
        <v>0</v>
      </c>
      <c r="AI47" s="3">
        <v>0</v>
      </c>
      <c r="AJ47" s="3">
        <v>0</v>
      </c>
      <c r="AK47" s="3">
        <v>1</v>
      </c>
      <c r="AL47" s="3">
        <v>1</v>
      </c>
      <c r="AM47" s="2">
        <v>0</v>
      </c>
      <c r="AN47" s="2">
        <v>0</v>
      </c>
      <c r="AO47" s="2">
        <v>0</v>
      </c>
      <c r="AP47" s="3">
        <v>1</v>
      </c>
      <c r="AQ47" s="2">
        <v>0</v>
      </c>
      <c r="AR47" s="2">
        <v>0</v>
      </c>
      <c r="AS47" s="2">
        <v>0</v>
      </c>
      <c r="AT47" s="2">
        <v>0</v>
      </c>
      <c r="AU47" s="2">
        <v>0</v>
      </c>
      <c r="AV47" s="2">
        <v>0</v>
      </c>
      <c r="AW47" s="2">
        <v>0</v>
      </c>
      <c r="AX47" s="2">
        <v>0</v>
      </c>
      <c r="AY47" s="2" t="str">
        <f t="shared" si="0"/>
        <v>tunar045</v>
      </c>
      <c r="AZ47" s="3">
        <v>-1</v>
      </c>
      <c r="BA47" s="3">
        <v>2</v>
      </c>
      <c r="BB47" s="2"/>
    </row>
    <row r="48" spans="1:54" x14ac:dyDescent="0.3">
      <c r="A48" s="3" t="s">
        <v>124</v>
      </c>
      <c r="B48" s="3" t="s">
        <v>125</v>
      </c>
      <c r="C48" s="3">
        <v>100</v>
      </c>
      <c r="D48" s="3" t="s">
        <v>268</v>
      </c>
      <c r="E48" s="3">
        <v>3</v>
      </c>
      <c r="F48" s="3" t="s">
        <v>115</v>
      </c>
      <c r="G48" s="3">
        <v>3</v>
      </c>
      <c r="H48" s="3">
        <v>1</v>
      </c>
      <c r="I48" s="3">
        <v>1</v>
      </c>
      <c r="J48" s="2">
        <v>0</v>
      </c>
      <c r="K48" s="2">
        <v>0</v>
      </c>
      <c r="L48" s="3">
        <v>100</v>
      </c>
      <c r="M48" s="3">
        <v>-1</v>
      </c>
      <c r="N48" s="3">
        <v>2</v>
      </c>
      <c r="O48" s="3">
        <v>100</v>
      </c>
      <c r="P48" s="3">
        <v>-1</v>
      </c>
      <c r="Q48" s="3">
        <v>-1</v>
      </c>
      <c r="R48" s="2">
        <v>0</v>
      </c>
      <c r="S48" s="2">
        <v>0</v>
      </c>
      <c r="T48" s="3">
        <v>0</v>
      </c>
      <c r="U48" s="3">
        <v>1700</v>
      </c>
      <c r="V48" s="2">
        <v>0</v>
      </c>
      <c r="W48" s="3">
        <v>200</v>
      </c>
      <c r="X48" s="3">
        <v>300</v>
      </c>
      <c r="Y48" s="3">
        <v>99</v>
      </c>
      <c r="Z48" s="2">
        <v>50</v>
      </c>
      <c r="AA48" s="2">
        <v>50</v>
      </c>
      <c r="AB48" s="3">
        <v>180</v>
      </c>
      <c r="AC48" s="3">
        <v>0</v>
      </c>
      <c r="AD48" s="2">
        <v>-1</v>
      </c>
      <c r="AE48" s="3">
        <v>0</v>
      </c>
      <c r="AF48" s="3">
        <v>0</v>
      </c>
      <c r="AG48" s="3">
        <v>0</v>
      </c>
      <c r="AH48" s="3">
        <v>0</v>
      </c>
      <c r="AI48" s="3">
        <v>0</v>
      </c>
      <c r="AJ48" s="3">
        <v>0</v>
      </c>
      <c r="AK48" s="3">
        <v>1</v>
      </c>
      <c r="AL48" s="3">
        <v>1</v>
      </c>
      <c r="AM48" s="2">
        <v>0</v>
      </c>
      <c r="AN48" s="2">
        <v>0</v>
      </c>
      <c r="AO48" s="2">
        <v>0</v>
      </c>
      <c r="AP48" s="3">
        <v>1</v>
      </c>
      <c r="AQ48" s="2">
        <v>0</v>
      </c>
      <c r="AR48" s="2">
        <v>0</v>
      </c>
      <c r="AS48" s="2">
        <v>0</v>
      </c>
      <c r="AT48" s="2">
        <v>0</v>
      </c>
      <c r="AU48" s="2">
        <v>0</v>
      </c>
      <c r="AV48" s="2">
        <v>0</v>
      </c>
      <c r="AW48" s="2">
        <v>0</v>
      </c>
      <c r="AX48" s="2">
        <v>0</v>
      </c>
      <c r="AY48" s="2" t="str">
        <f t="shared" si="0"/>
        <v>tunar046</v>
      </c>
      <c r="AZ48" s="3">
        <v>-1</v>
      </c>
      <c r="BA48" s="3">
        <v>2</v>
      </c>
      <c r="BB48" s="2"/>
    </row>
    <row r="49" spans="1:54" x14ac:dyDescent="0.3">
      <c r="A49" s="3" t="s">
        <v>126</v>
      </c>
      <c r="B49" s="3" t="s">
        <v>127</v>
      </c>
      <c r="C49" s="3">
        <v>100</v>
      </c>
      <c r="D49" s="3" t="s">
        <v>268</v>
      </c>
      <c r="E49" s="3">
        <v>3</v>
      </c>
      <c r="F49" s="3" t="s">
        <v>115</v>
      </c>
      <c r="G49" s="3">
        <v>3</v>
      </c>
      <c r="H49" s="3">
        <v>1</v>
      </c>
      <c r="I49" s="3">
        <v>1</v>
      </c>
      <c r="J49" s="2">
        <v>0</v>
      </c>
      <c r="K49" s="2">
        <v>0</v>
      </c>
      <c r="L49" s="3">
        <v>100</v>
      </c>
      <c r="M49" s="3">
        <v>-1</v>
      </c>
      <c r="N49" s="3">
        <v>2</v>
      </c>
      <c r="O49" s="3">
        <v>100</v>
      </c>
      <c r="P49" s="3">
        <v>-1</v>
      </c>
      <c r="Q49" s="3">
        <v>-1</v>
      </c>
      <c r="R49" s="2">
        <v>0</v>
      </c>
      <c r="S49" s="2">
        <v>0</v>
      </c>
      <c r="T49" s="3">
        <v>0</v>
      </c>
      <c r="U49" s="3">
        <v>1700</v>
      </c>
      <c r="V49" s="2">
        <v>0</v>
      </c>
      <c r="W49" s="3">
        <v>100</v>
      </c>
      <c r="X49" s="3">
        <v>200</v>
      </c>
      <c r="Y49" s="3">
        <v>99</v>
      </c>
      <c r="Z49" s="2">
        <v>50</v>
      </c>
      <c r="AA49" s="2">
        <v>50</v>
      </c>
      <c r="AB49" s="3">
        <v>180</v>
      </c>
      <c r="AC49" s="3">
        <v>0</v>
      </c>
      <c r="AD49" s="2">
        <v>-1</v>
      </c>
      <c r="AE49" s="3">
        <v>0</v>
      </c>
      <c r="AF49" s="3">
        <v>0</v>
      </c>
      <c r="AG49" s="3">
        <v>0</v>
      </c>
      <c r="AH49" s="3">
        <v>0</v>
      </c>
      <c r="AI49" s="3">
        <v>0</v>
      </c>
      <c r="AJ49" s="3">
        <v>0</v>
      </c>
      <c r="AK49" s="3">
        <v>1</v>
      </c>
      <c r="AL49" s="3">
        <v>1</v>
      </c>
      <c r="AM49" s="2">
        <v>0</v>
      </c>
      <c r="AN49" s="2">
        <v>0</v>
      </c>
      <c r="AO49" s="2">
        <v>0</v>
      </c>
      <c r="AP49" s="3">
        <v>1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2">
        <v>0</v>
      </c>
      <c r="AX49" s="2">
        <v>0</v>
      </c>
      <c r="AY49" s="2" t="str">
        <f t="shared" si="0"/>
        <v>tunar047</v>
      </c>
      <c r="AZ49" s="3">
        <v>-1</v>
      </c>
      <c r="BA49" s="3">
        <v>2</v>
      </c>
      <c r="BB49" s="2"/>
    </row>
    <row r="50" spans="1:54" x14ac:dyDescent="0.3">
      <c r="A50" s="3" t="s">
        <v>128</v>
      </c>
      <c r="B50" s="3" t="s">
        <v>129</v>
      </c>
      <c r="C50" s="3">
        <v>100</v>
      </c>
      <c r="D50" s="3" t="s">
        <v>268</v>
      </c>
      <c r="E50" s="3">
        <v>3</v>
      </c>
      <c r="F50" s="3" t="s">
        <v>115</v>
      </c>
      <c r="G50" s="3">
        <v>3</v>
      </c>
      <c r="H50" s="3">
        <v>1</v>
      </c>
      <c r="I50" s="3">
        <v>1</v>
      </c>
      <c r="J50" s="2">
        <v>0</v>
      </c>
      <c r="K50" s="2">
        <v>0</v>
      </c>
      <c r="L50" s="3">
        <v>100</v>
      </c>
      <c r="M50" s="3">
        <v>-1</v>
      </c>
      <c r="N50" s="3">
        <v>2</v>
      </c>
      <c r="O50" s="3">
        <v>100</v>
      </c>
      <c r="P50" s="3">
        <v>-1</v>
      </c>
      <c r="Q50" s="3">
        <v>-1</v>
      </c>
      <c r="R50" s="2">
        <v>0</v>
      </c>
      <c r="S50" s="2">
        <v>0</v>
      </c>
      <c r="T50" s="3">
        <v>0</v>
      </c>
      <c r="U50" s="3">
        <v>1700</v>
      </c>
      <c r="V50" s="2">
        <v>0</v>
      </c>
      <c r="W50" s="3">
        <v>200</v>
      </c>
      <c r="X50" s="3">
        <v>300</v>
      </c>
      <c r="Y50" s="3">
        <v>99</v>
      </c>
      <c r="Z50" s="2">
        <v>50</v>
      </c>
      <c r="AA50" s="2">
        <v>50</v>
      </c>
      <c r="AB50" s="3">
        <v>180</v>
      </c>
      <c r="AC50" s="3">
        <v>0</v>
      </c>
      <c r="AD50" s="2">
        <v>-1</v>
      </c>
      <c r="AE50" s="3">
        <v>0</v>
      </c>
      <c r="AF50" s="3">
        <v>0</v>
      </c>
      <c r="AG50" s="3">
        <v>0</v>
      </c>
      <c r="AH50" s="3">
        <v>0</v>
      </c>
      <c r="AI50" s="3">
        <v>0</v>
      </c>
      <c r="AJ50" s="3">
        <v>0</v>
      </c>
      <c r="AK50" s="3">
        <v>1</v>
      </c>
      <c r="AL50" s="3">
        <v>1</v>
      </c>
      <c r="AM50" s="2">
        <v>0</v>
      </c>
      <c r="AN50" s="2">
        <v>0</v>
      </c>
      <c r="AO50" s="2">
        <v>0</v>
      </c>
      <c r="AP50" s="3">
        <v>1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2">
        <v>0</v>
      </c>
      <c r="AX50" s="2">
        <v>0</v>
      </c>
      <c r="AY50" s="2" t="str">
        <f t="shared" si="0"/>
        <v>tunar048</v>
      </c>
      <c r="AZ50" s="3">
        <v>-1</v>
      </c>
      <c r="BA50" s="3">
        <v>2</v>
      </c>
      <c r="BB50" s="2"/>
    </row>
    <row r="51" spans="1:54" x14ac:dyDescent="0.3">
      <c r="A51" s="3" t="s">
        <v>130</v>
      </c>
      <c r="B51" s="3" t="s">
        <v>131</v>
      </c>
      <c r="C51" s="3">
        <v>100</v>
      </c>
      <c r="D51" s="3" t="s">
        <v>268</v>
      </c>
      <c r="E51" s="3">
        <v>3</v>
      </c>
      <c r="F51" s="3" t="s">
        <v>115</v>
      </c>
      <c r="G51" s="3">
        <v>3</v>
      </c>
      <c r="H51" s="3">
        <v>1</v>
      </c>
      <c r="I51" s="3">
        <v>1</v>
      </c>
      <c r="J51" s="2">
        <v>0</v>
      </c>
      <c r="K51" s="2">
        <v>0</v>
      </c>
      <c r="L51" s="3">
        <v>100</v>
      </c>
      <c r="M51" s="3">
        <v>-1</v>
      </c>
      <c r="N51" s="3">
        <v>2</v>
      </c>
      <c r="O51" s="3">
        <v>100</v>
      </c>
      <c r="P51" s="3">
        <v>-1</v>
      </c>
      <c r="Q51" s="3">
        <v>-1</v>
      </c>
      <c r="R51" s="2">
        <v>0</v>
      </c>
      <c r="S51" s="2">
        <v>0</v>
      </c>
      <c r="T51" s="3">
        <v>0</v>
      </c>
      <c r="U51" s="3">
        <v>1700</v>
      </c>
      <c r="V51" s="2">
        <v>0</v>
      </c>
      <c r="W51" s="3">
        <v>100</v>
      </c>
      <c r="X51" s="3">
        <v>200</v>
      </c>
      <c r="Y51" s="3">
        <v>99</v>
      </c>
      <c r="Z51" s="2">
        <v>50</v>
      </c>
      <c r="AA51" s="2">
        <v>50</v>
      </c>
      <c r="AB51" s="3">
        <v>180</v>
      </c>
      <c r="AC51" s="3">
        <v>0</v>
      </c>
      <c r="AD51" s="2">
        <v>-1</v>
      </c>
      <c r="AE51" s="3">
        <v>0</v>
      </c>
      <c r="AF51" s="3">
        <v>0</v>
      </c>
      <c r="AG51" s="3">
        <v>0</v>
      </c>
      <c r="AH51" s="3">
        <v>0</v>
      </c>
      <c r="AI51" s="3">
        <v>0</v>
      </c>
      <c r="AJ51" s="3">
        <v>0</v>
      </c>
      <c r="AK51" s="3">
        <v>1</v>
      </c>
      <c r="AL51" s="3">
        <v>1</v>
      </c>
      <c r="AM51" s="2">
        <v>0</v>
      </c>
      <c r="AN51" s="2">
        <v>0</v>
      </c>
      <c r="AO51" s="2">
        <v>0</v>
      </c>
      <c r="AP51" s="3">
        <v>1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2">
        <v>0</v>
      </c>
      <c r="AX51" s="2">
        <v>0</v>
      </c>
      <c r="AY51" s="2" t="str">
        <f t="shared" si="0"/>
        <v>tunar049</v>
      </c>
      <c r="AZ51" s="3">
        <v>-1</v>
      </c>
      <c r="BA51" s="3">
        <v>2</v>
      </c>
      <c r="BB51" s="2"/>
    </row>
    <row r="52" spans="1:54" x14ac:dyDescent="0.3">
      <c r="A52" s="3" t="s">
        <v>132</v>
      </c>
      <c r="B52" s="3" t="s">
        <v>133</v>
      </c>
      <c r="C52" s="3">
        <v>100</v>
      </c>
      <c r="D52" s="3" t="s">
        <v>268</v>
      </c>
      <c r="E52" s="3">
        <v>3</v>
      </c>
      <c r="F52" s="3" t="s">
        <v>115</v>
      </c>
      <c r="G52" s="3">
        <v>3</v>
      </c>
      <c r="H52" s="3">
        <v>1</v>
      </c>
      <c r="I52" s="3">
        <v>1</v>
      </c>
      <c r="J52" s="2">
        <v>0</v>
      </c>
      <c r="K52" s="2">
        <v>0</v>
      </c>
      <c r="L52" s="3">
        <v>100</v>
      </c>
      <c r="M52" s="3">
        <v>-1</v>
      </c>
      <c r="N52" s="3">
        <v>2</v>
      </c>
      <c r="O52" s="3">
        <v>100</v>
      </c>
      <c r="P52" s="3">
        <v>-1</v>
      </c>
      <c r="Q52" s="3">
        <v>-1</v>
      </c>
      <c r="R52" s="2">
        <v>0</v>
      </c>
      <c r="S52" s="2">
        <v>0</v>
      </c>
      <c r="T52" s="3">
        <v>0</v>
      </c>
      <c r="U52" s="3">
        <v>1700</v>
      </c>
      <c r="V52" s="2">
        <v>0</v>
      </c>
      <c r="W52" s="3">
        <v>200</v>
      </c>
      <c r="X52" s="3">
        <v>300</v>
      </c>
      <c r="Y52" s="3">
        <v>99</v>
      </c>
      <c r="Z52" s="2">
        <v>50</v>
      </c>
      <c r="AA52" s="2">
        <v>50</v>
      </c>
      <c r="AB52" s="3">
        <v>180</v>
      </c>
      <c r="AC52" s="3">
        <v>0</v>
      </c>
      <c r="AD52" s="2">
        <v>-1</v>
      </c>
      <c r="AE52" s="3">
        <v>0</v>
      </c>
      <c r="AF52" s="3">
        <v>0</v>
      </c>
      <c r="AG52" s="3">
        <v>0</v>
      </c>
      <c r="AH52" s="3">
        <v>0</v>
      </c>
      <c r="AI52" s="3">
        <v>0</v>
      </c>
      <c r="AJ52" s="3">
        <v>0</v>
      </c>
      <c r="AK52" s="3">
        <v>1</v>
      </c>
      <c r="AL52" s="3">
        <v>1</v>
      </c>
      <c r="AM52" s="2">
        <v>0</v>
      </c>
      <c r="AN52" s="2">
        <v>0</v>
      </c>
      <c r="AO52" s="2">
        <v>0</v>
      </c>
      <c r="AP52" s="3">
        <v>1</v>
      </c>
      <c r="AQ52" s="2">
        <v>0</v>
      </c>
      <c r="AR52" s="2">
        <v>0</v>
      </c>
      <c r="AS52" s="2">
        <v>0</v>
      </c>
      <c r="AT52" s="2">
        <v>0</v>
      </c>
      <c r="AU52" s="2">
        <v>0</v>
      </c>
      <c r="AV52" s="2">
        <v>0</v>
      </c>
      <c r="AW52" s="2">
        <v>0</v>
      </c>
      <c r="AX52" s="2">
        <v>0</v>
      </c>
      <c r="AY52" s="2" t="str">
        <f t="shared" si="0"/>
        <v>tunar050</v>
      </c>
      <c r="AZ52" s="3">
        <v>-1</v>
      </c>
      <c r="BA52" s="3">
        <v>2</v>
      </c>
      <c r="BB52" s="2"/>
    </row>
    <row r="53" spans="1:54" x14ac:dyDescent="0.3">
      <c r="A53" s="3" t="s">
        <v>134</v>
      </c>
      <c r="B53" s="3" t="s">
        <v>135</v>
      </c>
      <c r="C53" s="3">
        <v>100</v>
      </c>
      <c r="D53" s="3" t="s">
        <v>268</v>
      </c>
      <c r="E53" s="3">
        <v>3</v>
      </c>
      <c r="F53" s="3" t="s">
        <v>115</v>
      </c>
      <c r="G53" s="3">
        <v>3</v>
      </c>
      <c r="H53" s="3">
        <v>1</v>
      </c>
      <c r="I53" s="3">
        <v>1</v>
      </c>
      <c r="J53" s="2">
        <v>0</v>
      </c>
      <c r="K53" s="2">
        <v>0</v>
      </c>
      <c r="L53" s="3">
        <v>100</v>
      </c>
      <c r="M53" s="3">
        <v>-1</v>
      </c>
      <c r="N53" s="3">
        <v>2</v>
      </c>
      <c r="O53" s="3">
        <v>100</v>
      </c>
      <c r="P53" s="3">
        <v>-1</v>
      </c>
      <c r="Q53" s="3">
        <v>-1</v>
      </c>
      <c r="R53" s="2">
        <v>0</v>
      </c>
      <c r="S53" s="2">
        <v>0</v>
      </c>
      <c r="T53" s="3">
        <v>0</v>
      </c>
      <c r="U53" s="3">
        <v>1700</v>
      </c>
      <c r="V53" s="2">
        <v>0</v>
      </c>
      <c r="W53" s="3">
        <v>916</v>
      </c>
      <c r="X53" s="3">
        <v>996</v>
      </c>
      <c r="Y53" s="3">
        <v>49</v>
      </c>
      <c r="Z53" s="2">
        <v>50</v>
      </c>
      <c r="AA53" s="2">
        <v>50</v>
      </c>
      <c r="AB53" s="3">
        <v>180</v>
      </c>
      <c r="AC53" s="3">
        <v>0</v>
      </c>
      <c r="AD53" s="2">
        <v>-1</v>
      </c>
      <c r="AE53" s="3">
        <v>0</v>
      </c>
      <c r="AF53" s="3">
        <v>0</v>
      </c>
      <c r="AG53" s="3">
        <v>0</v>
      </c>
      <c r="AH53" s="3">
        <v>0</v>
      </c>
      <c r="AI53" s="3">
        <v>0</v>
      </c>
      <c r="AJ53" s="3">
        <v>0</v>
      </c>
      <c r="AK53" s="3">
        <v>1</v>
      </c>
      <c r="AL53" s="3">
        <v>1</v>
      </c>
      <c r="AM53" s="2">
        <v>0</v>
      </c>
      <c r="AN53" s="2">
        <v>0</v>
      </c>
      <c r="AO53" s="2">
        <v>0</v>
      </c>
      <c r="AP53" s="3">
        <v>1</v>
      </c>
      <c r="AQ53" s="2">
        <v>0</v>
      </c>
      <c r="AR53" s="2">
        <v>0</v>
      </c>
      <c r="AS53" s="2">
        <v>0</v>
      </c>
      <c r="AT53" s="2">
        <v>0</v>
      </c>
      <c r="AU53" s="2">
        <v>0</v>
      </c>
      <c r="AV53" s="2">
        <v>0</v>
      </c>
      <c r="AW53" s="2">
        <v>0</v>
      </c>
      <c r="AX53" s="2">
        <v>0</v>
      </c>
      <c r="AY53" s="2" t="str">
        <f t="shared" si="0"/>
        <v>tunar051</v>
      </c>
      <c r="AZ53" s="3">
        <v>-1</v>
      </c>
      <c r="BA53" s="3">
        <v>2</v>
      </c>
      <c r="BB53" s="2"/>
    </row>
    <row r="54" spans="1:54" x14ac:dyDescent="0.3">
      <c r="A54" s="3" t="s">
        <v>136</v>
      </c>
      <c r="B54" s="3" t="s">
        <v>137</v>
      </c>
      <c r="C54" s="3">
        <v>100</v>
      </c>
      <c r="D54" s="3" t="s">
        <v>268</v>
      </c>
      <c r="E54" s="3">
        <v>3</v>
      </c>
      <c r="F54" s="3" t="s">
        <v>115</v>
      </c>
      <c r="G54" s="3">
        <v>3</v>
      </c>
      <c r="H54" s="3">
        <v>1</v>
      </c>
      <c r="I54" s="3">
        <v>1</v>
      </c>
      <c r="J54" s="2">
        <v>0</v>
      </c>
      <c r="K54" s="2">
        <v>0</v>
      </c>
      <c r="L54" s="3">
        <v>100</v>
      </c>
      <c r="M54" s="3">
        <v>-1</v>
      </c>
      <c r="N54" s="3">
        <v>2</v>
      </c>
      <c r="O54" s="3">
        <v>100</v>
      </c>
      <c r="P54" s="3">
        <v>-1</v>
      </c>
      <c r="Q54" s="3">
        <v>-1</v>
      </c>
      <c r="R54" s="2">
        <v>0</v>
      </c>
      <c r="S54" s="2">
        <v>0</v>
      </c>
      <c r="T54" s="3">
        <v>0</v>
      </c>
      <c r="U54" s="3">
        <v>1700</v>
      </c>
      <c r="V54" s="2">
        <v>0</v>
      </c>
      <c r="W54" s="3">
        <v>200</v>
      </c>
      <c r="X54" s="3">
        <v>300</v>
      </c>
      <c r="Y54" s="3">
        <v>99</v>
      </c>
      <c r="Z54" s="2">
        <v>50</v>
      </c>
      <c r="AA54" s="2">
        <v>50</v>
      </c>
      <c r="AB54" s="3">
        <v>180</v>
      </c>
      <c r="AC54" s="3">
        <v>0</v>
      </c>
      <c r="AD54" s="2">
        <v>-1</v>
      </c>
      <c r="AE54" s="3">
        <v>0</v>
      </c>
      <c r="AF54" s="3">
        <v>0</v>
      </c>
      <c r="AG54" s="3">
        <v>0</v>
      </c>
      <c r="AH54" s="3">
        <v>0</v>
      </c>
      <c r="AI54" s="3">
        <v>0</v>
      </c>
      <c r="AJ54" s="3">
        <v>0</v>
      </c>
      <c r="AK54" s="3">
        <v>1</v>
      </c>
      <c r="AL54" s="3">
        <v>1</v>
      </c>
      <c r="AM54" s="2">
        <v>0</v>
      </c>
      <c r="AN54" s="2">
        <v>0</v>
      </c>
      <c r="AO54" s="2">
        <v>0</v>
      </c>
      <c r="AP54" s="3">
        <v>1</v>
      </c>
      <c r="AQ54" s="2">
        <v>0</v>
      </c>
      <c r="AR54" s="2">
        <v>0</v>
      </c>
      <c r="AS54" s="2">
        <v>0</v>
      </c>
      <c r="AT54" s="2">
        <v>0</v>
      </c>
      <c r="AU54" s="2">
        <v>0</v>
      </c>
      <c r="AV54" s="2">
        <v>0</v>
      </c>
      <c r="AW54" s="2">
        <v>0</v>
      </c>
      <c r="AX54" s="2">
        <v>0</v>
      </c>
      <c r="AY54" s="2" t="str">
        <f t="shared" si="0"/>
        <v>tunar052</v>
      </c>
      <c r="AZ54" s="3">
        <v>-1</v>
      </c>
      <c r="BA54" s="3">
        <v>2</v>
      </c>
      <c r="BB54" s="2"/>
    </row>
    <row r="55" spans="1:54" x14ac:dyDescent="0.3">
      <c r="A55" s="3" t="s">
        <v>138</v>
      </c>
      <c r="B55" s="3" t="s">
        <v>139</v>
      </c>
      <c r="C55" s="3">
        <v>100</v>
      </c>
      <c r="D55" s="3" t="s">
        <v>268</v>
      </c>
      <c r="E55" s="3">
        <v>3</v>
      </c>
      <c r="F55" s="3" t="s">
        <v>115</v>
      </c>
      <c r="G55" s="3">
        <v>3</v>
      </c>
      <c r="H55" s="3">
        <v>1</v>
      </c>
      <c r="I55" s="3">
        <v>1</v>
      </c>
      <c r="J55" s="2">
        <v>0</v>
      </c>
      <c r="K55" s="2">
        <v>0</v>
      </c>
      <c r="L55" s="3">
        <v>100</v>
      </c>
      <c r="M55" s="3">
        <v>-1</v>
      </c>
      <c r="N55" s="3">
        <v>2</v>
      </c>
      <c r="O55" s="3">
        <v>100</v>
      </c>
      <c r="P55" s="3">
        <v>-1</v>
      </c>
      <c r="Q55" s="3">
        <v>-1</v>
      </c>
      <c r="R55" s="2">
        <v>0</v>
      </c>
      <c r="S55" s="2">
        <v>0</v>
      </c>
      <c r="T55" s="3">
        <v>0</v>
      </c>
      <c r="U55" s="3">
        <v>1700</v>
      </c>
      <c r="V55" s="2">
        <v>0</v>
      </c>
      <c r="W55" s="3">
        <v>100</v>
      </c>
      <c r="X55" s="3">
        <v>200</v>
      </c>
      <c r="Y55" s="3">
        <v>99</v>
      </c>
      <c r="Z55" s="2">
        <v>50</v>
      </c>
      <c r="AA55" s="2">
        <v>50</v>
      </c>
      <c r="AB55" s="3">
        <v>180</v>
      </c>
      <c r="AC55" s="3">
        <v>0</v>
      </c>
      <c r="AD55" s="2">
        <v>-1</v>
      </c>
      <c r="AE55" s="3">
        <v>0</v>
      </c>
      <c r="AF55" s="3">
        <v>0</v>
      </c>
      <c r="AG55" s="3">
        <v>0</v>
      </c>
      <c r="AH55" s="3">
        <v>0</v>
      </c>
      <c r="AI55" s="3">
        <v>0</v>
      </c>
      <c r="AJ55" s="3">
        <v>0</v>
      </c>
      <c r="AK55" s="3">
        <v>1</v>
      </c>
      <c r="AL55" s="3">
        <v>1</v>
      </c>
      <c r="AM55" s="2">
        <v>0</v>
      </c>
      <c r="AN55" s="2">
        <v>0</v>
      </c>
      <c r="AO55" s="2">
        <v>0</v>
      </c>
      <c r="AP55" s="3">
        <v>1</v>
      </c>
      <c r="AQ55" s="2">
        <v>0</v>
      </c>
      <c r="AR55" s="2">
        <v>0</v>
      </c>
      <c r="AS55" s="2">
        <v>0</v>
      </c>
      <c r="AT55" s="2">
        <v>0</v>
      </c>
      <c r="AU55" s="2">
        <v>0</v>
      </c>
      <c r="AV55" s="2">
        <v>0</v>
      </c>
      <c r="AW55" s="2">
        <v>0</v>
      </c>
      <c r="AX55" s="2">
        <v>0</v>
      </c>
      <c r="AY55" s="2" t="str">
        <f t="shared" si="0"/>
        <v>tunar053</v>
      </c>
      <c r="AZ55" s="3">
        <v>-1</v>
      </c>
      <c r="BA55" s="3">
        <v>2</v>
      </c>
      <c r="BB55" s="2"/>
    </row>
    <row r="56" spans="1:54" x14ac:dyDescent="0.3">
      <c r="A56" s="3" t="s">
        <v>140</v>
      </c>
      <c r="B56" s="3" t="s">
        <v>141</v>
      </c>
      <c r="C56" s="3">
        <v>100</v>
      </c>
      <c r="D56" s="3" t="s">
        <v>268</v>
      </c>
      <c r="E56" s="3">
        <v>3</v>
      </c>
      <c r="F56" s="3" t="s">
        <v>115</v>
      </c>
      <c r="G56" s="3">
        <v>3</v>
      </c>
      <c r="H56" s="3">
        <v>1</v>
      </c>
      <c r="I56" s="3">
        <v>1</v>
      </c>
      <c r="J56" s="2">
        <v>0</v>
      </c>
      <c r="K56" s="2">
        <v>0</v>
      </c>
      <c r="L56" s="3">
        <v>100</v>
      </c>
      <c r="M56" s="3">
        <v>-1</v>
      </c>
      <c r="N56" s="3">
        <v>2</v>
      </c>
      <c r="O56" s="3">
        <v>100</v>
      </c>
      <c r="P56" s="3">
        <v>-1</v>
      </c>
      <c r="Q56" s="3">
        <v>-1</v>
      </c>
      <c r="R56" s="2">
        <v>0</v>
      </c>
      <c r="S56" s="2">
        <v>0</v>
      </c>
      <c r="T56" s="3">
        <v>0</v>
      </c>
      <c r="U56" s="3">
        <v>1700</v>
      </c>
      <c r="V56" s="2">
        <v>0</v>
      </c>
      <c r="W56" s="3">
        <v>200</v>
      </c>
      <c r="X56" s="3">
        <v>300</v>
      </c>
      <c r="Y56" s="3">
        <v>99</v>
      </c>
      <c r="Z56" s="2">
        <v>50</v>
      </c>
      <c r="AA56" s="2">
        <v>50</v>
      </c>
      <c r="AB56" s="3">
        <v>180</v>
      </c>
      <c r="AC56" s="3">
        <v>0</v>
      </c>
      <c r="AD56" s="2">
        <v>-1</v>
      </c>
      <c r="AE56" s="3">
        <v>0</v>
      </c>
      <c r="AF56" s="3">
        <v>0</v>
      </c>
      <c r="AG56" s="3">
        <v>0</v>
      </c>
      <c r="AH56" s="3">
        <v>0</v>
      </c>
      <c r="AI56" s="3">
        <v>0</v>
      </c>
      <c r="AJ56" s="3">
        <v>0</v>
      </c>
      <c r="AK56" s="3">
        <v>1</v>
      </c>
      <c r="AL56" s="3">
        <v>1</v>
      </c>
      <c r="AM56" s="2">
        <v>0</v>
      </c>
      <c r="AN56" s="2">
        <v>0</v>
      </c>
      <c r="AO56" s="2">
        <v>0</v>
      </c>
      <c r="AP56" s="3">
        <v>1</v>
      </c>
      <c r="AQ56" s="2">
        <v>0</v>
      </c>
      <c r="AR56" s="2">
        <v>0</v>
      </c>
      <c r="AS56" s="2">
        <v>0</v>
      </c>
      <c r="AT56" s="2">
        <v>0</v>
      </c>
      <c r="AU56" s="2">
        <v>0</v>
      </c>
      <c r="AV56" s="2">
        <v>0</v>
      </c>
      <c r="AW56" s="2">
        <v>0</v>
      </c>
      <c r="AX56" s="2">
        <v>0</v>
      </c>
      <c r="AY56" s="2" t="str">
        <f t="shared" si="0"/>
        <v>tunar054</v>
      </c>
      <c r="AZ56" s="3">
        <v>-1</v>
      </c>
      <c r="BA56" s="3">
        <v>2</v>
      </c>
      <c r="BB56" s="2"/>
    </row>
    <row r="57" spans="1:54" x14ac:dyDescent="0.3">
      <c r="A57" s="3" t="s">
        <v>142</v>
      </c>
      <c r="B57" s="3" t="s">
        <v>143</v>
      </c>
      <c r="C57" s="3">
        <v>100</v>
      </c>
      <c r="D57" s="3" t="s">
        <v>268</v>
      </c>
      <c r="E57" s="3">
        <v>3</v>
      </c>
      <c r="F57" s="3" t="s">
        <v>115</v>
      </c>
      <c r="G57" s="3">
        <v>3</v>
      </c>
      <c r="H57" s="3">
        <v>1</v>
      </c>
      <c r="I57" s="3">
        <v>1</v>
      </c>
      <c r="J57" s="2">
        <v>0</v>
      </c>
      <c r="K57" s="2">
        <v>0</v>
      </c>
      <c r="L57" s="3">
        <v>100</v>
      </c>
      <c r="M57" s="3">
        <v>-1</v>
      </c>
      <c r="N57" s="3">
        <v>2</v>
      </c>
      <c r="O57" s="3">
        <v>100</v>
      </c>
      <c r="P57" s="3">
        <v>-1</v>
      </c>
      <c r="Q57" s="3">
        <v>-1</v>
      </c>
      <c r="R57" s="2">
        <v>0</v>
      </c>
      <c r="S57" s="2">
        <v>0</v>
      </c>
      <c r="T57" s="3">
        <v>0</v>
      </c>
      <c r="U57" s="3">
        <v>1700</v>
      </c>
      <c r="V57" s="2">
        <v>0</v>
      </c>
      <c r="W57" s="3">
        <v>100</v>
      </c>
      <c r="X57" s="3">
        <v>200</v>
      </c>
      <c r="Y57" s="3">
        <v>99</v>
      </c>
      <c r="Z57" s="2">
        <v>50</v>
      </c>
      <c r="AA57" s="2">
        <v>50</v>
      </c>
      <c r="AB57" s="3">
        <v>180</v>
      </c>
      <c r="AC57" s="3">
        <v>0</v>
      </c>
      <c r="AD57" s="2">
        <v>-1</v>
      </c>
      <c r="AE57" s="3">
        <v>0</v>
      </c>
      <c r="AF57" s="3">
        <v>0</v>
      </c>
      <c r="AG57" s="3">
        <v>0</v>
      </c>
      <c r="AH57" s="3">
        <v>0</v>
      </c>
      <c r="AI57" s="3">
        <v>0</v>
      </c>
      <c r="AJ57" s="3">
        <v>0</v>
      </c>
      <c r="AK57" s="3">
        <v>1</v>
      </c>
      <c r="AL57" s="3">
        <v>1</v>
      </c>
      <c r="AM57" s="2">
        <v>0</v>
      </c>
      <c r="AN57" s="2">
        <v>0</v>
      </c>
      <c r="AO57" s="2">
        <v>0</v>
      </c>
      <c r="AP57" s="3">
        <v>1</v>
      </c>
      <c r="AQ57" s="2">
        <v>0</v>
      </c>
      <c r="AR57" s="2">
        <v>0</v>
      </c>
      <c r="AS57" s="2">
        <v>0</v>
      </c>
      <c r="AT57" s="2">
        <v>0</v>
      </c>
      <c r="AU57" s="2">
        <v>0</v>
      </c>
      <c r="AV57" s="2">
        <v>0</v>
      </c>
      <c r="AW57" s="2">
        <v>0</v>
      </c>
      <c r="AX57" s="2">
        <v>0</v>
      </c>
      <c r="AY57" s="2" t="str">
        <f t="shared" si="0"/>
        <v>tunar055</v>
      </c>
      <c r="AZ57" s="3">
        <v>-1</v>
      </c>
      <c r="BA57" s="3">
        <v>2</v>
      </c>
      <c r="BB57" s="2"/>
    </row>
    <row r="58" spans="1:54" x14ac:dyDescent="0.3">
      <c r="A58" s="3" t="s">
        <v>144</v>
      </c>
      <c r="B58" s="3" t="s">
        <v>145</v>
      </c>
      <c r="C58" s="3">
        <v>100</v>
      </c>
      <c r="D58" s="3" t="s">
        <v>268</v>
      </c>
      <c r="E58" s="3">
        <v>3</v>
      </c>
      <c r="F58" s="3" t="s">
        <v>115</v>
      </c>
      <c r="G58" s="3">
        <v>3</v>
      </c>
      <c r="H58" s="3">
        <v>1</v>
      </c>
      <c r="I58" s="3">
        <v>1</v>
      </c>
      <c r="J58" s="2">
        <v>0</v>
      </c>
      <c r="K58" s="2">
        <v>0</v>
      </c>
      <c r="L58" s="3">
        <v>100</v>
      </c>
      <c r="M58" s="3">
        <v>-1</v>
      </c>
      <c r="N58" s="3">
        <v>2</v>
      </c>
      <c r="O58" s="3">
        <v>100</v>
      </c>
      <c r="P58" s="3">
        <v>-1</v>
      </c>
      <c r="Q58" s="3">
        <v>-1</v>
      </c>
      <c r="R58" s="2">
        <v>0</v>
      </c>
      <c r="S58" s="2">
        <v>0</v>
      </c>
      <c r="T58" s="3">
        <v>0</v>
      </c>
      <c r="U58" s="3">
        <v>1700</v>
      </c>
      <c r="V58" s="2">
        <v>0</v>
      </c>
      <c r="W58" s="3">
        <v>200</v>
      </c>
      <c r="X58" s="3">
        <v>300</v>
      </c>
      <c r="Y58" s="3">
        <v>99</v>
      </c>
      <c r="Z58" s="2">
        <v>50</v>
      </c>
      <c r="AA58" s="2">
        <v>50</v>
      </c>
      <c r="AB58" s="3">
        <v>180</v>
      </c>
      <c r="AC58" s="3">
        <v>0</v>
      </c>
      <c r="AD58" s="2">
        <v>-1</v>
      </c>
      <c r="AE58" s="3">
        <v>0</v>
      </c>
      <c r="AF58" s="3">
        <v>0</v>
      </c>
      <c r="AG58" s="3">
        <v>0</v>
      </c>
      <c r="AH58" s="3">
        <v>0</v>
      </c>
      <c r="AI58" s="3">
        <v>0</v>
      </c>
      <c r="AJ58" s="3">
        <v>0</v>
      </c>
      <c r="AK58" s="3">
        <v>1</v>
      </c>
      <c r="AL58" s="3">
        <v>1</v>
      </c>
      <c r="AM58" s="2">
        <v>0</v>
      </c>
      <c r="AN58" s="2">
        <v>0</v>
      </c>
      <c r="AO58" s="2">
        <v>0</v>
      </c>
      <c r="AP58" s="3">
        <v>1</v>
      </c>
      <c r="AQ58" s="2">
        <v>0</v>
      </c>
      <c r="AR58" s="2">
        <v>0</v>
      </c>
      <c r="AS58" s="2">
        <v>0</v>
      </c>
      <c r="AT58" s="2">
        <v>0</v>
      </c>
      <c r="AU58" s="2">
        <v>0</v>
      </c>
      <c r="AV58" s="2">
        <v>0</v>
      </c>
      <c r="AW58" s="2">
        <v>0</v>
      </c>
      <c r="AX58" s="2">
        <v>0</v>
      </c>
      <c r="AY58" s="2" t="str">
        <f t="shared" si="0"/>
        <v>tunar056</v>
      </c>
      <c r="AZ58" s="3">
        <v>-1</v>
      </c>
      <c r="BA58" s="3">
        <v>2</v>
      </c>
      <c r="BB58" s="2"/>
    </row>
    <row r="59" spans="1:54" x14ac:dyDescent="0.3">
      <c r="A59" s="3" t="s">
        <v>146</v>
      </c>
      <c r="B59" s="3" t="s">
        <v>147</v>
      </c>
      <c r="C59" s="3">
        <v>100</v>
      </c>
      <c r="D59" s="3" t="s">
        <v>268</v>
      </c>
      <c r="E59" s="3">
        <v>3</v>
      </c>
      <c r="F59" s="3" t="s">
        <v>115</v>
      </c>
      <c r="G59" s="3">
        <v>3</v>
      </c>
      <c r="H59" s="3">
        <v>1</v>
      </c>
      <c r="I59" s="3">
        <v>1</v>
      </c>
      <c r="J59" s="2">
        <v>0</v>
      </c>
      <c r="K59" s="2">
        <v>0</v>
      </c>
      <c r="L59" s="3">
        <v>100</v>
      </c>
      <c r="M59" s="3">
        <v>-1</v>
      </c>
      <c r="N59" s="3">
        <v>2</v>
      </c>
      <c r="O59" s="3">
        <v>100</v>
      </c>
      <c r="P59" s="3">
        <v>-1</v>
      </c>
      <c r="Q59" s="3">
        <v>-1</v>
      </c>
      <c r="R59" s="2">
        <v>0</v>
      </c>
      <c r="S59" s="2">
        <v>0</v>
      </c>
      <c r="T59" s="3">
        <v>0</v>
      </c>
      <c r="U59" s="3">
        <v>1700</v>
      </c>
      <c r="V59" s="2">
        <v>0</v>
      </c>
      <c r="W59" s="3">
        <v>100</v>
      </c>
      <c r="X59" s="3">
        <v>200</v>
      </c>
      <c r="Y59" s="3">
        <v>99</v>
      </c>
      <c r="Z59" s="2">
        <v>50</v>
      </c>
      <c r="AA59" s="2">
        <v>50</v>
      </c>
      <c r="AB59" s="3">
        <v>180</v>
      </c>
      <c r="AC59" s="3">
        <v>0</v>
      </c>
      <c r="AD59" s="2">
        <v>-1</v>
      </c>
      <c r="AE59" s="3">
        <v>0</v>
      </c>
      <c r="AF59" s="3">
        <v>0</v>
      </c>
      <c r="AG59" s="3">
        <v>0</v>
      </c>
      <c r="AH59" s="3">
        <v>0</v>
      </c>
      <c r="AI59" s="3">
        <v>0</v>
      </c>
      <c r="AJ59" s="3">
        <v>0</v>
      </c>
      <c r="AK59" s="3">
        <v>1</v>
      </c>
      <c r="AL59" s="3">
        <v>1</v>
      </c>
      <c r="AM59" s="2">
        <v>0</v>
      </c>
      <c r="AN59" s="2">
        <v>0</v>
      </c>
      <c r="AO59" s="2">
        <v>0</v>
      </c>
      <c r="AP59" s="3">
        <v>1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2">
        <v>0</v>
      </c>
      <c r="AX59" s="2">
        <v>0</v>
      </c>
      <c r="AY59" s="2" t="str">
        <f t="shared" si="0"/>
        <v>tunar057</v>
      </c>
      <c r="AZ59" s="3">
        <v>-1</v>
      </c>
      <c r="BA59" s="3">
        <v>2</v>
      </c>
      <c r="BB59" s="2"/>
    </row>
    <row r="60" spans="1:54" x14ac:dyDescent="0.3">
      <c r="A60" s="3" t="s">
        <v>148</v>
      </c>
      <c r="B60" s="3" t="s">
        <v>149</v>
      </c>
      <c r="C60" s="3">
        <v>100</v>
      </c>
      <c r="D60" s="3" t="s">
        <v>268</v>
      </c>
      <c r="E60" s="3">
        <v>3</v>
      </c>
      <c r="F60" s="3" t="s">
        <v>115</v>
      </c>
      <c r="G60" s="3">
        <v>3</v>
      </c>
      <c r="H60" s="3">
        <v>1</v>
      </c>
      <c r="I60" s="3">
        <v>1</v>
      </c>
      <c r="J60" s="2">
        <v>0</v>
      </c>
      <c r="K60" s="2">
        <v>0</v>
      </c>
      <c r="L60" s="3">
        <v>100</v>
      </c>
      <c r="M60" s="3">
        <v>-1</v>
      </c>
      <c r="N60" s="3">
        <v>2</v>
      </c>
      <c r="O60" s="3">
        <v>100</v>
      </c>
      <c r="P60" s="3">
        <v>-1</v>
      </c>
      <c r="Q60" s="3">
        <v>-1</v>
      </c>
      <c r="R60" s="2">
        <v>0</v>
      </c>
      <c r="S60" s="2">
        <v>0</v>
      </c>
      <c r="T60" s="3">
        <v>0</v>
      </c>
      <c r="U60" s="3">
        <v>1700</v>
      </c>
      <c r="V60" s="2">
        <v>0</v>
      </c>
      <c r="W60" s="3">
        <v>200</v>
      </c>
      <c r="X60" s="3">
        <v>300</v>
      </c>
      <c r="Y60" s="3">
        <v>99</v>
      </c>
      <c r="Z60" s="2">
        <v>50</v>
      </c>
      <c r="AA60" s="2">
        <v>50</v>
      </c>
      <c r="AB60" s="3">
        <v>180</v>
      </c>
      <c r="AC60" s="3">
        <v>0</v>
      </c>
      <c r="AD60" s="2">
        <v>-1</v>
      </c>
      <c r="AE60" s="3">
        <v>0</v>
      </c>
      <c r="AF60" s="3">
        <v>0</v>
      </c>
      <c r="AG60" s="3">
        <v>0</v>
      </c>
      <c r="AH60" s="3">
        <v>0</v>
      </c>
      <c r="AI60" s="3">
        <v>0</v>
      </c>
      <c r="AJ60" s="3">
        <v>0</v>
      </c>
      <c r="AK60" s="3">
        <v>1</v>
      </c>
      <c r="AL60" s="3">
        <v>1</v>
      </c>
      <c r="AM60" s="2">
        <v>0</v>
      </c>
      <c r="AN60" s="2">
        <v>0</v>
      </c>
      <c r="AO60" s="2">
        <v>0</v>
      </c>
      <c r="AP60" s="3">
        <v>1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2">
        <v>0</v>
      </c>
      <c r="AX60" s="2">
        <v>0</v>
      </c>
      <c r="AY60" s="2" t="str">
        <f t="shared" si="0"/>
        <v>tunar058</v>
      </c>
      <c r="AZ60" s="3">
        <v>-1</v>
      </c>
      <c r="BA60" s="3">
        <v>2</v>
      </c>
      <c r="BB60" s="2"/>
    </row>
    <row r="61" spans="1:54" x14ac:dyDescent="0.3">
      <c r="A61" s="3" t="s">
        <v>150</v>
      </c>
      <c r="B61" s="3" t="s">
        <v>151</v>
      </c>
      <c r="C61" s="3">
        <v>100</v>
      </c>
      <c r="D61" s="3" t="s">
        <v>268</v>
      </c>
      <c r="E61" s="3">
        <v>3</v>
      </c>
      <c r="F61" s="3" t="s">
        <v>115</v>
      </c>
      <c r="G61" s="3">
        <v>3</v>
      </c>
      <c r="H61" s="3">
        <v>1</v>
      </c>
      <c r="I61" s="3">
        <v>1</v>
      </c>
      <c r="J61" s="2">
        <v>0</v>
      </c>
      <c r="K61" s="2">
        <v>0</v>
      </c>
      <c r="L61" s="3">
        <v>100</v>
      </c>
      <c r="M61" s="3">
        <v>-1</v>
      </c>
      <c r="N61" s="3">
        <v>2</v>
      </c>
      <c r="O61" s="3">
        <v>100</v>
      </c>
      <c r="P61" s="3">
        <v>-1</v>
      </c>
      <c r="Q61" s="3">
        <v>-1</v>
      </c>
      <c r="R61" s="2">
        <v>0</v>
      </c>
      <c r="S61" s="2">
        <v>0</v>
      </c>
      <c r="T61" s="3">
        <v>0</v>
      </c>
      <c r="U61" s="3">
        <v>1700</v>
      </c>
      <c r="V61" s="2">
        <v>0</v>
      </c>
      <c r="W61" s="3">
        <v>100</v>
      </c>
      <c r="X61" s="3">
        <v>200</v>
      </c>
      <c r="Y61" s="3">
        <v>99</v>
      </c>
      <c r="Z61" s="2">
        <v>50</v>
      </c>
      <c r="AA61" s="2">
        <v>50</v>
      </c>
      <c r="AB61" s="3">
        <v>180</v>
      </c>
      <c r="AC61" s="3">
        <v>0</v>
      </c>
      <c r="AD61" s="2">
        <v>-1</v>
      </c>
      <c r="AE61" s="3">
        <v>0</v>
      </c>
      <c r="AF61" s="3">
        <v>0</v>
      </c>
      <c r="AG61" s="3">
        <v>0</v>
      </c>
      <c r="AH61" s="3">
        <v>0</v>
      </c>
      <c r="AI61" s="3">
        <v>0</v>
      </c>
      <c r="AJ61" s="3">
        <v>0</v>
      </c>
      <c r="AK61" s="3">
        <v>1</v>
      </c>
      <c r="AL61" s="3">
        <v>1</v>
      </c>
      <c r="AM61" s="2">
        <v>0</v>
      </c>
      <c r="AN61" s="2">
        <v>0</v>
      </c>
      <c r="AO61" s="2">
        <v>0</v>
      </c>
      <c r="AP61" s="3">
        <v>1</v>
      </c>
      <c r="AQ61" s="2">
        <v>0</v>
      </c>
      <c r="AR61" s="2">
        <v>0</v>
      </c>
      <c r="AS61" s="2">
        <v>0</v>
      </c>
      <c r="AT61" s="2">
        <v>0</v>
      </c>
      <c r="AU61" s="2">
        <v>0</v>
      </c>
      <c r="AV61" s="2">
        <v>0</v>
      </c>
      <c r="AW61" s="2">
        <v>0</v>
      </c>
      <c r="AX61" s="2">
        <v>0</v>
      </c>
      <c r="AY61" s="2" t="str">
        <f t="shared" si="0"/>
        <v>tunar059</v>
      </c>
      <c r="AZ61" s="3">
        <v>-1</v>
      </c>
      <c r="BA61" s="3">
        <v>2</v>
      </c>
      <c r="BB61" s="2"/>
    </row>
    <row r="62" spans="1:54" x14ac:dyDescent="0.3">
      <c r="A62" s="3" t="s">
        <v>152</v>
      </c>
      <c r="B62" s="3" t="s">
        <v>153</v>
      </c>
      <c r="C62" s="3">
        <v>100</v>
      </c>
      <c r="D62" s="3" t="s">
        <v>268</v>
      </c>
      <c r="E62" s="3">
        <v>3</v>
      </c>
      <c r="F62" s="3" t="s">
        <v>115</v>
      </c>
      <c r="G62" s="3">
        <v>3</v>
      </c>
      <c r="H62" s="3">
        <v>1</v>
      </c>
      <c r="I62" s="3">
        <v>1</v>
      </c>
      <c r="J62" s="2">
        <v>0</v>
      </c>
      <c r="K62" s="2">
        <v>0</v>
      </c>
      <c r="L62" s="3">
        <v>100</v>
      </c>
      <c r="M62" s="3">
        <v>-1</v>
      </c>
      <c r="N62" s="3">
        <v>2</v>
      </c>
      <c r="O62" s="3">
        <v>100</v>
      </c>
      <c r="P62" s="3">
        <v>-1</v>
      </c>
      <c r="Q62" s="3">
        <v>-1</v>
      </c>
      <c r="R62" s="2">
        <v>0</v>
      </c>
      <c r="S62" s="2">
        <v>0</v>
      </c>
      <c r="T62" s="3">
        <v>0</v>
      </c>
      <c r="U62" s="3">
        <v>1700</v>
      </c>
      <c r="V62" s="2">
        <v>0</v>
      </c>
      <c r="W62" s="3">
        <v>200</v>
      </c>
      <c r="X62" s="3">
        <v>300</v>
      </c>
      <c r="Y62" s="3">
        <v>99</v>
      </c>
      <c r="Z62" s="2">
        <v>50</v>
      </c>
      <c r="AA62" s="2">
        <v>50</v>
      </c>
      <c r="AB62" s="3">
        <v>180</v>
      </c>
      <c r="AC62" s="3">
        <v>0</v>
      </c>
      <c r="AD62" s="2">
        <v>-1</v>
      </c>
      <c r="AE62" s="3">
        <v>0</v>
      </c>
      <c r="AF62" s="3">
        <v>0</v>
      </c>
      <c r="AG62" s="3">
        <v>0</v>
      </c>
      <c r="AH62" s="3">
        <v>0</v>
      </c>
      <c r="AI62" s="3">
        <v>0</v>
      </c>
      <c r="AJ62" s="3">
        <v>0</v>
      </c>
      <c r="AK62" s="3">
        <v>1</v>
      </c>
      <c r="AL62" s="3">
        <v>1</v>
      </c>
      <c r="AM62" s="2">
        <v>0</v>
      </c>
      <c r="AN62" s="2">
        <v>0</v>
      </c>
      <c r="AO62" s="2">
        <v>0</v>
      </c>
      <c r="AP62" s="3">
        <v>1</v>
      </c>
      <c r="AQ62" s="2">
        <v>0</v>
      </c>
      <c r="AR62" s="2">
        <v>0</v>
      </c>
      <c r="AS62" s="2">
        <v>0</v>
      </c>
      <c r="AT62" s="2">
        <v>0</v>
      </c>
      <c r="AU62" s="2">
        <v>0</v>
      </c>
      <c r="AV62" s="2">
        <v>0</v>
      </c>
      <c r="AW62" s="2">
        <v>0</v>
      </c>
      <c r="AX62" s="2">
        <v>0</v>
      </c>
      <c r="AY62" s="2" t="str">
        <f t="shared" si="0"/>
        <v>tunar060</v>
      </c>
      <c r="AZ62" s="3">
        <v>-1</v>
      </c>
      <c r="BA62" s="3">
        <v>2</v>
      </c>
      <c r="BB62" s="2"/>
    </row>
    <row r="63" spans="1:54" x14ac:dyDescent="0.3">
      <c r="A63" s="3" t="s">
        <v>154</v>
      </c>
      <c r="B63" s="3" t="s">
        <v>155</v>
      </c>
      <c r="C63" s="3">
        <v>100</v>
      </c>
      <c r="D63" s="3" t="s">
        <v>268</v>
      </c>
      <c r="E63" s="3">
        <v>3</v>
      </c>
      <c r="F63" s="3" t="s">
        <v>156</v>
      </c>
      <c r="G63" s="3">
        <v>4</v>
      </c>
      <c r="H63" s="3">
        <v>1</v>
      </c>
      <c r="I63" s="3">
        <v>1</v>
      </c>
      <c r="J63" s="2">
        <v>0</v>
      </c>
      <c r="K63" s="2">
        <v>0</v>
      </c>
      <c r="L63" s="3">
        <v>100</v>
      </c>
      <c r="M63" s="3">
        <v>-1</v>
      </c>
      <c r="N63" s="3">
        <v>2</v>
      </c>
      <c r="O63" s="3">
        <v>100</v>
      </c>
      <c r="P63" s="3">
        <v>-1</v>
      </c>
      <c r="Q63" s="3">
        <v>-1</v>
      </c>
      <c r="R63" s="2">
        <v>0</v>
      </c>
      <c r="S63" s="2">
        <v>0</v>
      </c>
      <c r="T63" s="3">
        <v>0</v>
      </c>
      <c r="U63" s="3">
        <v>1700</v>
      </c>
      <c r="V63" s="2">
        <v>0</v>
      </c>
      <c r="W63" s="3">
        <v>916</v>
      </c>
      <c r="X63" s="3">
        <v>996</v>
      </c>
      <c r="Y63" s="3">
        <v>49</v>
      </c>
      <c r="Z63" s="2">
        <v>50</v>
      </c>
      <c r="AA63" s="2">
        <v>50</v>
      </c>
      <c r="AB63" s="3">
        <v>180</v>
      </c>
      <c r="AC63" s="3">
        <v>0</v>
      </c>
      <c r="AD63" s="2">
        <v>-1</v>
      </c>
      <c r="AE63" s="3">
        <v>0</v>
      </c>
      <c r="AF63" s="3">
        <v>0</v>
      </c>
      <c r="AG63" s="3">
        <v>0</v>
      </c>
      <c r="AH63" s="3">
        <v>0</v>
      </c>
      <c r="AI63" s="3">
        <v>0</v>
      </c>
      <c r="AJ63" s="3">
        <v>0</v>
      </c>
      <c r="AK63" s="3">
        <v>1</v>
      </c>
      <c r="AL63" s="3">
        <v>1</v>
      </c>
      <c r="AM63" s="2">
        <v>0</v>
      </c>
      <c r="AN63" s="2">
        <v>0</v>
      </c>
      <c r="AO63" s="2">
        <v>0</v>
      </c>
      <c r="AP63" s="3">
        <v>1</v>
      </c>
      <c r="AQ63" s="2">
        <v>0</v>
      </c>
      <c r="AR63" s="2">
        <v>0</v>
      </c>
      <c r="AS63" s="2">
        <v>0</v>
      </c>
      <c r="AT63" s="2">
        <v>0</v>
      </c>
      <c r="AU63" s="2">
        <v>0</v>
      </c>
      <c r="AV63" s="2">
        <v>0</v>
      </c>
      <c r="AW63" s="2">
        <v>0</v>
      </c>
      <c r="AX63" s="2">
        <v>0</v>
      </c>
      <c r="AY63" s="2" t="str">
        <f t="shared" si="0"/>
        <v>tunar061</v>
      </c>
      <c r="AZ63" s="3">
        <v>-1</v>
      </c>
      <c r="BA63" s="3">
        <v>2</v>
      </c>
      <c r="BB63" s="2"/>
    </row>
    <row r="64" spans="1:54" x14ac:dyDescent="0.3">
      <c r="A64" s="3" t="s">
        <v>157</v>
      </c>
      <c r="B64" s="3" t="s">
        <v>158</v>
      </c>
      <c r="C64" s="3">
        <v>100</v>
      </c>
      <c r="D64" s="3" t="s">
        <v>268</v>
      </c>
      <c r="E64" s="3">
        <v>3</v>
      </c>
      <c r="F64" s="3" t="s">
        <v>156</v>
      </c>
      <c r="G64" s="3">
        <v>4</v>
      </c>
      <c r="H64" s="3">
        <v>1</v>
      </c>
      <c r="I64" s="3">
        <v>1</v>
      </c>
      <c r="J64" s="2">
        <v>0</v>
      </c>
      <c r="K64" s="2">
        <v>0</v>
      </c>
      <c r="L64" s="3">
        <v>100</v>
      </c>
      <c r="M64" s="3">
        <v>-1</v>
      </c>
      <c r="N64" s="3">
        <v>2</v>
      </c>
      <c r="O64" s="3">
        <v>100</v>
      </c>
      <c r="P64" s="3">
        <v>-1</v>
      </c>
      <c r="Q64" s="3">
        <v>-1</v>
      </c>
      <c r="R64" s="2">
        <v>0</v>
      </c>
      <c r="S64" s="2">
        <v>0</v>
      </c>
      <c r="T64" s="3">
        <v>0</v>
      </c>
      <c r="U64" s="3">
        <v>1700</v>
      </c>
      <c r="V64" s="2">
        <v>0</v>
      </c>
      <c r="W64" s="3">
        <v>200</v>
      </c>
      <c r="X64" s="3">
        <v>300</v>
      </c>
      <c r="Y64" s="3">
        <v>99</v>
      </c>
      <c r="Z64" s="2">
        <v>50</v>
      </c>
      <c r="AA64" s="2">
        <v>50</v>
      </c>
      <c r="AB64" s="3">
        <v>180</v>
      </c>
      <c r="AC64" s="3">
        <v>0</v>
      </c>
      <c r="AD64" s="2">
        <v>-1</v>
      </c>
      <c r="AE64" s="3">
        <v>0</v>
      </c>
      <c r="AF64" s="3">
        <v>0</v>
      </c>
      <c r="AG64" s="3">
        <v>0</v>
      </c>
      <c r="AH64" s="3">
        <v>0</v>
      </c>
      <c r="AI64" s="3">
        <v>0</v>
      </c>
      <c r="AJ64" s="3">
        <v>0</v>
      </c>
      <c r="AK64" s="3">
        <v>1</v>
      </c>
      <c r="AL64" s="3">
        <v>1</v>
      </c>
      <c r="AM64" s="2">
        <v>0</v>
      </c>
      <c r="AN64" s="2">
        <v>0</v>
      </c>
      <c r="AO64" s="2">
        <v>0</v>
      </c>
      <c r="AP64" s="3">
        <v>1</v>
      </c>
      <c r="AQ64" s="2">
        <v>0</v>
      </c>
      <c r="AR64" s="2">
        <v>0</v>
      </c>
      <c r="AS64" s="2">
        <v>0</v>
      </c>
      <c r="AT64" s="2">
        <v>0</v>
      </c>
      <c r="AU64" s="2">
        <v>0</v>
      </c>
      <c r="AV64" s="2">
        <v>0</v>
      </c>
      <c r="AW64" s="2">
        <v>0</v>
      </c>
      <c r="AX64" s="2">
        <v>0</v>
      </c>
      <c r="AY64" s="2" t="str">
        <f t="shared" si="0"/>
        <v>tunar062</v>
      </c>
      <c r="AZ64" s="3">
        <v>-1</v>
      </c>
      <c r="BA64" s="3">
        <v>2</v>
      </c>
      <c r="BB64" s="2"/>
    </row>
    <row r="65" spans="1:54" x14ac:dyDescent="0.3">
      <c r="A65" s="3" t="s">
        <v>159</v>
      </c>
      <c r="B65" s="3" t="s">
        <v>160</v>
      </c>
      <c r="C65" s="3">
        <v>100</v>
      </c>
      <c r="D65" s="3" t="s">
        <v>268</v>
      </c>
      <c r="E65" s="3">
        <v>3</v>
      </c>
      <c r="F65" s="3" t="s">
        <v>156</v>
      </c>
      <c r="G65" s="3">
        <v>4</v>
      </c>
      <c r="H65" s="3">
        <v>1</v>
      </c>
      <c r="I65" s="3">
        <v>1</v>
      </c>
      <c r="J65" s="2">
        <v>0</v>
      </c>
      <c r="K65" s="2">
        <v>0</v>
      </c>
      <c r="L65" s="3">
        <v>100</v>
      </c>
      <c r="M65" s="3">
        <v>-1</v>
      </c>
      <c r="N65" s="3">
        <v>2</v>
      </c>
      <c r="O65" s="3">
        <v>100</v>
      </c>
      <c r="P65" s="3">
        <v>-1</v>
      </c>
      <c r="Q65" s="3">
        <v>-1</v>
      </c>
      <c r="R65" s="2">
        <v>0</v>
      </c>
      <c r="S65" s="2">
        <v>0</v>
      </c>
      <c r="T65" s="3">
        <v>0</v>
      </c>
      <c r="U65" s="3">
        <v>1700</v>
      </c>
      <c r="V65" s="2">
        <v>0</v>
      </c>
      <c r="W65" s="3">
        <v>100</v>
      </c>
      <c r="X65" s="3">
        <v>200</v>
      </c>
      <c r="Y65" s="3">
        <v>99</v>
      </c>
      <c r="Z65" s="2">
        <v>50</v>
      </c>
      <c r="AA65" s="2">
        <v>50</v>
      </c>
      <c r="AB65" s="3">
        <v>180</v>
      </c>
      <c r="AC65" s="3">
        <v>0</v>
      </c>
      <c r="AD65" s="2">
        <v>-1</v>
      </c>
      <c r="AE65" s="3">
        <v>0</v>
      </c>
      <c r="AF65" s="3">
        <v>0</v>
      </c>
      <c r="AG65" s="3">
        <v>0</v>
      </c>
      <c r="AH65" s="3">
        <v>0</v>
      </c>
      <c r="AI65" s="3">
        <v>0</v>
      </c>
      <c r="AJ65" s="3">
        <v>0</v>
      </c>
      <c r="AK65" s="3">
        <v>1</v>
      </c>
      <c r="AL65" s="3">
        <v>1</v>
      </c>
      <c r="AM65" s="2">
        <v>0</v>
      </c>
      <c r="AN65" s="2">
        <v>0</v>
      </c>
      <c r="AO65" s="2">
        <v>0</v>
      </c>
      <c r="AP65" s="3">
        <v>1</v>
      </c>
      <c r="AQ65" s="2">
        <v>0</v>
      </c>
      <c r="AR65" s="2">
        <v>0</v>
      </c>
      <c r="AS65" s="2">
        <v>0</v>
      </c>
      <c r="AT65" s="2">
        <v>0</v>
      </c>
      <c r="AU65" s="2">
        <v>0</v>
      </c>
      <c r="AV65" s="2">
        <v>0</v>
      </c>
      <c r="AW65" s="2">
        <v>0</v>
      </c>
      <c r="AX65" s="2">
        <v>0</v>
      </c>
      <c r="AY65" s="2" t="str">
        <f t="shared" si="0"/>
        <v>tunar063</v>
      </c>
      <c r="AZ65" s="3">
        <v>-1</v>
      </c>
      <c r="BA65" s="3">
        <v>2</v>
      </c>
      <c r="BB65" s="2"/>
    </row>
    <row r="66" spans="1:54" x14ac:dyDescent="0.3">
      <c r="A66" s="3" t="s">
        <v>161</v>
      </c>
      <c r="B66" s="3" t="s">
        <v>162</v>
      </c>
      <c r="C66" s="3">
        <v>100</v>
      </c>
      <c r="D66" s="3" t="s">
        <v>268</v>
      </c>
      <c r="E66" s="3">
        <v>3</v>
      </c>
      <c r="F66" s="3" t="s">
        <v>156</v>
      </c>
      <c r="G66" s="3">
        <v>4</v>
      </c>
      <c r="H66" s="3">
        <v>1</v>
      </c>
      <c r="I66" s="3">
        <v>1</v>
      </c>
      <c r="J66" s="2">
        <v>0</v>
      </c>
      <c r="K66" s="2">
        <v>0</v>
      </c>
      <c r="L66" s="3">
        <v>100</v>
      </c>
      <c r="M66" s="3">
        <v>-1</v>
      </c>
      <c r="N66" s="3">
        <v>2</v>
      </c>
      <c r="O66" s="3">
        <v>100</v>
      </c>
      <c r="P66" s="3">
        <v>-1</v>
      </c>
      <c r="Q66" s="3">
        <v>-1</v>
      </c>
      <c r="R66" s="2">
        <v>0</v>
      </c>
      <c r="S66" s="2">
        <v>0</v>
      </c>
      <c r="T66" s="3">
        <v>0</v>
      </c>
      <c r="U66" s="3">
        <v>1700</v>
      </c>
      <c r="V66" s="2">
        <v>0</v>
      </c>
      <c r="W66" s="3">
        <v>200</v>
      </c>
      <c r="X66" s="3">
        <v>300</v>
      </c>
      <c r="Y66" s="3">
        <v>99</v>
      </c>
      <c r="Z66" s="2">
        <v>50</v>
      </c>
      <c r="AA66" s="2">
        <v>50</v>
      </c>
      <c r="AB66" s="3">
        <v>180</v>
      </c>
      <c r="AC66" s="3">
        <v>0</v>
      </c>
      <c r="AD66" s="2">
        <v>-1</v>
      </c>
      <c r="AE66" s="3">
        <v>0</v>
      </c>
      <c r="AF66" s="3">
        <v>0</v>
      </c>
      <c r="AG66" s="3">
        <v>0</v>
      </c>
      <c r="AH66" s="3">
        <v>0</v>
      </c>
      <c r="AI66" s="3">
        <v>0</v>
      </c>
      <c r="AJ66" s="3">
        <v>0</v>
      </c>
      <c r="AK66" s="3">
        <v>1</v>
      </c>
      <c r="AL66" s="3">
        <v>1</v>
      </c>
      <c r="AM66" s="2">
        <v>0</v>
      </c>
      <c r="AN66" s="2">
        <v>0</v>
      </c>
      <c r="AO66" s="2">
        <v>0</v>
      </c>
      <c r="AP66" s="3">
        <v>1</v>
      </c>
      <c r="AQ66" s="2">
        <v>0</v>
      </c>
      <c r="AR66" s="2">
        <v>0</v>
      </c>
      <c r="AS66" s="2">
        <v>0</v>
      </c>
      <c r="AT66" s="2">
        <v>0</v>
      </c>
      <c r="AU66" s="2">
        <v>0</v>
      </c>
      <c r="AV66" s="2">
        <v>0</v>
      </c>
      <c r="AW66" s="2">
        <v>0</v>
      </c>
      <c r="AX66" s="2">
        <v>0</v>
      </c>
      <c r="AY66" s="2" t="str">
        <f t="shared" si="0"/>
        <v>tunar064</v>
      </c>
      <c r="AZ66" s="3">
        <v>-1</v>
      </c>
      <c r="BA66" s="3">
        <v>2</v>
      </c>
      <c r="BB66" s="2"/>
    </row>
    <row r="67" spans="1:54" x14ac:dyDescent="0.3">
      <c r="A67" s="3" t="s">
        <v>163</v>
      </c>
      <c r="B67" s="3" t="s">
        <v>164</v>
      </c>
      <c r="C67" s="3">
        <v>100</v>
      </c>
      <c r="D67" s="3" t="s">
        <v>268</v>
      </c>
      <c r="E67" s="3">
        <v>3</v>
      </c>
      <c r="F67" s="3" t="s">
        <v>156</v>
      </c>
      <c r="G67" s="3">
        <v>4</v>
      </c>
      <c r="H67" s="3">
        <v>1</v>
      </c>
      <c r="I67" s="3">
        <v>1</v>
      </c>
      <c r="J67" s="2">
        <v>0</v>
      </c>
      <c r="K67" s="2">
        <v>0</v>
      </c>
      <c r="L67" s="3">
        <v>100</v>
      </c>
      <c r="M67" s="3">
        <v>-1</v>
      </c>
      <c r="N67" s="3">
        <v>2</v>
      </c>
      <c r="O67" s="3">
        <v>100</v>
      </c>
      <c r="P67" s="3">
        <v>-1</v>
      </c>
      <c r="Q67" s="3">
        <v>-1</v>
      </c>
      <c r="R67" s="2">
        <v>0</v>
      </c>
      <c r="S67" s="2">
        <v>0</v>
      </c>
      <c r="T67" s="3">
        <v>0</v>
      </c>
      <c r="U67" s="3">
        <v>1700</v>
      </c>
      <c r="V67" s="2">
        <v>0</v>
      </c>
      <c r="W67" s="3">
        <v>100</v>
      </c>
      <c r="X67" s="3">
        <v>200</v>
      </c>
      <c r="Y67" s="3">
        <v>99</v>
      </c>
      <c r="Z67" s="2">
        <v>50</v>
      </c>
      <c r="AA67" s="2">
        <v>50</v>
      </c>
      <c r="AB67" s="3">
        <v>180</v>
      </c>
      <c r="AC67" s="3">
        <v>0</v>
      </c>
      <c r="AD67" s="2">
        <v>-1</v>
      </c>
      <c r="AE67" s="3">
        <v>0</v>
      </c>
      <c r="AF67" s="3">
        <v>0</v>
      </c>
      <c r="AG67" s="3">
        <v>0</v>
      </c>
      <c r="AH67" s="3">
        <v>0</v>
      </c>
      <c r="AI67" s="3">
        <v>0</v>
      </c>
      <c r="AJ67" s="3">
        <v>0</v>
      </c>
      <c r="AK67" s="3">
        <v>1</v>
      </c>
      <c r="AL67" s="3">
        <v>1</v>
      </c>
      <c r="AM67" s="2">
        <v>0</v>
      </c>
      <c r="AN67" s="2">
        <v>0</v>
      </c>
      <c r="AO67" s="2">
        <v>0</v>
      </c>
      <c r="AP67" s="3">
        <v>1</v>
      </c>
      <c r="AQ67" s="2">
        <v>0</v>
      </c>
      <c r="AR67" s="2">
        <v>0</v>
      </c>
      <c r="AS67" s="2">
        <v>0</v>
      </c>
      <c r="AT67" s="2">
        <v>0</v>
      </c>
      <c r="AU67" s="2">
        <v>0</v>
      </c>
      <c r="AV67" s="2">
        <v>0</v>
      </c>
      <c r="AW67" s="2">
        <v>0</v>
      </c>
      <c r="AX67" s="2">
        <v>0</v>
      </c>
      <c r="AY67" s="2" t="str">
        <f t="shared" si="0"/>
        <v>tunar065</v>
      </c>
      <c r="AZ67" s="3">
        <v>-1</v>
      </c>
      <c r="BA67" s="3">
        <v>2</v>
      </c>
      <c r="BB67" s="2"/>
    </row>
    <row r="68" spans="1:54" x14ac:dyDescent="0.3">
      <c r="A68" s="3" t="s">
        <v>165</v>
      </c>
      <c r="B68" s="3" t="s">
        <v>166</v>
      </c>
      <c r="C68" s="3">
        <v>100</v>
      </c>
      <c r="D68" s="3" t="s">
        <v>268</v>
      </c>
      <c r="E68" s="3">
        <v>3</v>
      </c>
      <c r="F68" s="3" t="s">
        <v>156</v>
      </c>
      <c r="G68" s="3">
        <v>4</v>
      </c>
      <c r="H68" s="3">
        <v>1</v>
      </c>
      <c r="I68" s="3">
        <v>1</v>
      </c>
      <c r="J68" s="2">
        <v>0</v>
      </c>
      <c r="K68" s="2">
        <v>0</v>
      </c>
      <c r="L68" s="3">
        <v>100</v>
      </c>
      <c r="M68" s="3">
        <v>-1</v>
      </c>
      <c r="N68" s="3">
        <v>2</v>
      </c>
      <c r="O68" s="3">
        <v>100</v>
      </c>
      <c r="P68" s="3">
        <v>-1</v>
      </c>
      <c r="Q68" s="3">
        <v>-1</v>
      </c>
      <c r="R68" s="2">
        <v>0</v>
      </c>
      <c r="S68" s="2">
        <v>0</v>
      </c>
      <c r="T68" s="3">
        <v>0</v>
      </c>
      <c r="U68" s="3">
        <v>1700</v>
      </c>
      <c r="V68" s="2">
        <v>0</v>
      </c>
      <c r="W68" s="3">
        <v>200</v>
      </c>
      <c r="X68" s="3">
        <v>300</v>
      </c>
      <c r="Y68" s="3">
        <v>99</v>
      </c>
      <c r="Z68" s="2">
        <v>50</v>
      </c>
      <c r="AA68" s="2">
        <v>50</v>
      </c>
      <c r="AB68" s="3">
        <v>180</v>
      </c>
      <c r="AC68" s="3">
        <v>0</v>
      </c>
      <c r="AD68" s="2">
        <v>-1</v>
      </c>
      <c r="AE68" s="3">
        <v>0</v>
      </c>
      <c r="AF68" s="3">
        <v>0</v>
      </c>
      <c r="AG68" s="3">
        <v>0</v>
      </c>
      <c r="AH68" s="3">
        <v>0</v>
      </c>
      <c r="AI68" s="3">
        <v>0</v>
      </c>
      <c r="AJ68" s="3">
        <v>0</v>
      </c>
      <c r="AK68" s="3">
        <v>1</v>
      </c>
      <c r="AL68" s="3">
        <v>1</v>
      </c>
      <c r="AM68" s="2">
        <v>0</v>
      </c>
      <c r="AN68" s="2">
        <v>0</v>
      </c>
      <c r="AO68" s="2">
        <v>0</v>
      </c>
      <c r="AP68" s="3">
        <v>1</v>
      </c>
      <c r="AQ68" s="2">
        <v>0</v>
      </c>
      <c r="AR68" s="2">
        <v>0</v>
      </c>
      <c r="AS68" s="2">
        <v>0</v>
      </c>
      <c r="AT68" s="2">
        <v>0</v>
      </c>
      <c r="AU68" s="2">
        <v>0</v>
      </c>
      <c r="AV68" s="2">
        <v>0</v>
      </c>
      <c r="AW68" s="2">
        <v>0</v>
      </c>
      <c r="AX68" s="2">
        <v>0</v>
      </c>
      <c r="AY68" s="2" t="str">
        <f t="shared" ref="AY68:AY82" si="1">"t"&amp;A68</f>
        <v>tunar066</v>
      </c>
      <c r="AZ68" s="3">
        <v>-1</v>
      </c>
      <c r="BA68" s="3">
        <v>2</v>
      </c>
      <c r="BB68" s="2"/>
    </row>
    <row r="69" spans="1:54" x14ac:dyDescent="0.3">
      <c r="A69" s="3" t="s">
        <v>167</v>
      </c>
      <c r="B69" s="3" t="s">
        <v>168</v>
      </c>
      <c r="C69" s="3">
        <v>100</v>
      </c>
      <c r="D69" s="3" t="s">
        <v>268</v>
      </c>
      <c r="E69" s="3">
        <v>3</v>
      </c>
      <c r="F69" s="3" t="s">
        <v>156</v>
      </c>
      <c r="G69" s="3">
        <v>4</v>
      </c>
      <c r="H69" s="3">
        <v>1</v>
      </c>
      <c r="I69" s="3">
        <v>1</v>
      </c>
      <c r="J69" s="2">
        <v>0</v>
      </c>
      <c r="K69" s="2">
        <v>0</v>
      </c>
      <c r="L69" s="3">
        <v>100</v>
      </c>
      <c r="M69" s="3">
        <v>-1</v>
      </c>
      <c r="N69" s="3">
        <v>2</v>
      </c>
      <c r="O69" s="3">
        <v>100</v>
      </c>
      <c r="P69" s="3">
        <v>-1</v>
      </c>
      <c r="Q69" s="3">
        <v>-1</v>
      </c>
      <c r="R69" s="2">
        <v>0</v>
      </c>
      <c r="S69" s="2">
        <v>0</v>
      </c>
      <c r="T69" s="3">
        <v>0</v>
      </c>
      <c r="U69" s="3">
        <v>1700</v>
      </c>
      <c r="V69" s="2">
        <v>0</v>
      </c>
      <c r="W69" s="3">
        <v>100</v>
      </c>
      <c r="X69" s="3">
        <v>200</v>
      </c>
      <c r="Y69" s="3">
        <v>99</v>
      </c>
      <c r="Z69" s="2">
        <v>50</v>
      </c>
      <c r="AA69" s="2">
        <v>50</v>
      </c>
      <c r="AB69" s="3">
        <v>180</v>
      </c>
      <c r="AC69" s="3">
        <v>0</v>
      </c>
      <c r="AD69" s="2">
        <v>-1</v>
      </c>
      <c r="AE69" s="3">
        <v>0</v>
      </c>
      <c r="AF69" s="3">
        <v>0</v>
      </c>
      <c r="AG69" s="3">
        <v>0</v>
      </c>
      <c r="AH69" s="3">
        <v>0</v>
      </c>
      <c r="AI69" s="3">
        <v>0</v>
      </c>
      <c r="AJ69" s="3">
        <v>0</v>
      </c>
      <c r="AK69" s="3">
        <v>1</v>
      </c>
      <c r="AL69" s="3">
        <v>1</v>
      </c>
      <c r="AM69" s="2">
        <v>0</v>
      </c>
      <c r="AN69" s="2">
        <v>0</v>
      </c>
      <c r="AO69" s="2">
        <v>0</v>
      </c>
      <c r="AP69" s="3">
        <v>1</v>
      </c>
      <c r="AQ69" s="2">
        <v>0</v>
      </c>
      <c r="AR69" s="2">
        <v>0</v>
      </c>
      <c r="AS69" s="2">
        <v>0</v>
      </c>
      <c r="AT69" s="2">
        <v>0</v>
      </c>
      <c r="AU69" s="2">
        <v>0</v>
      </c>
      <c r="AV69" s="2">
        <v>0</v>
      </c>
      <c r="AW69" s="2">
        <v>0</v>
      </c>
      <c r="AX69" s="2">
        <v>0</v>
      </c>
      <c r="AY69" s="2" t="str">
        <f t="shared" si="1"/>
        <v>tunar067</v>
      </c>
      <c r="AZ69" s="3">
        <v>-1</v>
      </c>
      <c r="BA69" s="3">
        <v>2</v>
      </c>
      <c r="BB69" s="2"/>
    </row>
    <row r="70" spans="1:54" x14ac:dyDescent="0.3">
      <c r="A70" s="3" t="s">
        <v>169</v>
      </c>
      <c r="B70" s="3" t="s">
        <v>170</v>
      </c>
      <c r="C70" s="3">
        <v>100</v>
      </c>
      <c r="D70" s="3" t="s">
        <v>268</v>
      </c>
      <c r="E70" s="3">
        <v>3</v>
      </c>
      <c r="F70" s="3" t="s">
        <v>156</v>
      </c>
      <c r="G70" s="3">
        <v>4</v>
      </c>
      <c r="H70" s="3">
        <v>1</v>
      </c>
      <c r="I70" s="3">
        <v>1</v>
      </c>
      <c r="J70" s="2">
        <v>0</v>
      </c>
      <c r="K70" s="2">
        <v>0</v>
      </c>
      <c r="L70" s="3">
        <v>100</v>
      </c>
      <c r="M70" s="3">
        <v>-1</v>
      </c>
      <c r="N70" s="3">
        <v>2</v>
      </c>
      <c r="O70" s="3">
        <v>100</v>
      </c>
      <c r="P70" s="3">
        <v>-1</v>
      </c>
      <c r="Q70" s="3">
        <v>-1</v>
      </c>
      <c r="R70" s="2">
        <v>0</v>
      </c>
      <c r="S70" s="2">
        <v>0</v>
      </c>
      <c r="T70" s="3">
        <v>0</v>
      </c>
      <c r="U70" s="3">
        <v>1700</v>
      </c>
      <c r="V70" s="2">
        <v>0</v>
      </c>
      <c r="W70" s="3">
        <v>200</v>
      </c>
      <c r="X70" s="3">
        <v>300</v>
      </c>
      <c r="Y70" s="3">
        <v>99</v>
      </c>
      <c r="Z70" s="2">
        <v>50</v>
      </c>
      <c r="AA70" s="2">
        <v>50</v>
      </c>
      <c r="AB70" s="3">
        <v>180</v>
      </c>
      <c r="AC70" s="3">
        <v>0</v>
      </c>
      <c r="AD70" s="2">
        <v>-1</v>
      </c>
      <c r="AE70" s="3">
        <v>0</v>
      </c>
      <c r="AF70" s="3">
        <v>0</v>
      </c>
      <c r="AG70" s="3">
        <v>0</v>
      </c>
      <c r="AH70" s="3">
        <v>0</v>
      </c>
      <c r="AI70" s="3">
        <v>0</v>
      </c>
      <c r="AJ70" s="3">
        <v>0</v>
      </c>
      <c r="AK70" s="3">
        <v>1</v>
      </c>
      <c r="AL70" s="3">
        <v>1</v>
      </c>
      <c r="AM70" s="2">
        <v>0</v>
      </c>
      <c r="AN70" s="2">
        <v>0</v>
      </c>
      <c r="AO70" s="2">
        <v>0</v>
      </c>
      <c r="AP70" s="3">
        <v>1</v>
      </c>
      <c r="AQ70" s="2">
        <v>0</v>
      </c>
      <c r="AR70" s="2">
        <v>0</v>
      </c>
      <c r="AS70" s="2">
        <v>0</v>
      </c>
      <c r="AT70" s="2">
        <v>0</v>
      </c>
      <c r="AU70" s="2">
        <v>0</v>
      </c>
      <c r="AV70" s="2">
        <v>0</v>
      </c>
      <c r="AW70" s="2">
        <v>0</v>
      </c>
      <c r="AX70" s="2">
        <v>0</v>
      </c>
      <c r="AY70" s="2" t="str">
        <f t="shared" si="1"/>
        <v>tunar068</v>
      </c>
      <c r="AZ70" s="3">
        <v>-1</v>
      </c>
      <c r="BA70" s="3">
        <v>2</v>
      </c>
      <c r="BB70" s="2"/>
    </row>
    <row r="71" spans="1:54" x14ac:dyDescent="0.3">
      <c r="A71" s="3" t="s">
        <v>171</v>
      </c>
      <c r="B71" s="3" t="s">
        <v>172</v>
      </c>
      <c r="C71" s="3">
        <v>100</v>
      </c>
      <c r="D71" s="3" t="s">
        <v>268</v>
      </c>
      <c r="E71" s="3">
        <v>3</v>
      </c>
      <c r="F71" s="3" t="s">
        <v>156</v>
      </c>
      <c r="G71" s="3">
        <v>4</v>
      </c>
      <c r="H71" s="3">
        <v>1</v>
      </c>
      <c r="I71" s="3">
        <v>1</v>
      </c>
      <c r="J71" s="2">
        <v>0</v>
      </c>
      <c r="K71" s="2">
        <v>0</v>
      </c>
      <c r="L71" s="3">
        <v>100</v>
      </c>
      <c r="M71" s="3">
        <v>-1</v>
      </c>
      <c r="N71" s="3">
        <v>2</v>
      </c>
      <c r="O71" s="3">
        <v>100</v>
      </c>
      <c r="P71" s="3">
        <v>-1</v>
      </c>
      <c r="Q71" s="3">
        <v>-1</v>
      </c>
      <c r="R71" s="2">
        <v>0</v>
      </c>
      <c r="S71" s="2">
        <v>0</v>
      </c>
      <c r="T71" s="3">
        <v>0</v>
      </c>
      <c r="U71" s="3">
        <v>1700</v>
      </c>
      <c r="V71" s="2">
        <v>0</v>
      </c>
      <c r="W71" s="3">
        <v>100</v>
      </c>
      <c r="X71" s="3">
        <v>200</v>
      </c>
      <c r="Y71" s="3">
        <v>99</v>
      </c>
      <c r="Z71" s="2">
        <v>50</v>
      </c>
      <c r="AA71" s="2">
        <v>50</v>
      </c>
      <c r="AB71" s="3">
        <v>180</v>
      </c>
      <c r="AC71" s="3">
        <v>0</v>
      </c>
      <c r="AD71" s="2">
        <v>-1</v>
      </c>
      <c r="AE71" s="3">
        <v>0</v>
      </c>
      <c r="AF71" s="3">
        <v>0</v>
      </c>
      <c r="AG71" s="3">
        <v>0</v>
      </c>
      <c r="AH71" s="3">
        <v>0</v>
      </c>
      <c r="AI71" s="3">
        <v>0</v>
      </c>
      <c r="AJ71" s="3">
        <v>0</v>
      </c>
      <c r="AK71" s="3">
        <v>1</v>
      </c>
      <c r="AL71" s="3">
        <v>1</v>
      </c>
      <c r="AM71" s="2">
        <v>0</v>
      </c>
      <c r="AN71" s="2">
        <v>0</v>
      </c>
      <c r="AO71" s="2">
        <v>0</v>
      </c>
      <c r="AP71" s="3">
        <v>1</v>
      </c>
      <c r="AQ71" s="2">
        <v>0</v>
      </c>
      <c r="AR71" s="2">
        <v>0</v>
      </c>
      <c r="AS71" s="2">
        <v>0</v>
      </c>
      <c r="AT71" s="2">
        <v>0</v>
      </c>
      <c r="AU71" s="2">
        <v>0</v>
      </c>
      <c r="AV71" s="2">
        <v>0</v>
      </c>
      <c r="AW71" s="2">
        <v>0</v>
      </c>
      <c r="AX71" s="2">
        <v>0</v>
      </c>
      <c r="AY71" s="2" t="str">
        <f t="shared" si="1"/>
        <v>tunar069</v>
      </c>
      <c r="AZ71" s="3">
        <v>-1</v>
      </c>
      <c r="BA71" s="3">
        <v>2</v>
      </c>
      <c r="BB71" s="2"/>
    </row>
    <row r="72" spans="1:54" x14ac:dyDescent="0.3">
      <c r="A72" s="3" t="s">
        <v>173</v>
      </c>
      <c r="B72" s="3" t="s">
        <v>174</v>
      </c>
      <c r="C72" s="3">
        <v>100</v>
      </c>
      <c r="D72" s="3" t="s">
        <v>268</v>
      </c>
      <c r="E72" s="3">
        <v>3</v>
      </c>
      <c r="F72" s="3" t="s">
        <v>156</v>
      </c>
      <c r="G72" s="3">
        <v>4</v>
      </c>
      <c r="H72" s="3">
        <v>1</v>
      </c>
      <c r="I72" s="3">
        <v>1</v>
      </c>
      <c r="J72" s="2">
        <v>0</v>
      </c>
      <c r="K72" s="2">
        <v>0</v>
      </c>
      <c r="L72" s="3">
        <v>100</v>
      </c>
      <c r="M72" s="3">
        <v>-1</v>
      </c>
      <c r="N72" s="3">
        <v>2</v>
      </c>
      <c r="O72" s="3">
        <v>100</v>
      </c>
      <c r="P72" s="3">
        <v>-1</v>
      </c>
      <c r="Q72" s="3">
        <v>-1</v>
      </c>
      <c r="R72" s="2">
        <v>0</v>
      </c>
      <c r="S72" s="2">
        <v>0</v>
      </c>
      <c r="T72" s="3">
        <v>0</v>
      </c>
      <c r="U72" s="3">
        <v>1700</v>
      </c>
      <c r="V72" s="2">
        <v>0</v>
      </c>
      <c r="W72" s="3">
        <v>200</v>
      </c>
      <c r="X72" s="3">
        <v>300</v>
      </c>
      <c r="Y72" s="3">
        <v>99</v>
      </c>
      <c r="Z72" s="2">
        <v>50</v>
      </c>
      <c r="AA72" s="2">
        <v>50</v>
      </c>
      <c r="AB72" s="3">
        <v>180</v>
      </c>
      <c r="AC72" s="3">
        <v>0</v>
      </c>
      <c r="AD72" s="2">
        <v>-1</v>
      </c>
      <c r="AE72" s="3">
        <v>0</v>
      </c>
      <c r="AF72" s="3">
        <v>0</v>
      </c>
      <c r="AG72" s="3">
        <v>0</v>
      </c>
      <c r="AH72" s="3">
        <v>0</v>
      </c>
      <c r="AI72" s="3">
        <v>0</v>
      </c>
      <c r="AJ72" s="3">
        <v>0</v>
      </c>
      <c r="AK72" s="3">
        <v>1</v>
      </c>
      <c r="AL72" s="3">
        <v>1</v>
      </c>
      <c r="AM72" s="2">
        <v>0</v>
      </c>
      <c r="AN72" s="2">
        <v>0</v>
      </c>
      <c r="AO72" s="2">
        <v>0</v>
      </c>
      <c r="AP72" s="3">
        <v>1</v>
      </c>
      <c r="AQ72" s="2">
        <v>0</v>
      </c>
      <c r="AR72" s="2">
        <v>0</v>
      </c>
      <c r="AS72" s="2">
        <v>0</v>
      </c>
      <c r="AT72" s="2">
        <v>0</v>
      </c>
      <c r="AU72" s="2">
        <v>0</v>
      </c>
      <c r="AV72" s="2">
        <v>0</v>
      </c>
      <c r="AW72" s="2">
        <v>0</v>
      </c>
      <c r="AX72" s="2">
        <v>0</v>
      </c>
      <c r="AY72" s="2" t="str">
        <f t="shared" si="1"/>
        <v>tunar070</v>
      </c>
      <c r="AZ72" s="3">
        <v>-1</v>
      </c>
      <c r="BA72" s="3">
        <v>2</v>
      </c>
      <c r="BB72" s="2"/>
    </row>
    <row r="73" spans="1:54" x14ac:dyDescent="0.3">
      <c r="A73" s="3" t="s">
        <v>175</v>
      </c>
      <c r="B73" s="3" t="s">
        <v>176</v>
      </c>
      <c r="C73" s="3">
        <v>100</v>
      </c>
      <c r="D73" s="3" t="s">
        <v>268</v>
      </c>
      <c r="E73" s="3">
        <v>3</v>
      </c>
      <c r="F73" s="3" t="s">
        <v>156</v>
      </c>
      <c r="G73" s="3">
        <v>4</v>
      </c>
      <c r="H73" s="3">
        <v>1</v>
      </c>
      <c r="I73" s="3">
        <v>1</v>
      </c>
      <c r="J73" s="2">
        <v>0</v>
      </c>
      <c r="K73" s="2">
        <v>0</v>
      </c>
      <c r="L73" s="3">
        <v>100</v>
      </c>
      <c r="M73" s="3">
        <v>-1</v>
      </c>
      <c r="N73" s="3">
        <v>2</v>
      </c>
      <c r="O73" s="3">
        <v>100</v>
      </c>
      <c r="P73" s="3">
        <v>-1</v>
      </c>
      <c r="Q73" s="3">
        <v>-1</v>
      </c>
      <c r="R73" s="2">
        <v>0</v>
      </c>
      <c r="S73" s="2">
        <v>0</v>
      </c>
      <c r="T73" s="3">
        <v>0</v>
      </c>
      <c r="U73" s="3">
        <v>1700</v>
      </c>
      <c r="V73" s="2">
        <v>0</v>
      </c>
      <c r="W73" s="3">
        <v>916</v>
      </c>
      <c r="X73" s="3">
        <v>996</v>
      </c>
      <c r="Y73" s="3">
        <v>49</v>
      </c>
      <c r="Z73" s="2">
        <v>50</v>
      </c>
      <c r="AA73" s="2">
        <v>50</v>
      </c>
      <c r="AB73" s="3">
        <v>180</v>
      </c>
      <c r="AC73" s="3">
        <v>0</v>
      </c>
      <c r="AD73" s="2">
        <v>-1</v>
      </c>
      <c r="AE73" s="3">
        <v>0</v>
      </c>
      <c r="AF73" s="3">
        <v>0</v>
      </c>
      <c r="AG73" s="3">
        <v>0</v>
      </c>
      <c r="AH73" s="3">
        <v>0</v>
      </c>
      <c r="AI73" s="3">
        <v>0</v>
      </c>
      <c r="AJ73" s="3">
        <v>0</v>
      </c>
      <c r="AK73" s="3">
        <v>1</v>
      </c>
      <c r="AL73" s="3">
        <v>1</v>
      </c>
      <c r="AM73" s="2">
        <v>0</v>
      </c>
      <c r="AN73" s="2">
        <v>0</v>
      </c>
      <c r="AO73" s="2">
        <v>0</v>
      </c>
      <c r="AP73" s="3">
        <v>1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2">
        <v>0</v>
      </c>
      <c r="AX73" s="2">
        <v>0</v>
      </c>
      <c r="AY73" s="2" t="str">
        <f t="shared" si="1"/>
        <v>tunar071</v>
      </c>
      <c r="AZ73" s="3">
        <v>-1</v>
      </c>
      <c r="BA73" s="3">
        <v>2</v>
      </c>
      <c r="BB73" s="2"/>
    </row>
    <row r="74" spans="1:54" x14ac:dyDescent="0.3">
      <c r="A74" s="3" t="s">
        <v>177</v>
      </c>
      <c r="B74" s="3" t="s">
        <v>178</v>
      </c>
      <c r="C74" s="3">
        <v>100</v>
      </c>
      <c r="D74" s="3" t="s">
        <v>268</v>
      </c>
      <c r="E74" s="3">
        <v>3</v>
      </c>
      <c r="F74" s="3" t="s">
        <v>156</v>
      </c>
      <c r="G74" s="3">
        <v>4</v>
      </c>
      <c r="H74" s="3">
        <v>1</v>
      </c>
      <c r="I74" s="3">
        <v>1</v>
      </c>
      <c r="J74" s="2">
        <v>0</v>
      </c>
      <c r="K74" s="2">
        <v>0</v>
      </c>
      <c r="L74" s="3">
        <v>100</v>
      </c>
      <c r="M74" s="3">
        <v>-1</v>
      </c>
      <c r="N74" s="3">
        <v>2</v>
      </c>
      <c r="O74" s="3">
        <v>100</v>
      </c>
      <c r="P74" s="3">
        <v>-1</v>
      </c>
      <c r="Q74" s="3">
        <v>-1</v>
      </c>
      <c r="R74" s="2">
        <v>0</v>
      </c>
      <c r="S74" s="2">
        <v>0</v>
      </c>
      <c r="T74" s="3">
        <v>0</v>
      </c>
      <c r="U74" s="3">
        <v>1700</v>
      </c>
      <c r="V74" s="2">
        <v>0</v>
      </c>
      <c r="W74" s="3">
        <v>200</v>
      </c>
      <c r="X74" s="3">
        <v>300</v>
      </c>
      <c r="Y74" s="3">
        <v>99</v>
      </c>
      <c r="Z74" s="2">
        <v>50</v>
      </c>
      <c r="AA74" s="2">
        <v>50</v>
      </c>
      <c r="AB74" s="3">
        <v>180</v>
      </c>
      <c r="AC74" s="3">
        <v>0</v>
      </c>
      <c r="AD74" s="2">
        <v>-1</v>
      </c>
      <c r="AE74" s="3">
        <v>0</v>
      </c>
      <c r="AF74" s="3">
        <v>0</v>
      </c>
      <c r="AG74" s="3">
        <v>0</v>
      </c>
      <c r="AH74" s="3">
        <v>0</v>
      </c>
      <c r="AI74" s="3">
        <v>0</v>
      </c>
      <c r="AJ74" s="3">
        <v>0</v>
      </c>
      <c r="AK74" s="3">
        <v>1</v>
      </c>
      <c r="AL74" s="3">
        <v>1</v>
      </c>
      <c r="AM74" s="2">
        <v>0</v>
      </c>
      <c r="AN74" s="2">
        <v>0</v>
      </c>
      <c r="AO74" s="2">
        <v>0</v>
      </c>
      <c r="AP74" s="3">
        <v>1</v>
      </c>
      <c r="AQ74" s="2">
        <v>0</v>
      </c>
      <c r="AR74" s="2">
        <v>0</v>
      </c>
      <c r="AS74" s="2">
        <v>0</v>
      </c>
      <c r="AT74" s="2">
        <v>0</v>
      </c>
      <c r="AU74" s="2">
        <v>0</v>
      </c>
      <c r="AV74" s="2">
        <v>0</v>
      </c>
      <c r="AW74" s="2">
        <v>0</v>
      </c>
      <c r="AX74" s="2">
        <v>0</v>
      </c>
      <c r="AY74" s="2" t="str">
        <f t="shared" si="1"/>
        <v>tunar072</v>
      </c>
      <c r="AZ74" s="3">
        <v>-1</v>
      </c>
      <c r="BA74" s="3">
        <v>2</v>
      </c>
      <c r="BB74" s="2"/>
    </row>
    <row r="75" spans="1:54" x14ac:dyDescent="0.3">
      <c r="A75" s="3" t="s">
        <v>179</v>
      </c>
      <c r="B75" s="3" t="s">
        <v>180</v>
      </c>
      <c r="C75" s="3">
        <v>100</v>
      </c>
      <c r="D75" s="3" t="s">
        <v>268</v>
      </c>
      <c r="E75" s="3">
        <v>3</v>
      </c>
      <c r="F75" s="3" t="s">
        <v>156</v>
      </c>
      <c r="G75" s="3">
        <v>4</v>
      </c>
      <c r="H75" s="3">
        <v>1</v>
      </c>
      <c r="I75" s="3">
        <v>1</v>
      </c>
      <c r="J75" s="2">
        <v>0</v>
      </c>
      <c r="K75" s="2">
        <v>0</v>
      </c>
      <c r="L75" s="3">
        <v>100</v>
      </c>
      <c r="M75" s="3">
        <v>-1</v>
      </c>
      <c r="N75" s="3">
        <v>2</v>
      </c>
      <c r="O75" s="3">
        <v>100</v>
      </c>
      <c r="P75" s="3">
        <v>-1</v>
      </c>
      <c r="Q75" s="3">
        <v>-1</v>
      </c>
      <c r="R75" s="2">
        <v>0</v>
      </c>
      <c r="S75" s="2">
        <v>0</v>
      </c>
      <c r="T75" s="3">
        <v>0</v>
      </c>
      <c r="U75" s="3">
        <v>1700</v>
      </c>
      <c r="V75" s="2">
        <v>0</v>
      </c>
      <c r="W75" s="3">
        <v>100</v>
      </c>
      <c r="X75" s="3">
        <v>200</v>
      </c>
      <c r="Y75" s="3">
        <v>99</v>
      </c>
      <c r="Z75" s="2">
        <v>50</v>
      </c>
      <c r="AA75" s="2">
        <v>50</v>
      </c>
      <c r="AB75" s="3">
        <v>180</v>
      </c>
      <c r="AC75" s="3">
        <v>0</v>
      </c>
      <c r="AD75" s="2">
        <v>-1</v>
      </c>
      <c r="AE75" s="3">
        <v>0</v>
      </c>
      <c r="AF75" s="3">
        <v>0</v>
      </c>
      <c r="AG75" s="3">
        <v>0</v>
      </c>
      <c r="AH75" s="3">
        <v>0</v>
      </c>
      <c r="AI75" s="3">
        <v>0</v>
      </c>
      <c r="AJ75" s="3">
        <v>0</v>
      </c>
      <c r="AK75" s="3">
        <v>1</v>
      </c>
      <c r="AL75" s="3">
        <v>1</v>
      </c>
      <c r="AM75" s="2">
        <v>0</v>
      </c>
      <c r="AN75" s="2">
        <v>0</v>
      </c>
      <c r="AO75" s="2">
        <v>0</v>
      </c>
      <c r="AP75" s="3">
        <v>1</v>
      </c>
      <c r="AQ75" s="2">
        <v>0</v>
      </c>
      <c r="AR75" s="2">
        <v>0</v>
      </c>
      <c r="AS75" s="2">
        <v>0</v>
      </c>
      <c r="AT75" s="2">
        <v>0</v>
      </c>
      <c r="AU75" s="2">
        <v>0</v>
      </c>
      <c r="AV75" s="2">
        <v>0</v>
      </c>
      <c r="AW75" s="2">
        <v>0</v>
      </c>
      <c r="AX75" s="2">
        <v>0</v>
      </c>
      <c r="AY75" s="2" t="str">
        <f t="shared" si="1"/>
        <v>tunar073</v>
      </c>
      <c r="AZ75" s="3">
        <v>-1</v>
      </c>
      <c r="BA75" s="3">
        <v>2</v>
      </c>
      <c r="BB75" s="2"/>
    </row>
    <row r="76" spans="1:54" x14ac:dyDescent="0.3">
      <c r="A76" s="3" t="s">
        <v>181</v>
      </c>
      <c r="B76" s="3" t="s">
        <v>182</v>
      </c>
      <c r="C76" s="3">
        <v>100</v>
      </c>
      <c r="D76" s="3" t="s">
        <v>268</v>
      </c>
      <c r="E76" s="3">
        <v>3</v>
      </c>
      <c r="F76" s="3" t="s">
        <v>156</v>
      </c>
      <c r="G76" s="3">
        <v>4</v>
      </c>
      <c r="H76" s="3">
        <v>1</v>
      </c>
      <c r="I76" s="3">
        <v>1</v>
      </c>
      <c r="J76" s="2">
        <v>0</v>
      </c>
      <c r="K76" s="2">
        <v>0</v>
      </c>
      <c r="L76" s="3">
        <v>100</v>
      </c>
      <c r="M76" s="3">
        <v>-1</v>
      </c>
      <c r="N76" s="3">
        <v>2</v>
      </c>
      <c r="O76" s="3">
        <v>100</v>
      </c>
      <c r="P76" s="3">
        <v>-1</v>
      </c>
      <c r="Q76" s="3">
        <v>-1</v>
      </c>
      <c r="R76" s="2">
        <v>0</v>
      </c>
      <c r="S76" s="2">
        <v>0</v>
      </c>
      <c r="T76" s="3">
        <v>0</v>
      </c>
      <c r="U76" s="3">
        <v>1700</v>
      </c>
      <c r="V76" s="2">
        <v>0</v>
      </c>
      <c r="W76" s="3">
        <v>200</v>
      </c>
      <c r="X76" s="3">
        <v>300</v>
      </c>
      <c r="Y76" s="3">
        <v>99</v>
      </c>
      <c r="Z76" s="2">
        <v>50</v>
      </c>
      <c r="AA76" s="2">
        <v>50</v>
      </c>
      <c r="AB76" s="3">
        <v>180</v>
      </c>
      <c r="AC76" s="3">
        <v>0</v>
      </c>
      <c r="AD76" s="2">
        <v>-1</v>
      </c>
      <c r="AE76" s="3">
        <v>0</v>
      </c>
      <c r="AF76" s="3">
        <v>0</v>
      </c>
      <c r="AG76" s="3">
        <v>0</v>
      </c>
      <c r="AH76" s="3">
        <v>0</v>
      </c>
      <c r="AI76" s="3">
        <v>0</v>
      </c>
      <c r="AJ76" s="3">
        <v>0</v>
      </c>
      <c r="AK76" s="3">
        <v>1</v>
      </c>
      <c r="AL76" s="3">
        <v>1</v>
      </c>
      <c r="AM76" s="2">
        <v>0</v>
      </c>
      <c r="AN76" s="2">
        <v>0</v>
      </c>
      <c r="AO76" s="2">
        <v>0</v>
      </c>
      <c r="AP76" s="3">
        <v>1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2">
        <v>0</v>
      </c>
      <c r="AX76" s="2">
        <v>0</v>
      </c>
      <c r="AY76" s="2" t="str">
        <f t="shared" si="1"/>
        <v>tunar074</v>
      </c>
      <c r="AZ76" s="3">
        <v>-1</v>
      </c>
      <c r="BA76" s="3">
        <v>2</v>
      </c>
      <c r="BB76" s="2"/>
    </row>
    <row r="77" spans="1:54" x14ac:dyDescent="0.3">
      <c r="A77" s="3" t="s">
        <v>183</v>
      </c>
      <c r="B77" s="3" t="s">
        <v>184</v>
      </c>
      <c r="C77" s="3">
        <v>100</v>
      </c>
      <c r="D77" s="3" t="s">
        <v>268</v>
      </c>
      <c r="E77" s="3">
        <v>3</v>
      </c>
      <c r="F77" s="3" t="s">
        <v>156</v>
      </c>
      <c r="G77" s="3">
        <v>4</v>
      </c>
      <c r="H77" s="3">
        <v>1</v>
      </c>
      <c r="I77" s="3">
        <v>1</v>
      </c>
      <c r="J77" s="2">
        <v>0</v>
      </c>
      <c r="K77" s="2">
        <v>0</v>
      </c>
      <c r="L77" s="3">
        <v>100</v>
      </c>
      <c r="M77" s="3">
        <v>-1</v>
      </c>
      <c r="N77" s="3">
        <v>2</v>
      </c>
      <c r="O77" s="3">
        <v>100</v>
      </c>
      <c r="P77" s="3">
        <v>-1</v>
      </c>
      <c r="Q77" s="3">
        <v>-1</v>
      </c>
      <c r="R77" s="2">
        <v>0</v>
      </c>
      <c r="S77" s="2">
        <v>0</v>
      </c>
      <c r="T77" s="3">
        <v>0</v>
      </c>
      <c r="U77" s="3">
        <v>1700</v>
      </c>
      <c r="V77" s="2">
        <v>0</v>
      </c>
      <c r="W77" s="3">
        <v>100</v>
      </c>
      <c r="X77" s="3">
        <v>200</v>
      </c>
      <c r="Y77" s="3">
        <v>99</v>
      </c>
      <c r="Z77" s="2">
        <v>50</v>
      </c>
      <c r="AA77" s="2">
        <v>50</v>
      </c>
      <c r="AB77" s="3">
        <v>180</v>
      </c>
      <c r="AC77" s="3">
        <v>0</v>
      </c>
      <c r="AD77" s="2">
        <v>-1</v>
      </c>
      <c r="AE77" s="3">
        <v>0</v>
      </c>
      <c r="AF77" s="3">
        <v>0</v>
      </c>
      <c r="AG77" s="3">
        <v>0</v>
      </c>
      <c r="AH77" s="3">
        <v>0</v>
      </c>
      <c r="AI77" s="3">
        <v>0</v>
      </c>
      <c r="AJ77" s="3">
        <v>0</v>
      </c>
      <c r="AK77" s="3">
        <v>1</v>
      </c>
      <c r="AL77" s="3">
        <v>1</v>
      </c>
      <c r="AM77" s="2">
        <v>0</v>
      </c>
      <c r="AN77" s="2">
        <v>0</v>
      </c>
      <c r="AO77" s="2">
        <v>0</v>
      </c>
      <c r="AP77" s="3">
        <v>1</v>
      </c>
      <c r="AQ77" s="2">
        <v>0</v>
      </c>
      <c r="AR77" s="2">
        <v>0</v>
      </c>
      <c r="AS77" s="2">
        <v>0</v>
      </c>
      <c r="AT77" s="2">
        <v>0</v>
      </c>
      <c r="AU77" s="2">
        <v>0</v>
      </c>
      <c r="AV77" s="2">
        <v>0</v>
      </c>
      <c r="AW77" s="2">
        <v>0</v>
      </c>
      <c r="AX77" s="2">
        <v>0</v>
      </c>
      <c r="AY77" s="2" t="str">
        <f t="shared" si="1"/>
        <v>tunar075</v>
      </c>
      <c r="AZ77" s="3">
        <v>-1</v>
      </c>
      <c r="BA77" s="3">
        <v>2</v>
      </c>
      <c r="BB77" s="2"/>
    </row>
    <row r="78" spans="1:54" x14ac:dyDescent="0.3">
      <c r="A78" s="3" t="s">
        <v>185</v>
      </c>
      <c r="B78" s="3" t="s">
        <v>186</v>
      </c>
      <c r="C78" s="3">
        <v>100</v>
      </c>
      <c r="D78" s="3" t="s">
        <v>268</v>
      </c>
      <c r="E78" s="3">
        <v>3</v>
      </c>
      <c r="F78" s="3" t="s">
        <v>156</v>
      </c>
      <c r="G78" s="3">
        <v>4</v>
      </c>
      <c r="H78" s="3">
        <v>1</v>
      </c>
      <c r="I78" s="3">
        <v>1</v>
      </c>
      <c r="J78" s="2">
        <v>0</v>
      </c>
      <c r="K78" s="2">
        <v>0</v>
      </c>
      <c r="L78" s="3">
        <v>100</v>
      </c>
      <c r="M78" s="3">
        <v>-1</v>
      </c>
      <c r="N78" s="3">
        <v>2</v>
      </c>
      <c r="O78" s="3">
        <v>100</v>
      </c>
      <c r="P78" s="3">
        <v>-1</v>
      </c>
      <c r="Q78" s="3">
        <v>-1</v>
      </c>
      <c r="R78" s="2">
        <v>0</v>
      </c>
      <c r="S78" s="2">
        <v>0</v>
      </c>
      <c r="T78" s="3">
        <v>0</v>
      </c>
      <c r="U78" s="3">
        <v>1700</v>
      </c>
      <c r="V78" s="2">
        <v>0</v>
      </c>
      <c r="W78" s="3">
        <v>200</v>
      </c>
      <c r="X78" s="3">
        <v>300</v>
      </c>
      <c r="Y78" s="3">
        <v>99</v>
      </c>
      <c r="Z78" s="2">
        <v>50</v>
      </c>
      <c r="AA78" s="2">
        <v>50</v>
      </c>
      <c r="AB78" s="3">
        <v>180</v>
      </c>
      <c r="AC78" s="3">
        <v>0</v>
      </c>
      <c r="AD78" s="2">
        <v>-1</v>
      </c>
      <c r="AE78" s="3">
        <v>0</v>
      </c>
      <c r="AF78" s="3">
        <v>0</v>
      </c>
      <c r="AG78" s="3">
        <v>0</v>
      </c>
      <c r="AH78" s="3">
        <v>0</v>
      </c>
      <c r="AI78" s="3">
        <v>0</v>
      </c>
      <c r="AJ78" s="3">
        <v>0</v>
      </c>
      <c r="AK78" s="3">
        <v>1</v>
      </c>
      <c r="AL78" s="3">
        <v>1</v>
      </c>
      <c r="AM78" s="2">
        <v>0</v>
      </c>
      <c r="AN78" s="2">
        <v>0</v>
      </c>
      <c r="AO78" s="2">
        <v>0</v>
      </c>
      <c r="AP78" s="3">
        <v>1</v>
      </c>
      <c r="AQ78" s="2">
        <v>0</v>
      </c>
      <c r="AR78" s="2">
        <v>0</v>
      </c>
      <c r="AS78" s="2">
        <v>0</v>
      </c>
      <c r="AT78" s="2">
        <v>0</v>
      </c>
      <c r="AU78" s="2">
        <v>0</v>
      </c>
      <c r="AV78" s="2">
        <v>0</v>
      </c>
      <c r="AW78" s="2">
        <v>0</v>
      </c>
      <c r="AX78" s="2">
        <v>0</v>
      </c>
      <c r="AY78" s="2" t="str">
        <f t="shared" si="1"/>
        <v>tunar076</v>
      </c>
      <c r="AZ78" s="3">
        <v>-1</v>
      </c>
      <c r="BA78" s="3">
        <v>2</v>
      </c>
      <c r="BB78" s="2"/>
    </row>
    <row r="79" spans="1:54" x14ac:dyDescent="0.3">
      <c r="A79" s="3" t="s">
        <v>187</v>
      </c>
      <c r="B79" s="3" t="s">
        <v>188</v>
      </c>
      <c r="C79" s="3">
        <v>100</v>
      </c>
      <c r="D79" s="3" t="s">
        <v>268</v>
      </c>
      <c r="E79" s="3">
        <v>3</v>
      </c>
      <c r="F79" s="3" t="s">
        <v>156</v>
      </c>
      <c r="G79" s="3">
        <v>4</v>
      </c>
      <c r="H79" s="3">
        <v>1</v>
      </c>
      <c r="I79" s="3">
        <v>1</v>
      </c>
      <c r="J79" s="2">
        <v>0</v>
      </c>
      <c r="K79" s="2">
        <v>0</v>
      </c>
      <c r="L79" s="3">
        <v>100</v>
      </c>
      <c r="M79" s="3">
        <v>-1</v>
      </c>
      <c r="N79" s="3">
        <v>2</v>
      </c>
      <c r="O79" s="3">
        <v>100</v>
      </c>
      <c r="P79" s="3">
        <v>-1</v>
      </c>
      <c r="Q79" s="3">
        <v>-1</v>
      </c>
      <c r="R79" s="2">
        <v>0</v>
      </c>
      <c r="S79" s="2">
        <v>0</v>
      </c>
      <c r="T79" s="3">
        <v>0</v>
      </c>
      <c r="U79" s="3">
        <v>1700</v>
      </c>
      <c r="V79" s="2">
        <v>0</v>
      </c>
      <c r="W79" s="3">
        <v>100</v>
      </c>
      <c r="X79" s="3">
        <v>200</v>
      </c>
      <c r="Y79" s="3">
        <v>99</v>
      </c>
      <c r="Z79" s="2">
        <v>50</v>
      </c>
      <c r="AA79" s="2">
        <v>50</v>
      </c>
      <c r="AB79" s="3">
        <v>180</v>
      </c>
      <c r="AC79" s="3">
        <v>0</v>
      </c>
      <c r="AD79" s="2">
        <v>-1</v>
      </c>
      <c r="AE79" s="3">
        <v>0</v>
      </c>
      <c r="AF79" s="3">
        <v>0</v>
      </c>
      <c r="AG79" s="3">
        <v>0</v>
      </c>
      <c r="AH79" s="3">
        <v>0</v>
      </c>
      <c r="AI79" s="3">
        <v>0</v>
      </c>
      <c r="AJ79" s="3">
        <v>0</v>
      </c>
      <c r="AK79" s="3">
        <v>1</v>
      </c>
      <c r="AL79" s="3">
        <v>1</v>
      </c>
      <c r="AM79" s="2">
        <v>0</v>
      </c>
      <c r="AN79" s="2">
        <v>0</v>
      </c>
      <c r="AO79" s="2">
        <v>0</v>
      </c>
      <c r="AP79" s="3">
        <v>1</v>
      </c>
      <c r="AQ79" s="2">
        <v>0</v>
      </c>
      <c r="AR79" s="2">
        <v>0</v>
      </c>
      <c r="AS79" s="2">
        <v>0</v>
      </c>
      <c r="AT79" s="2">
        <v>0</v>
      </c>
      <c r="AU79" s="2">
        <v>0</v>
      </c>
      <c r="AV79" s="2">
        <v>0</v>
      </c>
      <c r="AW79" s="2">
        <v>0</v>
      </c>
      <c r="AX79" s="2">
        <v>0</v>
      </c>
      <c r="AY79" s="2" t="str">
        <f t="shared" si="1"/>
        <v>tunar077</v>
      </c>
      <c r="AZ79" s="3">
        <v>-1</v>
      </c>
      <c r="BA79" s="3">
        <v>2</v>
      </c>
      <c r="BB79" s="2"/>
    </row>
    <row r="80" spans="1:54" x14ac:dyDescent="0.3">
      <c r="A80" s="3" t="s">
        <v>189</v>
      </c>
      <c r="B80" s="3" t="s">
        <v>190</v>
      </c>
      <c r="C80" s="3">
        <v>100</v>
      </c>
      <c r="D80" s="3" t="s">
        <v>268</v>
      </c>
      <c r="E80" s="3">
        <v>3</v>
      </c>
      <c r="F80" s="3" t="s">
        <v>156</v>
      </c>
      <c r="G80" s="3">
        <v>4</v>
      </c>
      <c r="H80" s="3">
        <v>1</v>
      </c>
      <c r="I80" s="3">
        <v>1</v>
      </c>
      <c r="J80" s="2">
        <v>0</v>
      </c>
      <c r="K80" s="2">
        <v>0</v>
      </c>
      <c r="L80" s="3">
        <v>100</v>
      </c>
      <c r="M80" s="3">
        <v>-1</v>
      </c>
      <c r="N80" s="3">
        <v>2</v>
      </c>
      <c r="O80" s="3">
        <v>100</v>
      </c>
      <c r="P80" s="3">
        <v>-1</v>
      </c>
      <c r="Q80" s="3">
        <v>-1</v>
      </c>
      <c r="R80" s="2">
        <v>0</v>
      </c>
      <c r="S80" s="2">
        <v>0</v>
      </c>
      <c r="T80" s="3">
        <v>0</v>
      </c>
      <c r="U80" s="3">
        <v>1700</v>
      </c>
      <c r="V80" s="2">
        <v>0</v>
      </c>
      <c r="W80" s="3">
        <v>200</v>
      </c>
      <c r="X80" s="3">
        <v>300</v>
      </c>
      <c r="Y80" s="3">
        <v>99</v>
      </c>
      <c r="Z80" s="2">
        <v>50</v>
      </c>
      <c r="AA80" s="2">
        <v>50</v>
      </c>
      <c r="AB80" s="3">
        <v>180</v>
      </c>
      <c r="AC80" s="3">
        <v>0</v>
      </c>
      <c r="AD80" s="2">
        <v>-1</v>
      </c>
      <c r="AE80" s="3">
        <v>0</v>
      </c>
      <c r="AF80" s="3">
        <v>0</v>
      </c>
      <c r="AG80" s="3">
        <v>0</v>
      </c>
      <c r="AH80" s="3">
        <v>0</v>
      </c>
      <c r="AI80" s="3">
        <v>0</v>
      </c>
      <c r="AJ80" s="3">
        <v>0</v>
      </c>
      <c r="AK80" s="3">
        <v>1</v>
      </c>
      <c r="AL80" s="3">
        <v>1</v>
      </c>
      <c r="AM80" s="2">
        <v>0</v>
      </c>
      <c r="AN80" s="2">
        <v>0</v>
      </c>
      <c r="AO80" s="2">
        <v>0</v>
      </c>
      <c r="AP80" s="3">
        <v>1</v>
      </c>
      <c r="AQ80" s="2">
        <v>0</v>
      </c>
      <c r="AR80" s="2">
        <v>0</v>
      </c>
      <c r="AS80" s="2">
        <v>0</v>
      </c>
      <c r="AT80" s="2">
        <v>0</v>
      </c>
      <c r="AU80" s="2">
        <v>0</v>
      </c>
      <c r="AV80" s="2">
        <v>0</v>
      </c>
      <c r="AW80" s="2">
        <v>0</v>
      </c>
      <c r="AX80" s="2">
        <v>0</v>
      </c>
      <c r="AY80" s="2" t="str">
        <f t="shared" si="1"/>
        <v>tunar078</v>
      </c>
      <c r="AZ80" s="3">
        <v>-1</v>
      </c>
      <c r="BA80" s="3">
        <v>2</v>
      </c>
      <c r="BB80" s="2"/>
    </row>
    <row r="81" spans="1:54" x14ac:dyDescent="0.3">
      <c r="A81" s="3" t="s">
        <v>191</v>
      </c>
      <c r="B81" s="3" t="s">
        <v>192</v>
      </c>
      <c r="C81" s="3">
        <v>100</v>
      </c>
      <c r="D81" s="3" t="s">
        <v>268</v>
      </c>
      <c r="E81" s="3">
        <v>3</v>
      </c>
      <c r="F81" s="3" t="s">
        <v>156</v>
      </c>
      <c r="G81" s="3">
        <v>4</v>
      </c>
      <c r="H81" s="3">
        <v>1</v>
      </c>
      <c r="I81" s="3">
        <v>1</v>
      </c>
      <c r="J81" s="2">
        <v>0</v>
      </c>
      <c r="K81" s="2">
        <v>0</v>
      </c>
      <c r="L81" s="3">
        <v>100</v>
      </c>
      <c r="M81" s="3">
        <v>-1</v>
      </c>
      <c r="N81" s="3">
        <v>2</v>
      </c>
      <c r="O81" s="3">
        <v>100</v>
      </c>
      <c r="P81" s="3">
        <v>-1</v>
      </c>
      <c r="Q81" s="3">
        <v>-1</v>
      </c>
      <c r="R81" s="2">
        <v>0</v>
      </c>
      <c r="S81" s="2">
        <v>0</v>
      </c>
      <c r="T81" s="3">
        <v>0</v>
      </c>
      <c r="U81" s="3">
        <v>1700</v>
      </c>
      <c r="V81" s="2">
        <v>0</v>
      </c>
      <c r="W81" s="3">
        <v>100</v>
      </c>
      <c r="X81" s="3">
        <v>200</v>
      </c>
      <c r="Y81" s="3">
        <v>99</v>
      </c>
      <c r="Z81" s="2">
        <v>50</v>
      </c>
      <c r="AA81" s="2">
        <v>50</v>
      </c>
      <c r="AB81" s="3">
        <v>180</v>
      </c>
      <c r="AC81" s="3">
        <v>0</v>
      </c>
      <c r="AD81" s="2">
        <v>-1</v>
      </c>
      <c r="AE81" s="3">
        <v>0</v>
      </c>
      <c r="AF81" s="3">
        <v>0</v>
      </c>
      <c r="AG81" s="3">
        <v>0</v>
      </c>
      <c r="AH81" s="3">
        <v>0</v>
      </c>
      <c r="AI81" s="3">
        <v>0</v>
      </c>
      <c r="AJ81" s="3">
        <v>0</v>
      </c>
      <c r="AK81" s="3">
        <v>1</v>
      </c>
      <c r="AL81" s="3">
        <v>1</v>
      </c>
      <c r="AM81" s="2">
        <v>0</v>
      </c>
      <c r="AN81" s="2">
        <v>0</v>
      </c>
      <c r="AO81" s="2">
        <v>0</v>
      </c>
      <c r="AP81" s="3">
        <v>1</v>
      </c>
      <c r="AQ81" s="2">
        <v>0</v>
      </c>
      <c r="AR81" s="2">
        <v>0</v>
      </c>
      <c r="AS81" s="2">
        <v>0</v>
      </c>
      <c r="AT81" s="2">
        <v>0</v>
      </c>
      <c r="AU81" s="2">
        <v>0</v>
      </c>
      <c r="AV81" s="2">
        <v>0</v>
      </c>
      <c r="AW81" s="2">
        <v>0</v>
      </c>
      <c r="AX81" s="2">
        <v>0</v>
      </c>
      <c r="AY81" s="2" t="str">
        <f t="shared" si="1"/>
        <v>tunar079</v>
      </c>
      <c r="AZ81" s="3">
        <v>-1</v>
      </c>
      <c r="BA81" s="3">
        <v>2</v>
      </c>
      <c r="BB81" s="2"/>
    </row>
    <row r="82" spans="1:54" x14ac:dyDescent="0.3">
      <c r="A82" s="3" t="s">
        <v>193</v>
      </c>
      <c r="B82" s="3" t="s">
        <v>194</v>
      </c>
      <c r="C82" s="3">
        <v>100</v>
      </c>
      <c r="D82" s="3" t="s">
        <v>268</v>
      </c>
      <c r="E82" s="3">
        <v>3</v>
      </c>
      <c r="F82" s="3" t="s">
        <v>156</v>
      </c>
      <c r="G82" s="3">
        <v>4</v>
      </c>
      <c r="H82" s="3">
        <v>1</v>
      </c>
      <c r="I82" s="3">
        <v>1</v>
      </c>
      <c r="J82" s="2">
        <v>0</v>
      </c>
      <c r="K82" s="2">
        <v>0</v>
      </c>
      <c r="L82" s="3">
        <v>100</v>
      </c>
      <c r="M82" s="3">
        <v>-1</v>
      </c>
      <c r="N82" s="3">
        <v>2</v>
      </c>
      <c r="O82" s="3">
        <v>100</v>
      </c>
      <c r="P82" s="3">
        <v>-1</v>
      </c>
      <c r="Q82" s="3">
        <v>-1</v>
      </c>
      <c r="R82" s="2">
        <v>0</v>
      </c>
      <c r="S82" s="2">
        <v>0</v>
      </c>
      <c r="T82" s="3">
        <v>0</v>
      </c>
      <c r="U82" s="3">
        <v>1700</v>
      </c>
      <c r="V82" s="2">
        <v>0</v>
      </c>
      <c r="W82" s="3">
        <v>200</v>
      </c>
      <c r="X82" s="3">
        <v>300</v>
      </c>
      <c r="Y82" s="3">
        <v>99</v>
      </c>
      <c r="Z82" s="2">
        <v>50</v>
      </c>
      <c r="AA82" s="2">
        <v>50</v>
      </c>
      <c r="AB82" s="3">
        <v>180</v>
      </c>
      <c r="AC82" s="3">
        <v>0</v>
      </c>
      <c r="AD82" s="2">
        <v>-1</v>
      </c>
      <c r="AE82" s="3">
        <v>0</v>
      </c>
      <c r="AF82" s="3">
        <v>0</v>
      </c>
      <c r="AG82" s="3">
        <v>0</v>
      </c>
      <c r="AH82" s="3">
        <v>0</v>
      </c>
      <c r="AI82" s="3">
        <v>0</v>
      </c>
      <c r="AJ82" s="3">
        <v>0</v>
      </c>
      <c r="AK82" s="3">
        <v>1</v>
      </c>
      <c r="AL82" s="3">
        <v>1</v>
      </c>
      <c r="AM82" s="2">
        <v>0</v>
      </c>
      <c r="AN82" s="2">
        <v>0</v>
      </c>
      <c r="AO82" s="2">
        <v>0</v>
      </c>
      <c r="AP82" s="3">
        <v>1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2">
        <v>0</v>
      </c>
      <c r="AX82" s="2">
        <v>0</v>
      </c>
      <c r="AY82" s="2" t="str">
        <f t="shared" si="1"/>
        <v>tunar080</v>
      </c>
      <c r="AZ82" s="3">
        <v>-1</v>
      </c>
      <c r="BA82" s="3">
        <v>2</v>
      </c>
      <c r="BB82" s="2"/>
    </row>
  </sheetData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H82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4.4" x14ac:dyDescent="0.3"/>
  <cols>
    <col min="1" max="1" width="8" bestFit="1" customWidth="1"/>
    <col min="2" max="2" width="36.5546875" bestFit="1" customWidth="1"/>
    <col min="3" max="4" width="6.6640625" bestFit="1" customWidth="1"/>
    <col min="5" max="5" width="6" bestFit="1" customWidth="1"/>
    <col min="6" max="6" width="5.88671875" bestFit="1" customWidth="1"/>
    <col min="7" max="7" width="7.109375" bestFit="1" customWidth="1"/>
    <col min="8" max="8" width="5.5546875" bestFit="1" customWidth="1"/>
    <col min="9" max="9" width="10" bestFit="1" customWidth="1"/>
    <col min="10" max="10" width="8.5546875" bestFit="1" customWidth="1"/>
    <col min="11" max="11" width="9.88671875" bestFit="1" customWidth="1"/>
    <col min="12" max="12" width="9.5546875" bestFit="1" customWidth="1"/>
    <col min="13" max="13" width="8.5546875" bestFit="1" customWidth="1"/>
    <col min="14" max="14" width="10.109375" bestFit="1" customWidth="1"/>
    <col min="15" max="15" width="10.6640625" bestFit="1" customWidth="1"/>
    <col min="16" max="16" width="6.6640625" bestFit="1" customWidth="1"/>
    <col min="17" max="17" width="9" bestFit="1" customWidth="1"/>
    <col min="18" max="18" width="7.109375" bestFit="1" customWidth="1"/>
    <col min="19" max="19" width="8.33203125" bestFit="1" customWidth="1"/>
    <col min="20" max="21" width="6.6640625" bestFit="1" customWidth="1"/>
    <col min="22" max="22" width="6.88671875" bestFit="1" customWidth="1"/>
    <col min="23" max="23" width="8.44140625" bestFit="1" customWidth="1"/>
    <col min="24" max="24" width="7.109375" bestFit="1" customWidth="1"/>
    <col min="25" max="25" width="9.6640625" bestFit="1" customWidth="1"/>
    <col min="26" max="27" width="5.5546875" bestFit="1" customWidth="1"/>
    <col min="28" max="28" width="6.6640625" bestFit="1" customWidth="1"/>
    <col min="29" max="29" width="5.5546875" bestFit="1" customWidth="1"/>
    <col min="30" max="30" width="6.44140625" bestFit="1" customWidth="1"/>
    <col min="31" max="31" width="5.5546875" bestFit="1" customWidth="1"/>
    <col min="32" max="32" width="5.6640625" bestFit="1" customWidth="1"/>
    <col min="33" max="33" width="10.88671875" bestFit="1" customWidth="1"/>
    <col min="34" max="34" width="11.33203125" bestFit="1" customWidth="1"/>
    <col min="35" max="35" width="5.5546875" bestFit="1" customWidth="1"/>
    <col min="36" max="40" width="6.6640625" bestFit="1" customWidth="1"/>
    <col min="41" max="41" width="6" bestFit="1" customWidth="1"/>
    <col min="42" max="43" width="9.5546875" bestFit="1" customWidth="1"/>
    <col min="44" max="45" width="10.88671875" bestFit="1" customWidth="1"/>
    <col min="46" max="47" width="5.5546875" bestFit="1" customWidth="1"/>
    <col min="48" max="48" width="8.88671875" bestFit="1" customWidth="1"/>
    <col min="49" max="49" width="10.44140625" bestFit="1" customWidth="1"/>
    <col min="50" max="50" width="10.88671875" bestFit="1" customWidth="1"/>
    <col min="51" max="51" width="12" bestFit="1" customWidth="1"/>
    <col min="52" max="53" width="11.5546875" bestFit="1" customWidth="1"/>
    <col min="54" max="54" width="9.33203125" bestFit="1" customWidth="1"/>
    <col min="55" max="55" width="9.5546875" bestFit="1" customWidth="1"/>
    <col min="56" max="56" width="8.33203125" bestFit="1" customWidth="1"/>
    <col min="57" max="57" width="11.109375" bestFit="1" customWidth="1"/>
    <col min="58" max="58" width="7.33203125" bestFit="1" customWidth="1"/>
    <col min="59" max="59" width="6.6640625" bestFit="1" customWidth="1"/>
    <col min="60" max="60" width="4.6640625" bestFit="1" customWidth="1"/>
  </cols>
  <sheetData>
    <row r="1" spans="1:60" x14ac:dyDescent="0.3">
      <c r="A1" t="s">
        <v>195</v>
      </c>
      <c r="B1" t="s">
        <v>0</v>
      </c>
      <c r="C1" t="s">
        <v>196</v>
      </c>
      <c r="D1" t="s">
        <v>1</v>
      </c>
      <c r="E1" t="s">
        <v>197</v>
      </c>
      <c r="F1" t="s">
        <v>198</v>
      </c>
      <c r="G1" t="s">
        <v>198</v>
      </c>
      <c r="H1" t="s">
        <v>199</v>
      </c>
      <c r="I1" t="s">
        <v>1</v>
      </c>
      <c r="J1" t="s">
        <v>1</v>
      </c>
      <c r="K1" t="s">
        <v>1</v>
      </c>
      <c r="L1" t="s">
        <v>1</v>
      </c>
      <c r="M1" t="s">
        <v>1</v>
      </c>
      <c r="N1" t="s">
        <v>1</v>
      </c>
      <c r="O1" t="s">
        <v>1</v>
      </c>
      <c r="P1" t="s">
        <v>1</v>
      </c>
      <c r="Q1" t="s">
        <v>1</v>
      </c>
      <c r="R1" t="s">
        <v>1</v>
      </c>
      <c r="S1" t="s">
        <v>1</v>
      </c>
      <c r="T1" t="s">
        <v>1</v>
      </c>
      <c r="U1" t="s">
        <v>1</v>
      </c>
      <c r="V1" t="s">
        <v>1</v>
      </c>
      <c r="W1" t="s">
        <v>1</v>
      </c>
      <c r="X1" t="s">
        <v>198</v>
      </c>
      <c r="Y1" t="s">
        <v>197</v>
      </c>
      <c r="Z1" t="s">
        <v>198</v>
      </c>
      <c r="AA1" t="s">
        <v>199</v>
      </c>
      <c r="AB1" t="s">
        <v>1</v>
      </c>
      <c r="AC1" t="s">
        <v>199</v>
      </c>
      <c r="AD1" t="s">
        <v>199</v>
      </c>
      <c r="AE1" t="s">
        <v>199</v>
      </c>
      <c r="AF1" t="s">
        <v>199</v>
      </c>
      <c r="AG1" t="s">
        <v>198</v>
      </c>
      <c r="AH1" t="s">
        <v>198</v>
      </c>
      <c r="AI1" t="s">
        <v>199</v>
      </c>
      <c r="AJ1" t="s">
        <v>1</v>
      </c>
      <c r="AK1" t="s">
        <v>1</v>
      </c>
      <c r="AL1" t="s">
        <v>1</v>
      </c>
      <c r="AM1" t="s">
        <v>1</v>
      </c>
      <c r="AN1" t="s">
        <v>1</v>
      </c>
      <c r="AO1" t="s">
        <v>198</v>
      </c>
      <c r="AP1" t="s">
        <v>198</v>
      </c>
      <c r="AQ1" t="s">
        <v>198</v>
      </c>
      <c r="AR1" t="s">
        <v>198</v>
      </c>
      <c r="AS1" t="s">
        <v>198</v>
      </c>
      <c r="AT1" t="s">
        <v>198</v>
      </c>
      <c r="AU1" t="s">
        <v>199</v>
      </c>
      <c r="AV1" t="s">
        <v>1</v>
      </c>
      <c r="AW1" t="s">
        <v>1</v>
      </c>
      <c r="AX1" t="s">
        <v>1</v>
      </c>
      <c r="AY1" t="s">
        <v>2</v>
      </c>
      <c r="AZ1" t="s">
        <v>1</v>
      </c>
      <c r="BA1" t="s">
        <v>1</v>
      </c>
      <c r="BB1" t="s">
        <v>1</v>
      </c>
      <c r="BC1" t="s">
        <v>1</v>
      </c>
      <c r="BD1" t="s">
        <v>1</v>
      </c>
      <c r="BE1" t="s">
        <v>1</v>
      </c>
      <c r="BF1" t="s">
        <v>1</v>
      </c>
      <c r="BG1" t="s">
        <v>1</v>
      </c>
      <c r="BH1" t="s">
        <v>3</v>
      </c>
    </row>
    <row r="2" spans="1:60" x14ac:dyDescent="0.3">
      <c r="A2" t="str">
        <f>UnitArms!A2</f>
        <v>Code</v>
      </c>
      <c r="B2" t="str">
        <f>UnitArms!D2</f>
        <v>Name</v>
      </c>
      <c r="C2" s="1" t="str">
        <f>UnitArms!B2</f>
        <v>Model</v>
      </c>
      <c r="D2" t="str">
        <f>UnitArms!C2</f>
        <v>Icon</v>
      </c>
      <c r="E2" t="s">
        <v>201</v>
      </c>
      <c r="F2" t="s">
        <v>202</v>
      </c>
      <c r="G2" t="str">
        <f>UnitArms!AI2</f>
        <v>Money</v>
      </c>
      <c r="H2" t="s">
        <v>203</v>
      </c>
      <c r="I2" t="str">
        <f>UnitArms!AJ2</f>
        <v>StdPrice</v>
      </c>
      <c r="J2" t="str">
        <f>UnitArms!AK2</f>
        <v>StdPoint</v>
      </c>
      <c r="K2" t="s">
        <v>204</v>
      </c>
      <c r="L2" t="s">
        <v>205</v>
      </c>
      <c r="M2" t="s">
        <v>206</v>
      </c>
      <c r="N2" t="s">
        <v>207</v>
      </c>
      <c r="O2" t="s">
        <v>208</v>
      </c>
      <c r="P2" t="s">
        <v>209</v>
      </c>
      <c r="Q2" t="s">
        <v>210</v>
      </c>
      <c r="R2" t="s">
        <v>211</v>
      </c>
      <c r="S2" t="s">
        <v>212</v>
      </c>
      <c r="T2" t="s">
        <v>213</v>
      </c>
      <c r="U2" t="s">
        <v>214</v>
      </c>
      <c r="V2" t="s">
        <v>215</v>
      </c>
      <c r="W2" t="str">
        <f>UnitArms!M2</f>
        <v>UpLvLim</v>
      </c>
      <c r="X2" t="str">
        <f>UnitArms!E2</f>
        <v>FixPart</v>
      </c>
      <c r="Y2" s="1" t="str">
        <f>UnitArms!F2</f>
        <v>DefFrame</v>
      </c>
      <c r="Z2" t="s">
        <v>203</v>
      </c>
      <c r="AA2" t="s">
        <v>203</v>
      </c>
      <c r="AB2" t="str">
        <f>UnitArms!AB2</f>
        <v>DefFc</v>
      </c>
      <c r="AC2" t="str">
        <f>UnitArms!AE2</f>
        <v>Fire</v>
      </c>
      <c r="AD2" t="str">
        <f>UnitArms!AF2</f>
        <v>Water</v>
      </c>
      <c r="AE2" t="str">
        <f>UnitArms!AG2</f>
        <v>Soil</v>
      </c>
      <c r="AF2" t="str">
        <f>UnitArms!AH2</f>
        <v>Wind</v>
      </c>
      <c r="AG2" t="str">
        <f>UnitArms!Y2</f>
        <v>AttMastery</v>
      </c>
      <c r="AH2" t="str">
        <f>UnitArms!AC2</f>
        <v>DefMastery</v>
      </c>
      <c r="AI2" t="s">
        <v>203</v>
      </c>
      <c r="AJ2" t="s">
        <v>216</v>
      </c>
      <c r="AK2" t="s">
        <v>216</v>
      </c>
      <c r="AL2" t="s">
        <v>216</v>
      </c>
      <c r="AM2" t="s">
        <v>216</v>
      </c>
      <c r="AN2" t="s">
        <v>216</v>
      </c>
      <c r="AO2" t="str">
        <f>UnitArms!L2</f>
        <v>LvLim</v>
      </c>
      <c r="AP2" t="str">
        <f>UnitArms!N2</f>
        <v>ExpertID1</v>
      </c>
      <c r="AQ2" t="str">
        <f>UnitArms!P2</f>
        <v>ExpertID2</v>
      </c>
      <c r="AR2" t="str">
        <f>UnitArms!O2</f>
        <v>ExpertLim1</v>
      </c>
      <c r="AS2" t="str">
        <f>UnitArms!Q2</f>
        <v>ExpertLim2</v>
      </c>
      <c r="AT2" t="s">
        <v>203</v>
      </c>
      <c r="AU2" t="s">
        <v>203</v>
      </c>
      <c r="AV2" t="str">
        <f>UnitArms!AL2</f>
        <v>RepPrice</v>
      </c>
      <c r="AW2" t="str">
        <f>UnitArms!AZ2</f>
        <v>AttEffType</v>
      </c>
      <c r="AX2" t="str">
        <f>UnitArms!BA2</f>
        <v>DefEffType</v>
      </c>
      <c r="AY2" t="str">
        <f>UnitArms!T2</f>
        <v>AttackRange</v>
      </c>
      <c r="AZ2" t="str">
        <f>UnitArms!U2</f>
        <v>AttackDelay</v>
      </c>
      <c r="BA2" t="str">
        <f>UnitArms!H2</f>
        <v>EffectGroup</v>
      </c>
      <c r="BB2" t="str">
        <f>UnitArms!W2</f>
        <v>GAMinAF</v>
      </c>
      <c r="BC2" t="str">
        <f>UnitArms!X2</f>
        <v>GAMaxAF</v>
      </c>
      <c r="BD2" t="str">
        <f>UnitArms!G2</f>
        <v>WPType</v>
      </c>
      <c r="BE2" t="str">
        <f>UnitArms!I2</f>
        <v>NeedBullet</v>
      </c>
      <c r="BF2" t="str">
        <f>UnitArms!AP2</f>
        <v>BackSlt</v>
      </c>
      <c r="BG2" t="s">
        <v>216</v>
      </c>
    </row>
    <row r="3" spans="1:60" x14ac:dyDescent="0.3">
      <c r="A3" t="str">
        <f>UnitArms!A3</f>
        <v>unar001</v>
      </c>
      <c r="B3" t="str">
        <f>UnitArms!D3</f>
        <v>Punch</v>
      </c>
      <c r="C3" s="1" t="str">
        <f>UnitArms!B3</f>
        <v>00401</v>
      </c>
      <c r="D3">
        <f>UnitArms!C3</f>
        <v>1</v>
      </c>
      <c r="E3" s="4" t="s">
        <v>262</v>
      </c>
      <c r="F3" s="4">
        <v>40</v>
      </c>
      <c r="G3">
        <f>UnitArms!AI3</f>
        <v>0</v>
      </c>
      <c r="H3" s="4">
        <v>0</v>
      </c>
      <c r="I3">
        <f>UnitArms!AJ3</f>
        <v>100000</v>
      </c>
      <c r="J3">
        <f>UnitArms!AK3</f>
        <v>1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-1</v>
      </c>
      <c r="T3" s="4">
        <v>0</v>
      </c>
      <c r="U3" s="4">
        <v>0</v>
      </c>
      <c r="V3" s="4">
        <v>0</v>
      </c>
      <c r="W3">
        <f>UnitArms!M3</f>
        <v>-1</v>
      </c>
      <c r="X3">
        <f>UnitArms!E3</f>
        <v>3</v>
      </c>
      <c r="Y3" s="1" t="str">
        <f>UnitArms!F3</f>
        <v>10000000</v>
      </c>
      <c r="Z3" s="4">
        <v>0</v>
      </c>
      <c r="AA3" s="4">
        <v>0</v>
      </c>
      <c r="AB3">
        <f>UnitArms!AB3</f>
        <v>303</v>
      </c>
      <c r="AC3">
        <f>UnitArms!AE3</f>
        <v>0</v>
      </c>
      <c r="AD3">
        <f>UnitArms!AF3</f>
        <v>0</v>
      </c>
      <c r="AE3">
        <f>UnitArms!AG3</f>
        <v>0</v>
      </c>
      <c r="AF3">
        <f>UnitArms!AH3</f>
        <v>0</v>
      </c>
      <c r="AG3">
        <f>UnitArms!Y3</f>
        <v>20</v>
      </c>
      <c r="AH3">
        <f>UnitArms!AC3</f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>
        <f>UnitArms!L3</f>
        <v>30</v>
      </c>
      <c r="AP3">
        <f>UnitArms!N3</f>
        <v>2</v>
      </c>
      <c r="AQ3">
        <f>UnitArms!P3</f>
        <v>-1</v>
      </c>
      <c r="AR3">
        <f>UnitArms!O3</f>
        <v>1</v>
      </c>
      <c r="AS3">
        <f>UnitArms!Q3</f>
        <v>-1</v>
      </c>
      <c r="AT3" s="4">
        <v>0</v>
      </c>
      <c r="AU3" s="4">
        <v>0</v>
      </c>
      <c r="AV3">
        <f>UnitArms!AL3</f>
        <v>1</v>
      </c>
      <c r="AW3">
        <f>UnitArms!AZ3</f>
        <v>4</v>
      </c>
      <c r="AX3">
        <f>UnitArms!BA3</f>
        <v>2</v>
      </c>
      <c r="AY3">
        <f>UnitArms!T3</f>
        <v>40</v>
      </c>
      <c r="AZ3">
        <f>UnitArms!U3</f>
        <v>1700</v>
      </c>
      <c r="BA3">
        <f>UnitArms!H3</f>
        <v>0</v>
      </c>
      <c r="BB3">
        <f>UnitArms!W3</f>
        <v>961</v>
      </c>
      <c r="BC3">
        <f>UnitArms!X3</f>
        <v>1068</v>
      </c>
      <c r="BD3">
        <f>UnitArms!G3</f>
        <v>1</v>
      </c>
      <c r="BE3">
        <f>UnitArms!I3</f>
        <v>1</v>
      </c>
      <c r="BF3">
        <f>UnitArms!AP3</f>
        <v>1</v>
      </c>
      <c r="BG3" s="4">
        <v>0</v>
      </c>
    </row>
    <row r="4" spans="1:60" x14ac:dyDescent="0.3">
      <c r="A4" t="str">
        <f>UnitArms!A4</f>
        <v>unar002</v>
      </c>
      <c r="B4" t="str">
        <f>UnitArms!D4</f>
        <v>Earthquake Punch</v>
      </c>
      <c r="C4" s="1" t="str">
        <f>UnitArms!B4</f>
        <v>00401</v>
      </c>
      <c r="D4">
        <f>UnitArms!C4</f>
        <v>2</v>
      </c>
      <c r="E4" s="4" t="s">
        <v>262</v>
      </c>
      <c r="F4" s="4">
        <v>40</v>
      </c>
      <c r="G4">
        <f>UnitArms!AI4</f>
        <v>0</v>
      </c>
      <c r="H4" s="4">
        <v>0</v>
      </c>
      <c r="I4">
        <f>UnitArms!AJ4</f>
        <v>200000</v>
      </c>
      <c r="J4">
        <f>UnitArms!AK4</f>
        <v>1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-1</v>
      </c>
      <c r="T4" s="4">
        <v>0</v>
      </c>
      <c r="U4" s="4">
        <v>0</v>
      </c>
      <c r="V4" s="4">
        <v>0</v>
      </c>
      <c r="W4">
        <f>UnitArms!M4</f>
        <v>-1</v>
      </c>
      <c r="X4">
        <f>UnitArms!E4</f>
        <v>3</v>
      </c>
      <c r="Y4" s="1" t="str">
        <f>UnitArms!F4</f>
        <v>10000000</v>
      </c>
      <c r="Z4" s="4">
        <v>0</v>
      </c>
      <c r="AA4" s="4">
        <v>0</v>
      </c>
      <c r="AB4">
        <f>UnitArms!AB4</f>
        <v>303</v>
      </c>
      <c r="AC4">
        <f>UnitArms!AE4</f>
        <v>0</v>
      </c>
      <c r="AD4">
        <f>UnitArms!AF4</f>
        <v>0</v>
      </c>
      <c r="AE4">
        <f>UnitArms!AG4</f>
        <v>0</v>
      </c>
      <c r="AF4">
        <f>UnitArms!AH4</f>
        <v>0</v>
      </c>
      <c r="AG4">
        <f>UnitArms!Y4</f>
        <v>25</v>
      </c>
      <c r="AH4">
        <f>UnitArms!AC4</f>
        <v>0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>
        <f>UnitArms!L4</f>
        <v>30</v>
      </c>
      <c r="AP4">
        <f>UnitArms!N4</f>
        <v>2</v>
      </c>
      <c r="AQ4">
        <f>UnitArms!P4</f>
        <v>-1</v>
      </c>
      <c r="AR4">
        <f>UnitArms!O4</f>
        <v>15</v>
      </c>
      <c r="AS4">
        <f>UnitArms!Q4</f>
        <v>-1</v>
      </c>
      <c r="AT4" s="4">
        <v>0</v>
      </c>
      <c r="AU4" s="4">
        <v>0</v>
      </c>
      <c r="AV4">
        <f>UnitArms!AL4</f>
        <v>1</v>
      </c>
      <c r="AW4">
        <f>UnitArms!AZ4</f>
        <v>4</v>
      </c>
      <c r="AX4">
        <f>UnitArms!BA4</f>
        <v>2</v>
      </c>
      <c r="AY4">
        <f>UnitArms!T4</f>
        <v>40</v>
      </c>
      <c r="AZ4">
        <f>UnitArms!U4</f>
        <v>1700</v>
      </c>
      <c r="BA4">
        <f>UnitArms!H4</f>
        <v>0</v>
      </c>
      <c r="BB4">
        <f>UnitArms!W4</f>
        <v>1153</v>
      </c>
      <c r="BC4">
        <f>UnitArms!X4</f>
        <v>1282</v>
      </c>
      <c r="BD4">
        <f>UnitArms!G4</f>
        <v>1</v>
      </c>
      <c r="BE4">
        <f>UnitArms!I4</f>
        <v>1</v>
      </c>
      <c r="BF4">
        <f>UnitArms!AP4</f>
        <v>1</v>
      </c>
      <c r="BG4" s="4">
        <v>0</v>
      </c>
    </row>
    <row r="5" spans="1:60" x14ac:dyDescent="0.3">
      <c r="A5" t="str">
        <f>UnitArms!A5</f>
        <v>unar003</v>
      </c>
      <c r="B5" t="str">
        <f>UnitArms!D5</f>
        <v>Cutter</v>
      </c>
      <c r="C5" s="1" t="str">
        <f>UnitArms!B5</f>
        <v>00402</v>
      </c>
      <c r="D5">
        <f>UnitArms!C5</f>
        <v>3</v>
      </c>
      <c r="E5" s="4" t="s">
        <v>262</v>
      </c>
      <c r="F5" s="4">
        <v>40</v>
      </c>
      <c r="G5">
        <f>UnitArms!AI5</f>
        <v>0</v>
      </c>
      <c r="H5" s="4">
        <v>0</v>
      </c>
      <c r="I5">
        <f>UnitArms!AJ5</f>
        <v>300000</v>
      </c>
      <c r="J5">
        <f>UnitArms!AK5</f>
        <v>1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-1</v>
      </c>
      <c r="T5" s="4">
        <v>0</v>
      </c>
      <c r="U5" s="4">
        <v>0</v>
      </c>
      <c r="V5" s="4">
        <v>0</v>
      </c>
      <c r="W5">
        <f>UnitArms!M5</f>
        <v>-1</v>
      </c>
      <c r="X5">
        <f>UnitArms!E5</f>
        <v>3</v>
      </c>
      <c r="Y5" s="1" t="str">
        <f>UnitArms!F5</f>
        <v>10000000</v>
      </c>
      <c r="Z5" s="4">
        <v>0</v>
      </c>
      <c r="AA5" s="4">
        <v>0</v>
      </c>
      <c r="AB5">
        <f>UnitArms!AB5</f>
        <v>303</v>
      </c>
      <c r="AC5">
        <f>UnitArms!AE5</f>
        <v>0</v>
      </c>
      <c r="AD5">
        <f>UnitArms!AF5</f>
        <v>0</v>
      </c>
      <c r="AE5">
        <f>UnitArms!AG5</f>
        <v>0</v>
      </c>
      <c r="AF5">
        <f>UnitArms!AH5</f>
        <v>0</v>
      </c>
      <c r="AG5">
        <f>UnitArms!Y5</f>
        <v>35</v>
      </c>
      <c r="AH5">
        <f>UnitArms!AC5</f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>
        <f>UnitArms!L5</f>
        <v>30</v>
      </c>
      <c r="AP5">
        <f>UnitArms!N5</f>
        <v>2</v>
      </c>
      <c r="AQ5">
        <f>UnitArms!P5</f>
        <v>-1</v>
      </c>
      <c r="AR5">
        <f>UnitArms!O5</f>
        <v>30</v>
      </c>
      <c r="AS5">
        <f>UnitArms!Q5</f>
        <v>-1</v>
      </c>
      <c r="AT5" s="4">
        <v>0</v>
      </c>
      <c r="AU5" s="4">
        <v>0</v>
      </c>
      <c r="AV5">
        <f>UnitArms!AL5</f>
        <v>1</v>
      </c>
      <c r="AW5">
        <f>UnitArms!AZ5</f>
        <v>1</v>
      </c>
      <c r="AX5">
        <f>UnitArms!BA5</f>
        <v>2</v>
      </c>
      <c r="AY5">
        <f>UnitArms!T5</f>
        <v>40</v>
      </c>
      <c r="AZ5">
        <f>UnitArms!U5</f>
        <v>1700</v>
      </c>
      <c r="BA5">
        <f>UnitArms!H5</f>
        <v>0</v>
      </c>
      <c r="BB5">
        <f>UnitArms!W5</f>
        <v>1384</v>
      </c>
      <c r="BC5">
        <f>UnitArms!X5</f>
        <v>1538</v>
      </c>
      <c r="BD5">
        <f>UnitArms!G5</f>
        <v>1</v>
      </c>
      <c r="BE5">
        <f>UnitArms!I5</f>
        <v>1</v>
      </c>
      <c r="BF5">
        <f>UnitArms!AP5</f>
        <v>1</v>
      </c>
      <c r="BG5" s="4">
        <v>0</v>
      </c>
    </row>
    <row r="6" spans="1:60" x14ac:dyDescent="0.3">
      <c r="A6" t="str">
        <f>UnitArms!A6</f>
        <v>unar004</v>
      </c>
      <c r="B6" t="str">
        <f>UnitArms!D6</f>
        <v>Elec Ball</v>
      </c>
      <c r="C6" s="1" t="str">
        <f>UnitArms!B6</f>
        <v>0042E</v>
      </c>
      <c r="D6">
        <f>UnitArms!C6</f>
        <v>16</v>
      </c>
      <c r="E6" s="4" t="s">
        <v>262</v>
      </c>
      <c r="F6" s="4">
        <v>40</v>
      </c>
      <c r="G6">
        <f>UnitArms!AI6</f>
        <v>0</v>
      </c>
      <c r="H6" s="4">
        <v>0</v>
      </c>
      <c r="I6">
        <f>UnitArms!AJ6</f>
        <v>1088640000</v>
      </c>
      <c r="J6">
        <f>UnitArms!AK6</f>
        <v>1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-1</v>
      </c>
      <c r="T6" s="4">
        <v>0</v>
      </c>
      <c r="U6" s="4">
        <v>0</v>
      </c>
      <c r="V6" s="4">
        <v>0</v>
      </c>
      <c r="W6">
        <f>UnitArms!M6</f>
        <v>-1</v>
      </c>
      <c r="X6">
        <f>UnitArms!E6</f>
        <v>3</v>
      </c>
      <c r="Y6" s="1" t="str">
        <f>UnitArms!F6</f>
        <v>10000000</v>
      </c>
      <c r="Z6" s="4">
        <v>0</v>
      </c>
      <c r="AA6" s="4">
        <v>0</v>
      </c>
      <c r="AB6">
        <f>UnitArms!AB6</f>
        <v>4211</v>
      </c>
      <c r="AC6">
        <f>UnitArms!AE6</f>
        <v>0</v>
      </c>
      <c r="AD6">
        <f>UnitArms!AF6</f>
        <v>0</v>
      </c>
      <c r="AE6">
        <f>UnitArms!AG6</f>
        <v>0</v>
      </c>
      <c r="AF6">
        <f>UnitArms!AH6</f>
        <v>0</v>
      </c>
      <c r="AG6">
        <f>UnitArms!Y6</f>
        <v>50</v>
      </c>
      <c r="AH6">
        <f>UnitArms!AC6</f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>
        <f>UnitArms!L6</f>
        <v>69</v>
      </c>
      <c r="AP6">
        <f>UnitArms!N6</f>
        <v>2</v>
      </c>
      <c r="AQ6">
        <f>UnitArms!P6</f>
        <v>-1</v>
      </c>
      <c r="AR6">
        <f>UnitArms!O6</f>
        <v>99</v>
      </c>
      <c r="AS6">
        <f>UnitArms!Q6</f>
        <v>-1</v>
      </c>
      <c r="AT6" s="4">
        <v>0</v>
      </c>
      <c r="AU6" s="4">
        <v>0</v>
      </c>
      <c r="AV6">
        <f>UnitArms!AL6</f>
        <v>18</v>
      </c>
      <c r="AW6">
        <f>UnitArms!AZ6</f>
        <v>-1</v>
      </c>
      <c r="AX6">
        <f>UnitArms!BA6</f>
        <v>2</v>
      </c>
      <c r="AY6">
        <f>UnitArms!T6</f>
        <v>40</v>
      </c>
      <c r="AZ6">
        <f>UnitArms!U6</f>
        <v>1700</v>
      </c>
      <c r="BA6">
        <f>UnitArms!H6</f>
        <v>0</v>
      </c>
      <c r="BB6">
        <f>UnitArms!W6</f>
        <v>45288</v>
      </c>
      <c r="BC6">
        <f>UnitArms!X6</f>
        <v>50320</v>
      </c>
      <c r="BD6">
        <f>UnitArms!G6</f>
        <v>1</v>
      </c>
      <c r="BE6">
        <f>UnitArms!I6</f>
        <v>1</v>
      </c>
      <c r="BF6">
        <f>UnitArms!AP6</f>
        <v>1</v>
      </c>
      <c r="BG6" s="4">
        <v>0</v>
      </c>
    </row>
    <row r="7" spans="1:60" x14ac:dyDescent="0.3">
      <c r="A7" t="str">
        <f>UnitArms!A7</f>
        <v>unar005</v>
      </c>
      <c r="B7" t="str">
        <f>UnitArms!D7</f>
        <v>Metal Scissors Arm</v>
      </c>
      <c r="C7" s="1" t="str">
        <f>UnitArms!B7</f>
        <v>00401</v>
      </c>
      <c r="D7">
        <f>UnitArms!C7</f>
        <v>1</v>
      </c>
      <c r="E7" s="4" t="s">
        <v>262</v>
      </c>
      <c r="F7" s="4">
        <v>40</v>
      </c>
      <c r="G7">
        <f>UnitArms!AI7</f>
        <v>0</v>
      </c>
      <c r="H7" s="4">
        <v>0</v>
      </c>
      <c r="I7">
        <f>UnitArms!AJ7</f>
        <v>600000</v>
      </c>
      <c r="J7">
        <f>UnitArms!AK7</f>
        <v>1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-1</v>
      </c>
      <c r="T7" s="4">
        <v>0</v>
      </c>
      <c r="U7" s="4">
        <v>0</v>
      </c>
      <c r="V7" s="4">
        <v>0</v>
      </c>
      <c r="W7">
        <f>UnitArms!M7</f>
        <v>-1</v>
      </c>
      <c r="X7">
        <f>UnitArms!E7</f>
        <v>3</v>
      </c>
      <c r="Y7" s="1" t="str">
        <f>UnitArms!F7</f>
        <v>10000000</v>
      </c>
      <c r="Z7" s="4">
        <v>0</v>
      </c>
      <c r="AA7" s="4">
        <v>0</v>
      </c>
      <c r="AB7">
        <f>UnitArms!AB7</f>
        <v>405</v>
      </c>
      <c r="AC7">
        <f>UnitArms!AE7</f>
        <v>0</v>
      </c>
      <c r="AD7">
        <f>UnitArms!AF7</f>
        <v>0</v>
      </c>
      <c r="AE7">
        <f>UnitArms!AG7</f>
        <v>0</v>
      </c>
      <c r="AF7">
        <f>UnitArms!AH7</f>
        <v>0</v>
      </c>
      <c r="AG7">
        <f>UnitArms!Y7</f>
        <v>50</v>
      </c>
      <c r="AH7">
        <f>UnitArms!AC7</f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>
        <f>UnitArms!L7</f>
        <v>35</v>
      </c>
      <c r="AP7">
        <f>UnitArms!N7</f>
        <v>2</v>
      </c>
      <c r="AQ7">
        <f>UnitArms!P7</f>
        <v>-1</v>
      </c>
      <c r="AR7">
        <f>UnitArms!O7</f>
        <v>52</v>
      </c>
      <c r="AS7">
        <f>UnitArms!Q7</f>
        <v>-1</v>
      </c>
      <c r="AT7" s="4">
        <v>0</v>
      </c>
      <c r="AU7" s="4">
        <v>0</v>
      </c>
      <c r="AV7">
        <f>UnitArms!AL7</f>
        <v>1</v>
      </c>
      <c r="AW7">
        <f>UnitArms!AZ7</f>
        <v>4</v>
      </c>
      <c r="AX7">
        <f>UnitArms!BA7</f>
        <v>2</v>
      </c>
      <c r="AY7">
        <f>UnitArms!T7</f>
        <v>40</v>
      </c>
      <c r="AZ7">
        <f>UnitArms!U7</f>
        <v>1700</v>
      </c>
      <c r="BA7">
        <f>UnitArms!H7</f>
        <v>0</v>
      </c>
      <c r="BB7">
        <f>UnitArms!W7</f>
        <v>1778</v>
      </c>
      <c r="BC7">
        <f>UnitArms!X7</f>
        <v>1976</v>
      </c>
      <c r="BD7">
        <f>UnitArms!G7</f>
        <v>1</v>
      </c>
      <c r="BE7">
        <f>UnitArms!I7</f>
        <v>1</v>
      </c>
      <c r="BF7">
        <f>UnitArms!AP7</f>
        <v>1</v>
      </c>
      <c r="BG7" s="4">
        <v>0</v>
      </c>
    </row>
    <row r="8" spans="1:60" x14ac:dyDescent="0.3">
      <c r="A8" t="str">
        <f>UnitArms!A8</f>
        <v>unar006</v>
      </c>
      <c r="B8" t="str">
        <f>UnitArms!D8</f>
        <v>Shock Wave Punch</v>
      </c>
      <c r="C8" s="1" t="str">
        <f>UnitArms!B8</f>
        <v>00402</v>
      </c>
      <c r="D8">
        <f>UnitArms!C8</f>
        <v>1</v>
      </c>
      <c r="E8" s="4" t="s">
        <v>262</v>
      </c>
      <c r="F8" s="4">
        <v>40</v>
      </c>
      <c r="G8">
        <f>UnitArms!AI8</f>
        <v>0</v>
      </c>
      <c r="H8" s="4">
        <v>0</v>
      </c>
      <c r="I8">
        <f>UnitArms!AJ8</f>
        <v>800000</v>
      </c>
      <c r="J8">
        <f>UnitArms!AK8</f>
        <v>1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-1</v>
      </c>
      <c r="T8" s="4">
        <v>0</v>
      </c>
      <c r="U8" s="4">
        <v>0</v>
      </c>
      <c r="V8" s="4">
        <v>0</v>
      </c>
      <c r="W8">
        <f>UnitArms!M8</f>
        <v>-1</v>
      </c>
      <c r="X8">
        <f>UnitArms!E8</f>
        <v>3</v>
      </c>
      <c r="Y8" s="1" t="str">
        <f>UnitArms!F8</f>
        <v>10000000</v>
      </c>
      <c r="Z8" s="4">
        <v>0</v>
      </c>
      <c r="AA8" s="4">
        <v>0</v>
      </c>
      <c r="AB8">
        <f>UnitArms!AB8</f>
        <v>472</v>
      </c>
      <c r="AC8">
        <f>UnitArms!AE8</f>
        <v>0</v>
      </c>
      <c r="AD8">
        <f>UnitArms!AF8</f>
        <v>0</v>
      </c>
      <c r="AE8">
        <f>UnitArms!AG8</f>
        <v>0</v>
      </c>
      <c r="AF8">
        <f>UnitArms!AH8</f>
        <v>0</v>
      </c>
      <c r="AG8">
        <f>UnitArms!Y8</f>
        <v>50</v>
      </c>
      <c r="AH8">
        <f>UnitArms!AC8</f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>
        <f>UnitArms!L8</f>
        <v>37</v>
      </c>
      <c r="AP8">
        <f>UnitArms!N8</f>
        <v>2</v>
      </c>
      <c r="AQ8">
        <f>UnitArms!P8</f>
        <v>-1</v>
      </c>
      <c r="AR8">
        <f>UnitArms!O8</f>
        <v>60</v>
      </c>
      <c r="AS8">
        <f>UnitArms!Q8</f>
        <v>-1</v>
      </c>
      <c r="AT8" s="4">
        <v>0</v>
      </c>
      <c r="AU8" s="4">
        <v>0</v>
      </c>
      <c r="AV8">
        <f>UnitArms!AL8</f>
        <v>1</v>
      </c>
      <c r="AW8">
        <f>UnitArms!AZ8</f>
        <v>4</v>
      </c>
      <c r="AX8">
        <f>UnitArms!BA8</f>
        <v>2</v>
      </c>
      <c r="AY8">
        <f>UnitArms!T8</f>
        <v>40</v>
      </c>
      <c r="AZ8">
        <f>UnitArms!U8</f>
        <v>1700</v>
      </c>
      <c r="BA8">
        <f>UnitArms!H8</f>
        <v>0</v>
      </c>
      <c r="BB8">
        <f>UnitArms!W8</f>
        <v>2426</v>
      </c>
      <c r="BC8">
        <f>UnitArms!X8</f>
        <v>2696</v>
      </c>
      <c r="BD8">
        <f>UnitArms!G8</f>
        <v>1</v>
      </c>
      <c r="BE8">
        <f>UnitArms!I8</f>
        <v>1</v>
      </c>
      <c r="BF8">
        <f>UnitArms!AP8</f>
        <v>1</v>
      </c>
      <c r="BG8" s="4">
        <v>0</v>
      </c>
    </row>
    <row r="9" spans="1:60" x14ac:dyDescent="0.3">
      <c r="A9" t="str">
        <f>UnitArms!A9</f>
        <v>unar007</v>
      </c>
      <c r="B9" t="str">
        <f>UnitArms!D9</f>
        <v>Exploding Punch</v>
      </c>
      <c r="C9" s="1" t="str">
        <f>UnitArms!B9</f>
        <v>00400</v>
      </c>
      <c r="D9">
        <f>UnitArms!C9</f>
        <v>100</v>
      </c>
      <c r="E9" s="4" t="s">
        <v>262</v>
      </c>
      <c r="F9" s="4">
        <v>40</v>
      </c>
      <c r="G9">
        <f>UnitArms!AI9</f>
        <v>0</v>
      </c>
      <c r="H9" s="4">
        <v>0</v>
      </c>
      <c r="I9">
        <f>UnitArms!AJ9</f>
        <v>7100000</v>
      </c>
      <c r="J9">
        <f>UnitArms!AK9</f>
        <v>1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-1</v>
      </c>
      <c r="T9" s="4">
        <v>0</v>
      </c>
      <c r="U9" s="4">
        <v>0</v>
      </c>
      <c r="V9" s="4">
        <v>0</v>
      </c>
      <c r="W9">
        <f>UnitArms!M9</f>
        <v>-1</v>
      </c>
      <c r="X9">
        <f>UnitArms!E9</f>
        <v>3</v>
      </c>
      <c r="Y9" s="1" t="str">
        <f>UnitArms!F9</f>
        <v>10000000</v>
      </c>
      <c r="Z9" s="4">
        <v>0</v>
      </c>
      <c r="AA9" s="4">
        <v>0</v>
      </c>
      <c r="AB9">
        <f>UnitArms!AB9</f>
        <v>495</v>
      </c>
      <c r="AC9">
        <f>UnitArms!AE9</f>
        <v>0</v>
      </c>
      <c r="AD9">
        <f>UnitArms!AF9</f>
        <v>0</v>
      </c>
      <c r="AE9">
        <f>UnitArms!AG9</f>
        <v>0</v>
      </c>
      <c r="AF9">
        <f>UnitArms!AH9</f>
        <v>0</v>
      </c>
      <c r="AG9">
        <f>UnitArms!Y9</f>
        <v>50</v>
      </c>
      <c r="AH9">
        <f>UnitArms!AC9</f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>
        <f>UnitArms!L9</f>
        <v>100</v>
      </c>
      <c r="AP9">
        <f>UnitArms!N9</f>
        <v>2</v>
      </c>
      <c r="AQ9">
        <f>UnitArms!P9</f>
        <v>-1</v>
      </c>
      <c r="AR9">
        <f>UnitArms!O9</f>
        <v>100</v>
      </c>
      <c r="AS9">
        <f>UnitArms!Q9</f>
        <v>-1</v>
      </c>
      <c r="AT9" s="4">
        <v>0</v>
      </c>
      <c r="AU9" s="4">
        <v>0</v>
      </c>
      <c r="AV9">
        <f>UnitArms!AL9</f>
        <v>1</v>
      </c>
      <c r="AW9">
        <f>UnitArms!AZ9</f>
        <v>4</v>
      </c>
      <c r="AX9">
        <f>UnitArms!BA9</f>
        <v>2</v>
      </c>
      <c r="AY9">
        <f>UnitArms!T9</f>
        <v>0</v>
      </c>
      <c r="AZ9">
        <f>UnitArms!U9</f>
        <v>1700</v>
      </c>
      <c r="BA9">
        <f>UnitArms!H9</f>
        <v>0</v>
      </c>
      <c r="BB9">
        <f>UnitArms!W9</f>
        <v>0</v>
      </c>
      <c r="BC9">
        <f>UnitArms!X9</f>
        <v>0</v>
      </c>
      <c r="BD9">
        <f>UnitArms!G9</f>
        <v>1</v>
      </c>
      <c r="BE9">
        <f>UnitArms!I9</f>
        <v>1</v>
      </c>
      <c r="BF9">
        <f>UnitArms!AP9</f>
        <v>1</v>
      </c>
      <c r="BG9" s="4">
        <v>0</v>
      </c>
    </row>
    <row r="10" spans="1:60" x14ac:dyDescent="0.3">
      <c r="A10" t="str">
        <f>UnitArms!A10</f>
        <v>unar008</v>
      </c>
      <c r="B10" t="str">
        <f>UnitArms!D10</f>
        <v>Beelzebub Goliath Arm</v>
      </c>
      <c r="C10" s="1" t="str">
        <f>UnitArms!B10</f>
        <v>00430</v>
      </c>
      <c r="D10">
        <f>UnitArms!C10</f>
        <v>18</v>
      </c>
      <c r="E10" s="4" t="s">
        <v>262</v>
      </c>
      <c r="F10" s="4">
        <v>40</v>
      </c>
      <c r="G10">
        <f>UnitArms!AI10</f>
        <v>0</v>
      </c>
      <c r="H10" s="4">
        <v>0</v>
      </c>
      <c r="I10">
        <f>UnitArms!AJ10</f>
        <v>1260000000</v>
      </c>
      <c r="J10">
        <f>UnitArms!AK10</f>
        <v>1</v>
      </c>
      <c r="K10" s="4">
        <v>0</v>
      </c>
      <c r="L10" s="4">
        <v>0</v>
      </c>
      <c r="M10" s="4">
        <v>0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-1</v>
      </c>
      <c r="T10" s="4">
        <v>0</v>
      </c>
      <c r="U10" s="4">
        <v>0</v>
      </c>
      <c r="V10" s="4">
        <v>0</v>
      </c>
      <c r="W10">
        <f>UnitArms!M10</f>
        <v>-1</v>
      </c>
      <c r="X10">
        <f>UnitArms!E10</f>
        <v>3</v>
      </c>
      <c r="Y10" s="1" t="str">
        <f>UnitArms!F10</f>
        <v>10000000</v>
      </c>
      <c r="Z10" s="4">
        <v>0</v>
      </c>
      <c r="AA10" s="4">
        <v>0</v>
      </c>
      <c r="AB10">
        <f>UnitArms!AB10</f>
        <v>4500</v>
      </c>
      <c r="AC10">
        <f>UnitArms!AE10</f>
        <v>0</v>
      </c>
      <c r="AD10">
        <f>UnitArms!AF10</f>
        <v>0</v>
      </c>
      <c r="AE10">
        <f>UnitArms!AG10</f>
        <v>0</v>
      </c>
      <c r="AF10">
        <f>UnitArms!AH10</f>
        <v>0</v>
      </c>
      <c r="AG10">
        <f>UnitArms!Y10</f>
        <v>50</v>
      </c>
      <c r="AH10">
        <f>UnitArms!AC10</f>
        <v>0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  <c r="AN10" s="4">
        <v>0</v>
      </c>
      <c r="AO10">
        <f>UnitArms!L10</f>
        <v>74</v>
      </c>
      <c r="AP10">
        <f>UnitArms!N10</f>
        <v>2</v>
      </c>
      <c r="AQ10">
        <f>UnitArms!P10</f>
        <v>-1</v>
      </c>
      <c r="AR10">
        <f>UnitArms!O10</f>
        <v>99</v>
      </c>
      <c r="AS10">
        <f>UnitArms!Q10</f>
        <v>-1</v>
      </c>
      <c r="AT10" s="4">
        <v>0</v>
      </c>
      <c r="AU10" s="4">
        <v>0</v>
      </c>
      <c r="AV10">
        <f>UnitArms!AL10</f>
        <v>22</v>
      </c>
      <c r="AW10">
        <f>UnitArms!AZ10</f>
        <v>-1</v>
      </c>
      <c r="AX10">
        <f>UnitArms!BA10</f>
        <v>2</v>
      </c>
      <c r="AY10">
        <f>UnitArms!T10</f>
        <v>40</v>
      </c>
      <c r="AZ10">
        <f>UnitArms!U10</f>
        <v>1700</v>
      </c>
      <c r="BA10">
        <f>UnitArms!H10</f>
        <v>0</v>
      </c>
      <c r="BB10">
        <f>UnitArms!W10</f>
        <v>57000</v>
      </c>
      <c r="BC10">
        <f>UnitArms!X10</f>
        <v>63000</v>
      </c>
      <c r="BD10">
        <f>UnitArms!G10</f>
        <v>1</v>
      </c>
      <c r="BE10">
        <f>UnitArms!I10</f>
        <v>1</v>
      </c>
      <c r="BF10">
        <f>UnitArms!AP10</f>
        <v>1</v>
      </c>
      <c r="BG10" s="4">
        <v>0</v>
      </c>
    </row>
    <row r="11" spans="1:60" x14ac:dyDescent="0.3">
      <c r="A11" t="str">
        <f>UnitArms!A11</f>
        <v>unar009</v>
      </c>
      <c r="B11" t="str">
        <f>UnitArms!D11</f>
        <v>NotUsed</v>
      </c>
      <c r="C11" s="1" t="str">
        <f>UnitArms!B11</f>
        <v>00408</v>
      </c>
      <c r="D11">
        <f>UnitArms!C11</f>
        <v>100</v>
      </c>
      <c r="E11" s="4" t="s">
        <v>262</v>
      </c>
      <c r="F11" s="4">
        <v>40</v>
      </c>
      <c r="G11">
        <f>UnitArms!AI11</f>
        <v>0</v>
      </c>
      <c r="H11" s="4">
        <v>0</v>
      </c>
      <c r="I11">
        <f>UnitArms!AJ11</f>
        <v>7100000</v>
      </c>
      <c r="J11">
        <f>UnitArms!AK11</f>
        <v>1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-1</v>
      </c>
      <c r="T11" s="4">
        <v>0</v>
      </c>
      <c r="U11" s="4">
        <v>0</v>
      </c>
      <c r="V11" s="4">
        <v>0</v>
      </c>
      <c r="W11">
        <f>UnitArms!M11</f>
        <v>-1</v>
      </c>
      <c r="X11">
        <f>UnitArms!E11</f>
        <v>3</v>
      </c>
      <c r="Y11" s="1" t="str">
        <f>UnitArms!F11</f>
        <v>10000000</v>
      </c>
      <c r="Z11" s="4">
        <v>0</v>
      </c>
      <c r="AA11" s="4">
        <v>0</v>
      </c>
      <c r="AB11">
        <f>UnitArms!AB11</f>
        <v>0</v>
      </c>
      <c r="AC11">
        <f>UnitArms!AE11</f>
        <v>0</v>
      </c>
      <c r="AD11">
        <f>UnitArms!AF11</f>
        <v>0</v>
      </c>
      <c r="AE11">
        <f>UnitArms!AG11</f>
        <v>0</v>
      </c>
      <c r="AF11">
        <f>UnitArms!AH11</f>
        <v>0</v>
      </c>
      <c r="AG11">
        <f>UnitArms!Y11</f>
        <v>50</v>
      </c>
      <c r="AH11">
        <f>UnitArms!AC11</f>
        <v>0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">
        <v>0</v>
      </c>
      <c r="AO11">
        <f>UnitArms!L11</f>
        <v>100</v>
      </c>
      <c r="AP11">
        <f>UnitArms!N11</f>
        <v>2</v>
      </c>
      <c r="AQ11">
        <f>UnitArms!P11</f>
        <v>-1</v>
      </c>
      <c r="AR11">
        <f>UnitArms!O11</f>
        <v>100</v>
      </c>
      <c r="AS11">
        <f>UnitArms!Q11</f>
        <v>-1</v>
      </c>
      <c r="AT11" s="4">
        <v>0</v>
      </c>
      <c r="AU11" s="4">
        <v>0</v>
      </c>
      <c r="AV11">
        <f>UnitArms!AL11</f>
        <v>1</v>
      </c>
      <c r="AW11">
        <f>UnitArms!AZ11</f>
        <v>4</v>
      </c>
      <c r="AX11">
        <f>UnitArms!BA11</f>
        <v>2</v>
      </c>
      <c r="AY11">
        <f>UnitArms!T11</f>
        <v>0</v>
      </c>
      <c r="AZ11">
        <f>UnitArms!U11</f>
        <v>1700</v>
      </c>
      <c r="BA11">
        <f>UnitArms!H11</f>
        <v>0</v>
      </c>
      <c r="BB11">
        <f>UnitArms!W11</f>
        <v>0</v>
      </c>
      <c r="BC11">
        <f>UnitArms!X11</f>
        <v>0</v>
      </c>
      <c r="BD11">
        <f>UnitArms!G11</f>
        <v>1</v>
      </c>
      <c r="BE11">
        <f>UnitArms!I11</f>
        <v>1</v>
      </c>
      <c r="BF11">
        <f>UnitArms!AP11</f>
        <v>1</v>
      </c>
      <c r="BG11" s="4">
        <v>0</v>
      </c>
    </row>
    <row r="12" spans="1:60" x14ac:dyDescent="0.3">
      <c r="A12" t="str">
        <f>UnitArms!A12</f>
        <v>unar010</v>
      </c>
      <c r="B12" t="str">
        <f>UnitArms!D12</f>
        <v>Acute Knife Arm</v>
      </c>
      <c r="C12" s="1" t="str">
        <f>UnitArms!B12</f>
        <v>00409</v>
      </c>
      <c r="D12">
        <f>UnitArms!C12</f>
        <v>7</v>
      </c>
      <c r="E12" s="4" t="s">
        <v>262</v>
      </c>
      <c r="F12" s="4">
        <v>40</v>
      </c>
      <c r="G12">
        <f>UnitArms!AI12</f>
        <v>0</v>
      </c>
      <c r="H12" s="4">
        <v>0</v>
      </c>
      <c r="I12">
        <f>UnitArms!AJ12</f>
        <v>1100000</v>
      </c>
      <c r="J12">
        <f>UnitArms!AK12</f>
        <v>1</v>
      </c>
      <c r="K12" s="4">
        <v>0</v>
      </c>
      <c r="L12" s="4">
        <v>0</v>
      </c>
      <c r="M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-1</v>
      </c>
      <c r="T12" s="4">
        <v>0</v>
      </c>
      <c r="U12" s="4">
        <v>0</v>
      </c>
      <c r="V12" s="4">
        <v>0</v>
      </c>
      <c r="W12">
        <f>UnitArms!M12</f>
        <v>-1</v>
      </c>
      <c r="X12">
        <f>UnitArms!E12</f>
        <v>3</v>
      </c>
      <c r="Y12" s="1" t="str">
        <f>UnitArms!F12</f>
        <v>10000000</v>
      </c>
      <c r="Z12" s="4">
        <v>0</v>
      </c>
      <c r="AA12" s="4">
        <v>0</v>
      </c>
      <c r="AB12">
        <f>UnitArms!AB12</f>
        <v>562</v>
      </c>
      <c r="AC12">
        <f>UnitArms!AE12</f>
        <v>0</v>
      </c>
      <c r="AD12">
        <f>UnitArms!AF12</f>
        <v>0</v>
      </c>
      <c r="AE12">
        <f>UnitArms!AG12</f>
        <v>0</v>
      </c>
      <c r="AF12">
        <f>UnitArms!AH12</f>
        <v>0</v>
      </c>
      <c r="AG12">
        <f>UnitArms!Y12</f>
        <v>50</v>
      </c>
      <c r="AH12">
        <f>UnitArms!AC12</f>
        <v>0</v>
      </c>
      <c r="AI12" s="4">
        <v>0</v>
      </c>
      <c r="AJ12" s="4">
        <v>0</v>
      </c>
      <c r="AK12" s="4">
        <v>0</v>
      </c>
      <c r="AL12" s="4">
        <v>0</v>
      </c>
      <c r="AM12" s="4">
        <v>0</v>
      </c>
      <c r="AN12" s="4">
        <v>0</v>
      </c>
      <c r="AO12">
        <f>UnitArms!L12</f>
        <v>40</v>
      </c>
      <c r="AP12">
        <f>UnitArms!N12</f>
        <v>2</v>
      </c>
      <c r="AQ12">
        <f>UnitArms!P12</f>
        <v>-1</v>
      </c>
      <c r="AR12">
        <f>UnitArms!O12</f>
        <v>77</v>
      </c>
      <c r="AS12">
        <f>UnitArms!Q12</f>
        <v>-1</v>
      </c>
      <c r="AT12" s="4">
        <v>0</v>
      </c>
      <c r="AU12" s="4">
        <v>0</v>
      </c>
      <c r="AV12">
        <f>UnitArms!AL12</f>
        <v>1</v>
      </c>
      <c r="AW12">
        <f>UnitArms!AZ12</f>
        <v>1</v>
      </c>
      <c r="AX12">
        <f>UnitArms!BA12</f>
        <v>2</v>
      </c>
      <c r="AY12">
        <f>UnitArms!T12</f>
        <v>40</v>
      </c>
      <c r="AZ12">
        <f>UnitArms!U12</f>
        <v>1700</v>
      </c>
      <c r="BA12">
        <f>UnitArms!H12</f>
        <v>0</v>
      </c>
      <c r="BB12">
        <f>UnitArms!W12</f>
        <v>3877</v>
      </c>
      <c r="BC12">
        <f>UnitArms!X12</f>
        <v>4308</v>
      </c>
      <c r="BD12">
        <f>UnitArms!G12</f>
        <v>1</v>
      </c>
      <c r="BE12">
        <f>UnitArms!I12</f>
        <v>1</v>
      </c>
      <c r="BF12">
        <f>UnitArms!AP12</f>
        <v>1</v>
      </c>
      <c r="BG12" s="4">
        <v>0</v>
      </c>
    </row>
    <row r="13" spans="1:60" x14ac:dyDescent="0.3">
      <c r="A13" t="str">
        <f>UnitArms!A13</f>
        <v>unar011</v>
      </c>
      <c r="B13" t="str">
        <f>UnitArms!D13</f>
        <v>Elec Knife Arm</v>
      </c>
      <c r="C13" s="1" t="str">
        <f>UnitArms!B13</f>
        <v>00409</v>
      </c>
      <c r="D13">
        <f>UnitArms!C13</f>
        <v>7</v>
      </c>
      <c r="E13" s="4" t="s">
        <v>262</v>
      </c>
      <c r="F13" s="4">
        <v>40</v>
      </c>
      <c r="G13">
        <f>UnitArms!AI13</f>
        <v>0</v>
      </c>
      <c r="H13" s="4">
        <v>0</v>
      </c>
      <c r="I13">
        <f>UnitArms!AJ13</f>
        <v>1400000</v>
      </c>
      <c r="J13">
        <f>UnitArms!AK13</f>
        <v>1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-1</v>
      </c>
      <c r="T13" s="4">
        <v>0</v>
      </c>
      <c r="U13" s="4">
        <v>0</v>
      </c>
      <c r="V13" s="4">
        <v>0</v>
      </c>
      <c r="W13">
        <f>UnitArms!M13</f>
        <v>-1</v>
      </c>
      <c r="X13">
        <f>UnitArms!E13</f>
        <v>3</v>
      </c>
      <c r="Y13" s="1" t="str">
        <f>UnitArms!F13</f>
        <v>10000000</v>
      </c>
      <c r="Z13" s="4">
        <v>0</v>
      </c>
      <c r="AA13" s="4">
        <v>0</v>
      </c>
      <c r="AB13">
        <f>UnitArms!AB13</f>
        <v>630</v>
      </c>
      <c r="AC13">
        <f>UnitArms!AE13</f>
        <v>0</v>
      </c>
      <c r="AD13">
        <f>UnitArms!AF13</f>
        <v>0</v>
      </c>
      <c r="AE13">
        <f>UnitArms!AG13</f>
        <v>0</v>
      </c>
      <c r="AF13">
        <f>UnitArms!AH13</f>
        <v>0</v>
      </c>
      <c r="AG13">
        <f>UnitArms!Y13</f>
        <v>50</v>
      </c>
      <c r="AH13">
        <f>UnitArms!AC13</f>
        <v>0</v>
      </c>
      <c r="AI13" s="4">
        <v>0</v>
      </c>
      <c r="AJ13" s="4">
        <v>0</v>
      </c>
      <c r="AK13" s="4">
        <v>0</v>
      </c>
      <c r="AL13" s="4">
        <v>0</v>
      </c>
      <c r="AM13" s="4">
        <v>0</v>
      </c>
      <c r="AN13" s="4">
        <v>0</v>
      </c>
      <c r="AO13">
        <f>UnitArms!L13</f>
        <v>43</v>
      </c>
      <c r="AP13">
        <f>UnitArms!N13</f>
        <v>2</v>
      </c>
      <c r="AQ13">
        <f>UnitArms!P13</f>
        <v>-1</v>
      </c>
      <c r="AR13">
        <f>UnitArms!O13</f>
        <v>81</v>
      </c>
      <c r="AS13">
        <f>UnitArms!Q13</f>
        <v>-1</v>
      </c>
      <c r="AT13" s="4">
        <v>0</v>
      </c>
      <c r="AU13" s="4">
        <v>0</v>
      </c>
      <c r="AV13">
        <f>UnitArms!AL13</f>
        <v>1</v>
      </c>
      <c r="AW13">
        <f>UnitArms!AZ13</f>
        <v>1</v>
      </c>
      <c r="AX13">
        <f>UnitArms!BA13</f>
        <v>2</v>
      </c>
      <c r="AY13">
        <f>UnitArms!T13</f>
        <v>40</v>
      </c>
      <c r="AZ13">
        <f>UnitArms!U13</f>
        <v>1700</v>
      </c>
      <c r="BA13">
        <f>UnitArms!H13</f>
        <v>0</v>
      </c>
      <c r="BB13">
        <f>UnitArms!W13</f>
        <v>6373</v>
      </c>
      <c r="BC13">
        <f>UnitArms!X13</f>
        <v>7081</v>
      </c>
      <c r="BD13">
        <f>UnitArms!G13</f>
        <v>1</v>
      </c>
      <c r="BE13">
        <f>UnitArms!I13</f>
        <v>1</v>
      </c>
      <c r="BF13">
        <f>UnitArms!AP13</f>
        <v>1</v>
      </c>
      <c r="BG13" s="4">
        <v>0</v>
      </c>
    </row>
    <row r="14" spans="1:60" x14ac:dyDescent="0.3">
      <c r="A14" t="str">
        <f>UnitArms!A14</f>
        <v>unar012</v>
      </c>
      <c r="B14" t="str">
        <f>UnitArms!D14</f>
        <v>Exploding Knife Arm</v>
      </c>
      <c r="C14" s="1" t="str">
        <f>UnitArms!B14</f>
        <v>00409</v>
      </c>
      <c r="D14">
        <f>UnitArms!C14</f>
        <v>7</v>
      </c>
      <c r="E14" s="4" t="s">
        <v>262</v>
      </c>
      <c r="F14" s="4">
        <v>40</v>
      </c>
      <c r="G14">
        <f>UnitArms!AI14</f>
        <v>0</v>
      </c>
      <c r="H14" s="4">
        <v>0</v>
      </c>
      <c r="I14">
        <f>UnitArms!AJ14</f>
        <v>1900000</v>
      </c>
      <c r="J14">
        <f>UnitArms!AK14</f>
        <v>1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0</v>
      </c>
      <c r="S14" s="4">
        <v>-1</v>
      </c>
      <c r="T14" s="4">
        <v>0</v>
      </c>
      <c r="U14" s="4">
        <v>0</v>
      </c>
      <c r="V14" s="4">
        <v>0</v>
      </c>
      <c r="W14">
        <f>UnitArms!M14</f>
        <v>-1</v>
      </c>
      <c r="X14">
        <f>UnitArms!E14</f>
        <v>3</v>
      </c>
      <c r="Y14" s="1" t="str">
        <f>UnitArms!F14</f>
        <v>10000000</v>
      </c>
      <c r="Z14" s="4">
        <v>0</v>
      </c>
      <c r="AA14" s="4">
        <v>0</v>
      </c>
      <c r="AB14">
        <f>UnitArms!AB14</f>
        <v>697</v>
      </c>
      <c r="AC14">
        <f>UnitArms!AE14</f>
        <v>0</v>
      </c>
      <c r="AD14">
        <f>UnitArms!AF14</f>
        <v>0</v>
      </c>
      <c r="AE14">
        <f>UnitArms!AG14</f>
        <v>0</v>
      </c>
      <c r="AF14">
        <f>UnitArms!AH14</f>
        <v>0</v>
      </c>
      <c r="AG14">
        <f>UnitArms!Y14</f>
        <v>50</v>
      </c>
      <c r="AH14">
        <f>UnitArms!AC14</f>
        <v>0</v>
      </c>
      <c r="AI14" s="4">
        <v>0</v>
      </c>
      <c r="AJ14" s="4">
        <v>0</v>
      </c>
      <c r="AK14" s="4">
        <v>0</v>
      </c>
      <c r="AL14" s="4">
        <v>0</v>
      </c>
      <c r="AM14" s="4">
        <v>0</v>
      </c>
      <c r="AN14" s="4">
        <v>0</v>
      </c>
      <c r="AO14">
        <f>UnitArms!L14</f>
        <v>48</v>
      </c>
      <c r="AP14">
        <f>UnitArms!N14</f>
        <v>2</v>
      </c>
      <c r="AQ14">
        <f>UnitArms!P14</f>
        <v>-1</v>
      </c>
      <c r="AR14">
        <f>UnitArms!O14</f>
        <v>93</v>
      </c>
      <c r="AS14">
        <f>UnitArms!Q14</f>
        <v>-1</v>
      </c>
      <c r="AT14" s="4">
        <v>0</v>
      </c>
      <c r="AU14" s="4">
        <v>0</v>
      </c>
      <c r="AV14">
        <f>UnitArms!AL14</f>
        <v>1</v>
      </c>
      <c r="AW14">
        <f>UnitArms!AZ14</f>
        <v>1</v>
      </c>
      <c r="AX14">
        <f>UnitArms!BA14</f>
        <v>2</v>
      </c>
      <c r="AY14">
        <f>UnitArms!T14</f>
        <v>40</v>
      </c>
      <c r="AZ14">
        <f>UnitArms!U14</f>
        <v>1700</v>
      </c>
      <c r="BA14">
        <f>UnitArms!H14</f>
        <v>0</v>
      </c>
      <c r="BB14">
        <f>UnitArms!W14</f>
        <v>11241</v>
      </c>
      <c r="BC14">
        <f>UnitArms!X14</f>
        <v>12489</v>
      </c>
      <c r="BD14">
        <f>UnitArms!G14</f>
        <v>1</v>
      </c>
      <c r="BE14">
        <f>UnitArms!I14</f>
        <v>1</v>
      </c>
      <c r="BF14">
        <f>UnitArms!AP14</f>
        <v>1</v>
      </c>
      <c r="BG14" s="4">
        <v>0</v>
      </c>
    </row>
    <row r="15" spans="1:60" x14ac:dyDescent="0.3">
      <c r="A15" t="str">
        <f>UnitArms!A15</f>
        <v>unar013</v>
      </c>
      <c r="B15" t="str">
        <f>UnitArms!D15</f>
        <v>Energy Knife Arm</v>
      </c>
      <c r="C15" s="1" t="str">
        <f>UnitArms!B15</f>
        <v>0040C</v>
      </c>
      <c r="D15">
        <f>UnitArms!C15</f>
        <v>9</v>
      </c>
      <c r="E15" s="4" t="s">
        <v>262</v>
      </c>
      <c r="F15" s="4">
        <v>40</v>
      </c>
      <c r="G15">
        <f>UnitArms!AI15</f>
        <v>0</v>
      </c>
      <c r="H15" s="4">
        <v>0</v>
      </c>
      <c r="I15">
        <f>UnitArms!AJ15</f>
        <v>147000000</v>
      </c>
      <c r="J15">
        <f>UnitArms!AK15</f>
        <v>1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-1</v>
      </c>
      <c r="T15" s="4">
        <v>0</v>
      </c>
      <c r="U15" s="4">
        <v>0</v>
      </c>
      <c r="V15" s="4">
        <v>0</v>
      </c>
      <c r="W15">
        <f>UnitArms!M15</f>
        <v>-1</v>
      </c>
      <c r="X15">
        <f>UnitArms!E15</f>
        <v>3</v>
      </c>
      <c r="Y15" s="1" t="str">
        <f>UnitArms!F15</f>
        <v>10000000</v>
      </c>
      <c r="Z15" s="4">
        <v>0</v>
      </c>
      <c r="AA15" s="4">
        <v>0</v>
      </c>
      <c r="AB15">
        <f>UnitArms!AB15</f>
        <v>836</v>
      </c>
      <c r="AC15">
        <f>UnitArms!AE15</f>
        <v>0</v>
      </c>
      <c r="AD15">
        <f>UnitArms!AF15</f>
        <v>0</v>
      </c>
      <c r="AE15">
        <f>UnitArms!AG15</f>
        <v>0</v>
      </c>
      <c r="AF15">
        <f>UnitArms!AH15</f>
        <v>0</v>
      </c>
      <c r="AG15">
        <f>UnitArms!Y15</f>
        <v>50</v>
      </c>
      <c r="AH15">
        <f>UnitArms!AC15</f>
        <v>0</v>
      </c>
      <c r="AI15" s="4">
        <v>0</v>
      </c>
      <c r="AJ15" s="4">
        <v>0</v>
      </c>
      <c r="AK15" s="4">
        <v>0</v>
      </c>
      <c r="AL15" s="4">
        <v>0</v>
      </c>
      <c r="AM15" s="4">
        <v>0</v>
      </c>
      <c r="AN15" s="4">
        <v>0</v>
      </c>
      <c r="AO15">
        <f>UnitArms!L15</f>
        <v>50</v>
      </c>
      <c r="AP15">
        <f>UnitArms!N15</f>
        <v>2</v>
      </c>
      <c r="AQ15">
        <f>UnitArms!P15</f>
        <v>-1</v>
      </c>
      <c r="AR15">
        <f>UnitArms!O15</f>
        <v>99</v>
      </c>
      <c r="AS15">
        <f>UnitArms!Q15</f>
        <v>-1</v>
      </c>
      <c r="AT15" s="4">
        <v>0</v>
      </c>
      <c r="AU15" s="4">
        <v>0</v>
      </c>
      <c r="AV15">
        <f>UnitArms!AL15</f>
        <v>1</v>
      </c>
      <c r="AW15">
        <f>UnitArms!AZ15</f>
        <v>1</v>
      </c>
      <c r="AX15">
        <f>UnitArms!BA15</f>
        <v>2</v>
      </c>
      <c r="AY15">
        <f>UnitArms!T15</f>
        <v>40</v>
      </c>
      <c r="AZ15">
        <f>UnitArms!U15</f>
        <v>1700</v>
      </c>
      <c r="BA15">
        <f>UnitArms!H15</f>
        <v>0</v>
      </c>
      <c r="BB15">
        <f>UnitArms!W15</f>
        <v>15993</v>
      </c>
      <c r="BC15">
        <f>UnitArms!X15</f>
        <v>17770</v>
      </c>
      <c r="BD15">
        <f>UnitArms!G15</f>
        <v>1</v>
      </c>
      <c r="BE15">
        <f>UnitArms!I15</f>
        <v>1</v>
      </c>
      <c r="BF15">
        <f>UnitArms!AP15</f>
        <v>1</v>
      </c>
      <c r="BG15" s="4">
        <v>0</v>
      </c>
    </row>
    <row r="16" spans="1:60" x14ac:dyDescent="0.3">
      <c r="A16" t="str">
        <f>UnitArms!A16</f>
        <v>unar014</v>
      </c>
      <c r="B16" t="str">
        <f>UnitArms!D16</f>
        <v>Impact Slicer Arm</v>
      </c>
      <c r="C16" s="1" t="str">
        <f>UnitArms!B16</f>
        <v>0040C</v>
      </c>
      <c r="D16">
        <f>UnitArms!C16</f>
        <v>9</v>
      </c>
      <c r="E16" s="4" t="s">
        <v>262</v>
      </c>
      <c r="F16" s="4">
        <v>40</v>
      </c>
      <c r="G16">
        <f>UnitArms!AI16</f>
        <v>0</v>
      </c>
      <c r="H16" s="4">
        <v>0</v>
      </c>
      <c r="I16">
        <f>UnitArms!AJ16</f>
        <v>298200000</v>
      </c>
      <c r="J16">
        <f>UnitArms!AK16</f>
        <v>1</v>
      </c>
      <c r="K16" s="4">
        <v>0</v>
      </c>
      <c r="L16" s="4">
        <v>0</v>
      </c>
      <c r="M16" s="4">
        <v>0</v>
      </c>
      <c r="N16" s="4">
        <v>0</v>
      </c>
      <c r="O16" s="4">
        <v>0</v>
      </c>
      <c r="P16" s="4">
        <v>0</v>
      </c>
      <c r="Q16" s="4">
        <v>0</v>
      </c>
      <c r="R16" s="4">
        <v>0</v>
      </c>
      <c r="S16" s="4">
        <v>-1</v>
      </c>
      <c r="T16" s="4">
        <v>0</v>
      </c>
      <c r="U16" s="4">
        <v>0</v>
      </c>
      <c r="V16" s="4">
        <v>0</v>
      </c>
      <c r="W16">
        <f>UnitArms!M16</f>
        <v>-1</v>
      </c>
      <c r="X16">
        <f>UnitArms!E16</f>
        <v>3</v>
      </c>
      <c r="Y16" s="1" t="str">
        <f>UnitArms!F16</f>
        <v>10000000</v>
      </c>
      <c r="Z16" s="4">
        <v>0</v>
      </c>
      <c r="AA16" s="4">
        <v>0</v>
      </c>
      <c r="AB16">
        <f>UnitArms!AB16</f>
        <v>1002</v>
      </c>
      <c r="AC16">
        <f>UnitArms!AE16</f>
        <v>0</v>
      </c>
      <c r="AD16">
        <f>UnitArms!AF16</f>
        <v>0</v>
      </c>
      <c r="AE16">
        <f>UnitArms!AG16</f>
        <v>0</v>
      </c>
      <c r="AF16">
        <f>UnitArms!AH16</f>
        <v>0</v>
      </c>
      <c r="AG16">
        <f>UnitArms!Y16</f>
        <v>50</v>
      </c>
      <c r="AH16">
        <f>UnitArms!AC16</f>
        <v>0</v>
      </c>
      <c r="AI16" s="4">
        <v>0</v>
      </c>
      <c r="AJ16" s="4">
        <v>0</v>
      </c>
      <c r="AK16" s="4">
        <v>0</v>
      </c>
      <c r="AL16" s="4">
        <v>0</v>
      </c>
      <c r="AM16" s="4">
        <v>0</v>
      </c>
      <c r="AN16" s="4">
        <v>0</v>
      </c>
      <c r="AO16">
        <f>UnitArms!L16</f>
        <v>50</v>
      </c>
      <c r="AP16">
        <f>UnitArms!N16</f>
        <v>2</v>
      </c>
      <c r="AQ16">
        <f>UnitArms!P16</f>
        <v>-1</v>
      </c>
      <c r="AR16">
        <f>UnitArms!O16</f>
        <v>99</v>
      </c>
      <c r="AS16">
        <f>UnitArms!Q16</f>
        <v>-1</v>
      </c>
      <c r="AT16" s="4">
        <v>0</v>
      </c>
      <c r="AU16" s="4">
        <v>0</v>
      </c>
      <c r="AV16">
        <f>UnitArms!AL16</f>
        <v>1</v>
      </c>
      <c r="AW16">
        <f>UnitArms!AZ16</f>
        <v>1</v>
      </c>
      <c r="AX16">
        <f>UnitArms!BA16</f>
        <v>2</v>
      </c>
      <c r="AY16">
        <f>UnitArms!T16</f>
        <v>40</v>
      </c>
      <c r="AZ16">
        <f>UnitArms!U16</f>
        <v>1700</v>
      </c>
      <c r="BA16">
        <f>UnitArms!H16</f>
        <v>0</v>
      </c>
      <c r="BB16">
        <f>UnitArms!W16</f>
        <v>19192</v>
      </c>
      <c r="BC16">
        <f>UnitArms!X16</f>
        <v>21324</v>
      </c>
      <c r="BD16">
        <f>UnitArms!G16</f>
        <v>1</v>
      </c>
      <c r="BE16">
        <f>UnitArms!I16</f>
        <v>1</v>
      </c>
      <c r="BF16">
        <f>UnitArms!AP16</f>
        <v>1</v>
      </c>
      <c r="BG16" s="4">
        <v>0</v>
      </c>
    </row>
    <row r="17" spans="1:59" x14ac:dyDescent="0.3">
      <c r="A17" t="str">
        <f>UnitArms!A17</f>
        <v>unar015</v>
      </c>
      <c r="B17" t="str">
        <f>UnitArms!D17</f>
        <v>Sonic Blade Arm</v>
      </c>
      <c r="C17" s="1" t="str">
        <f>UnitArms!B17</f>
        <v>0040C</v>
      </c>
      <c r="D17">
        <f>UnitArms!C17</f>
        <v>9</v>
      </c>
      <c r="E17" s="4" t="s">
        <v>262</v>
      </c>
      <c r="F17" s="4">
        <v>40</v>
      </c>
      <c r="G17">
        <f>UnitArms!AI17</f>
        <v>0</v>
      </c>
      <c r="H17" s="4">
        <v>0</v>
      </c>
      <c r="I17">
        <f>UnitArms!AJ17</f>
        <v>453600000</v>
      </c>
      <c r="J17">
        <f>UnitArms!AK17</f>
        <v>1</v>
      </c>
      <c r="K17" s="4">
        <v>0</v>
      </c>
      <c r="L17" s="4">
        <v>0</v>
      </c>
      <c r="M17" s="4">
        <v>0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-1</v>
      </c>
      <c r="T17" s="4">
        <v>0</v>
      </c>
      <c r="U17" s="4">
        <v>0</v>
      </c>
      <c r="V17" s="4">
        <v>0</v>
      </c>
      <c r="W17">
        <f>UnitArms!M17</f>
        <v>-1</v>
      </c>
      <c r="X17">
        <f>UnitArms!E17</f>
        <v>3</v>
      </c>
      <c r="Y17" s="1" t="str">
        <f>UnitArms!F17</f>
        <v>10000000</v>
      </c>
      <c r="Z17" s="4">
        <v>0</v>
      </c>
      <c r="AA17" s="4">
        <v>0</v>
      </c>
      <c r="AB17">
        <f>UnitArms!AB17</f>
        <v>1302</v>
      </c>
      <c r="AC17">
        <f>UnitArms!AE17</f>
        <v>0</v>
      </c>
      <c r="AD17">
        <f>UnitArms!AF17</f>
        <v>0</v>
      </c>
      <c r="AE17">
        <f>UnitArms!AG17</f>
        <v>0</v>
      </c>
      <c r="AF17">
        <f>UnitArms!AH17</f>
        <v>0</v>
      </c>
      <c r="AG17">
        <f>UnitArms!Y17</f>
        <v>50</v>
      </c>
      <c r="AH17">
        <f>UnitArms!AC17</f>
        <v>0</v>
      </c>
      <c r="AI17" s="4">
        <v>0</v>
      </c>
      <c r="AJ17" s="4">
        <v>0</v>
      </c>
      <c r="AK17" s="4">
        <v>0</v>
      </c>
      <c r="AL17" s="4">
        <v>0</v>
      </c>
      <c r="AM17" s="4">
        <v>0</v>
      </c>
      <c r="AN17" s="4">
        <v>0</v>
      </c>
      <c r="AO17">
        <f>UnitArms!L17</f>
        <v>50</v>
      </c>
      <c r="AP17">
        <f>UnitArms!N17</f>
        <v>2</v>
      </c>
      <c r="AQ17">
        <f>UnitArms!P17</f>
        <v>-1</v>
      </c>
      <c r="AR17">
        <f>UnitArms!O17</f>
        <v>99</v>
      </c>
      <c r="AS17">
        <f>UnitArms!Q17</f>
        <v>-1</v>
      </c>
      <c r="AT17" s="4">
        <v>0</v>
      </c>
      <c r="AU17" s="4">
        <v>0</v>
      </c>
      <c r="AV17">
        <f>UnitArms!AL17</f>
        <v>1</v>
      </c>
      <c r="AW17">
        <f>UnitArms!AZ17</f>
        <v>1</v>
      </c>
      <c r="AX17">
        <f>UnitArms!BA17</f>
        <v>2</v>
      </c>
      <c r="AY17">
        <f>UnitArms!T17</f>
        <v>40</v>
      </c>
      <c r="AZ17">
        <f>UnitArms!U17</f>
        <v>1700</v>
      </c>
      <c r="BA17">
        <f>UnitArms!H17</f>
        <v>0</v>
      </c>
      <c r="BB17">
        <f>UnitArms!W17</f>
        <v>23030</v>
      </c>
      <c r="BC17">
        <f>UnitArms!X17</f>
        <v>25589</v>
      </c>
      <c r="BD17">
        <f>UnitArms!G17</f>
        <v>1</v>
      </c>
      <c r="BE17">
        <f>UnitArms!I17</f>
        <v>1</v>
      </c>
      <c r="BF17">
        <f>UnitArms!AP17</f>
        <v>1</v>
      </c>
      <c r="BG17" s="4">
        <v>0</v>
      </c>
    </row>
    <row r="18" spans="1:59" x14ac:dyDescent="0.3">
      <c r="A18" t="str">
        <f>UnitArms!A18</f>
        <v>unar016</v>
      </c>
      <c r="B18" t="str">
        <f>UnitArms!D18</f>
        <v>H P Knife Arm</v>
      </c>
      <c r="C18" s="1" t="str">
        <f>UnitArms!B18</f>
        <v>00400</v>
      </c>
      <c r="D18">
        <f>UnitArms!C18</f>
        <v>11</v>
      </c>
      <c r="E18" s="4" t="s">
        <v>262</v>
      </c>
      <c r="F18" s="4">
        <v>40</v>
      </c>
      <c r="G18">
        <f>UnitArms!AI18</f>
        <v>0</v>
      </c>
      <c r="H18" s="4">
        <v>0</v>
      </c>
      <c r="I18">
        <f>UnitArms!AJ18</f>
        <v>147000000</v>
      </c>
      <c r="J18">
        <f>UnitArms!AK18</f>
        <v>1</v>
      </c>
      <c r="K18" s="4">
        <v>0</v>
      </c>
      <c r="L18" s="4">
        <v>0</v>
      </c>
      <c r="M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0</v>
      </c>
      <c r="S18" s="4">
        <v>-1</v>
      </c>
      <c r="T18" s="4">
        <v>0</v>
      </c>
      <c r="U18" s="4">
        <v>0</v>
      </c>
      <c r="V18" s="4">
        <v>0</v>
      </c>
      <c r="W18">
        <f>UnitArms!M18</f>
        <v>-1</v>
      </c>
      <c r="X18">
        <f>UnitArms!E18</f>
        <v>3</v>
      </c>
      <c r="Y18" s="1" t="str">
        <f>UnitArms!F18</f>
        <v>10000000</v>
      </c>
      <c r="Z18" s="4">
        <v>0</v>
      </c>
      <c r="AA18" s="4">
        <v>0</v>
      </c>
      <c r="AB18">
        <f>UnitArms!AB18</f>
        <v>1562</v>
      </c>
      <c r="AC18">
        <f>UnitArms!AE18</f>
        <v>0</v>
      </c>
      <c r="AD18">
        <f>UnitArms!AF18</f>
        <v>0</v>
      </c>
      <c r="AE18">
        <f>UnitArms!AG18</f>
        <v>0</v>
      </c>
      <c r="AF18">
        <f>UnitArms!AH18</f>
        <v>0</v>
      </c>
      <c r="AG18">
        <f>UnitArms!Y18</f>
        <v>50</v>
      </c>
      <c r="AH18">
        <f>UnitArms!AC18</f>
        <v>0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">
        <v>0</v>
      </c>
      <c r="AO18">
        <f>UnitArms!L18</f>
        <v>51</v>
      </c>
      <c r="AP18">
        <f>UnitArms!N18</f>
        <v>2</v>
      </c>
      <c r="AQ18">
        <f>UnitArms!P18</f>
        <v>-1</v>
      </c>
      <c r="AR18">
        <f>UnitArms!O18</f>
        <v>99</v>
      </c>
      <c r="AS18">
        <f>UnitArms!Q18</f>
        <v>-1</v>
      </c>
      <c r="AT18" s="4">
        <v>0</v>
      </c>
      <c r="AU18" s="4">
        <v>0</v>
      </c>
      <c r="AV18">
        <f>UnitArms!AL18</f>
        <v>1</v>
      </c>
      <c r="AW18">
        <f>UnitArms!AZ18</f>
        <v>-1</v>
      </c>
      <c r="AX18">
        <f>UnitArms!BA18</f>
        <v>2</v>
      </c>
      <c r="AY18">
        <f>UnitArms!T18</f>
        <v>40</v>
      </c>
      <c r="AZ18">
        <f>UnitArms!U18</f>
        <v>1700</v>
      </c>
      <c r="BA18">
        <f>UnitArms!H18</f>
        <v>0</v>
      </c>
      <c r="BB18">
        <f>UnitArms!W18</f>
        <v>25333</v>
      </c>
      <c r="BC18">
        <f>UnitArms!X18</f>
        <v>28148</v>
      </c>
      <c r="BD18">
        <f>UnitArms!G18</f>
        <v>1</v>
      </c>
      <c r="BE18">
        <f>UnitArms!I18</f>
        <v>1</v>
      </c>
      <c r="BF18">
        <f>UnitArms!AP18</f>
        <v>1</v>
      </c>
      <c r="BG18" s="4">
        <v>0</v>
      </c>
    </row>
    <row r="19" spans="1:59" x14ac:dyDescent="0.3">
      <c r="A19" t="str">
        <f>UnitArms!A19</f>
        <v>unar017</v>
      </c>
      <c r="B19" t="str">
        <f>UnitArms!D19</f>
        <v>Beam Slasher Arm</v>
      </c>
      <c r="C19" s="1" t="str">
        <f>UnitArms!B19</f>
        <v>00400</v>
      </c>
      <c r="D19">
        <f>UnitArms!C19</f>
        <v>11</v>
      </c>
      <c r="E19" s="4" t="s">
        <v>262</v>
      </c>
      <c r="F19" s="4">
        <v>40</v>
      </c>
      <c r="G19">
        <f>UnitArms!AI19</f>
        <v>0</v>
      </c>
      <c r="H19" s="4">
        <v>0</v>
      </c>
      <c r="I19">
        <f>UnitArms!AJ19</f>
        <v>298200000</v>
      </c>
      <c r="J19">
        <f>UnitArms!AK19</f>
        <v>1</v>
      </c>
      <c r="K19" s="4">
        <v>0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4">
        <v>0</v>
      </c>
      <c r="R19" s="4">
        <v>0</v>
      </c>
      <c r="S19" s="4">
        <v>-1</v>
      </c>
      <c r="T19" s="4">
        <v>0</v>
      </c>
      <c r="U19" s="4">
        <v>0</v>
      </c>
      <c r="V19" s="4">
        <v>0</v>
      </c>
      <c r="W19">
        <f>UnitArms!M19</f>
        <v>-1</v>
      </c>
      <c r="X19">
        <f>UnitArms!E19</f>
        <v>3</v>
      </c>
      <c r="Y19" s="1" t="str">
        <f>UnitArms!F19</f>
        <v>10000000</v>
      </c>
      <c r="Z19" s="4">
        <v>0</v>
      </c>
      <c r="AA19" s="4">
        <v>0</v>
      </c>
      <c r="AB19">
        <f>UnitArms!AB19</f>
        <v>1875</v>
      </c>
      <c r="AC19">
        <f>UnitArms!AE19</f>
        <v>0</v>
      </c>
      <c r="AD19">
        <f>UnitArms!AF19</f>
        <v>0</v>
      </c>
      <c r="AE19">
        <f>UnitArms!AG19</f>
        <v>0</v>
      </c>
      <c r="AF19">
        <f>UnitArms!AH19</f>
        <v>0</v>
      </c>
      <c r="AG19">
        <f>UnitArms!Y19</f>
        <v>50</v>
      </c>
      <c r="AH19">
        <f>UnitArms!AC19</f>
        <v>0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">
        <v>0</v>
      </c>
      <c r="AO19">
        <f>UnitArms!L19</f>
        <v>53</v>
      </c>
      <c r="AP19">
        <f>UnitArms!N19</f>
        <v>2</v>
      </c>
      <c r="AQ19">
        <f>UnitArms!P19</f>
        <v>-1</v>
      </c>
      <c r="AR19">
        <f>UnitArms!O19</f>
        <v>99</v>
      </c>
      <c r="AS19">
        <f>UnitArms!Q19</f>
        <v>-1</v>
      </c>
      <c r="AT19" s="4">
        <v>0</v>
      </c>
      <c r="AU19" s="4">
        <v>0</v>
      </c>
      <c r="AV19">
        <f>UnitArms!AL19</f>
        <v>1</v>
      </c>
      <c r="AW19">
        <f>UnitArms!AZ19</f>
        <v>-1</v>
      </c>
      <c r="AX19">
        <f>UnitArms!BA19</f>
        <v>2</v>
      </c>
      <c r="AY19">
        <f>UnitArms!T19</f>
        <v>40</v>
      </c>
      <c r="AZ19">
        <f>UnitArms!U19</f>
        <v>1700</v>
      </c>
      <c r="BA19">
        <f>UnitArms!H19</f>
        <v>0</v>
      </c>
      <c r="BB19">
        <f>UnitArms!W19</f>
        <v>27866</v>
      </c>
      <c r="BC19">
        <f>UnitArms!X19</f>
        <v>30963</v>
      </c>
      <c r="BD19">
        <f>UnitArms!G19</f>
        <v>1</v>
      </c>
      <c r="BE19">
        <f>UnitArms!I19</f>
        <v>1</v>
      </c>
      <c r="BF19">
        <f>UnitArms!AP19</f>
        <v>1</v>
      </c>
      <c r="BG19" s="4">
        <v>0</v>
      </c>
    </row>
    <row r="20" spans="1:59" x14ac:dyDescent="0.3">
      <c r="A20" t="str">
        <f>UnitArms!A20</f>
        <v>unar018</v>
      </c>
      <c r="B20" t="str">
        <f>UnitArms!D20</f>
        <v>Titan Impact Arm</v>
      </c>
      <c r="C20" s="1" t="str">
        <f>UnitArms!B20</f>
        <v>00400</v>
      </c>
      <c r="D20">
        <f>UnitArms!C20</f>
        <v>11</v>
      </c>
      <c r="E20" s="4" t="s">
        <v>262</v>
      </c>
      <c r="F20" s="4">
        <v>40</v>
      </c>
      <c r="G20">
        <f>UnitArms!AI20</f>
        <v>0</v>
      </c>
      <c r="H20" s="4">
        <v>0</v>
      </c>
      <c r="I20">
        <f>UnitArms!AJ20</f>
        <v>453600000</v>
      </c>
      <c r="J20">
        <f>UnitArms!AK20</f>
        <v>1</v>
      </c>
      <c r="K20" s="4">
        <v>0</v>
      </c>
      <c r="L20" s="4">
        <v>0</v>
      </c>
      <c r="M20" s="4">
        <v>0</v>
      </c>
      <c r="N20" s="4">
        <v>0</v>
      </c>
      <c r="O20" s="4">
        <v>0</v>
      </c>
      <c r="P20" s="4">
        <v>0</v>
      </c>
      <c r="Q20" s="4">
        <v>0</v>
      </c>
      <c r="R20" s="4">
        <v>0</v>
      </c>
      <c r="S20" s="4">
        <v>-1</v>
      </c>
      <c r="T20" s="4">
        <v>0</v>
      </c>
      <c r="U20" s="4">
        <v>0</v>
      </c>
      <c r="V20" s="4">
        <v>0</v>
      </c>
      <c r="W20">
        <f>UnitArms!M20</f>
        <v>-1</v>
      </c>
      <c r="X20">
        <f>UnitArms!E20</f>
        <v>3</v>
      </c>
      <c r="Y20" s="1" t="str">
        <f>UnitArms!F20</f>
        <v>10000000</v>
      </c>
      <c r="Z20" s="4">
        <v>0</v>
      </c>
      <c r="AA20" s="4">
        <v>0</v>
      </c>
      <c r="AB20">
        <f>UnitArms!AB20</f>
        <v>2437</v>
      </c>
      <c r="AC20">
        <f>UnitArms!AE20</f>
        <v>0</v>
      </c>
      <c r="AD20">
        <f>UnitArms!AF20</f>
        <v>0</v>
      </c>
      <c r="AE20">
        <f>UnitArms!AG20</f>
        <v>0</v>
      </c>
      <c r="AF20">
        <f>UnitArms!AH20</f>
        <v>0</v>
      </c>
      <c r="AG20">
        <f>UnitArms!Y20</f>
        <v>50</v>
      </c>
      <c r="AH20">
        <f>UnitArms!AC20</f>
        <v>0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">
        <v>0</v>
      </c>
      <c r="AO20">
        <f>UnitArms!L20</f>
        <v>55</v>
      </c>
      <c r="AP20">
        <f>UnitArms!N20</f>
        <v>2</v>
      </c>
      <c r="AQ20">
        <f>UnitArms!P20</f>
        <v>-1</v>
      </c>
      <c r="AR20">
        <f>UnitArms!O20</f>
        <v>99</v>
      </c>
      <c r="AS20">
        <f>UnitArms!Q20</f>
        <v>-1</v>
      </c>
      <c r="AT20" s="4">
        <v>0</v>
      </c>
      <c r="AU20" s="4">
        <v>0</v>
      </c>
      <c r="AV20">
        <f>UnitArms!AL20</f>
        <v>1</v>
      </c>
      <c r="AW20">
        <f>UnitArms!AZ20</f>
        <v>-1</v>
      </c>
      <c r="AX20">
        <f>UnitArms!BA20</f>
        <v>2</v>
      </c>
      <c r="AY20">
        <f>UnitArms!T20</f>
        <v>40</v>
      </c>
      <c r="AZ20">
        <f>UnitArms!U20</f>
        <v>1700</v>
      </c>
      <c r="BA20">
        <f>UnitArms!H20</f>
        <v>0</v>
      </c>
      <c r="BB20">
        <f>UnitArms!W20</f>
        <v>30653</v>
      </c>
      <c r="BC20">
        <f>UnitArms!X20</f>
        <v>34059</v>
      </c>
      <c r="BD20">
        <f>UnitArms!G20</f>
        <v>1</v>
      </c>
      <c r="BE20">
        <f>UnitArms!I20</f>
        <v>1</v>
      </c>
      <c r="BF20">
        <f>UnitArms!AP20</f>
        <v>1</v>
      </c>
      <c r="BG20" s="4">
        <v>0</v>
      </c>
    </row>
    <row r="21" spans="1:59" x14ac:dyDescent="0.3">
      <c r="A21" t="str">
        <f>UnitArms!A21</f>
        <v>unar019</v>
      </c>
      <c r="B21" t="str">
        <f>UnitArms!D21</f>
        <v>Venom Arm</v>
      </c>
      <c r="C21" s="1" t="str">
        <f>UnitArms!B21</f>
        <v>0042D</v>
      </c>
      <c r="D21">
        <f>UnitArms!C21</f>
        <v>16</v>
      </c>
      <c r="E21" s="4" t="s">
        <v>262</v>
      </c>
      <c r="F21" s="4">
        <v>40</v>
      </c>
      <c r="G21">
        <f>UnitArms!AI21</f>
        <v>0</v>
      </c>
      <c r="H21" s="4">
        <v>0</v>
      </c>
      <c r="I21">
        <f>UnitArms!AJ21</f>
        <v>725760000</v>
      </c>
      <c r="J21">
        <f>UnitArms!AK21</f>
        <v>1</v>
      </c>
      <c r="K21" s="4">
        <v>0</v>
      </c>
      <c r="L21" s="4">
        <v>0</v>
      </c>
      <c r="M21" s="4">
        <v>0</v>
      </c>
      <c r="N21" s="4">
        <v>0</v>
      </c>
      <c r="O21" s="4">
        <v>0</v>
      </c>
      <c r="P21" s="4">
        <v>0</v>
      </c>
      <c r="Q21" s="4">
        <v>0</v>
      </c>
      <c r="R21" s="4">
        <v>0</v>
      </c>
      <c r="S21" s="4">
        <v>-1</v>
      </c>
      <c r="T21" s="4">
        <v>0</v>
      </c>
      <c r="U21" s="4">
        <v>0</v>
      </c>
      <c r="V21" s="4">
        <v>0</v>
      </c>
      <c r="W21">
        <f>UnitArms!M21</f>
        <v>-1</v>
      </c>
      <c r="X21">
        <f>UnitArms!E21</f>
        <v>3</v>
      </c>
      <c r="Y21" s="1" t="str">
        <f>UnitArms!F21</f>
        <v>10000000</v>
      </c>
      <c r="Z21" s="4">
        <v>0</v>
      </c>
      <c r="AA21" s="4">
        <v>0</v>
      </c>
      <c r="AB21">
        <f>UnitArms!AB21</f>
        <v>2924</v>
      </c>
      <c r="AC21">
        <f>UnitArms!AE21</f>
        <v>0</v>
      </c>
      <c r="AD21">
        <f>UnitArms!AF21</f>
        <v>0</v>
      </c>
      <c r="AE21">
        <f>UnitArms!AG21</f>
        <v>0</v>
      </c>
      <c r="AF21">
        <f>UnitArms!AH21</f>
        <v>0</v>
      </c>
      <c r="AG21">
        <f>UnitArms!Y21</f>
        <v>50</v>
      </c>
      <c r="AH21">
        <f>UnitArms!AC21</f>
        <v>0</v>
      </c>
      <c r="AI21" s="4">
        <v>0</v>
      </c>
      <c r="AJ21" s="4">
        <v>0</v>
      </c>
      <c r="AK21" s="4">
        <v>0</v>
      </c>
      <c r="AL21" s="4">
        <v>0</v>
      </c>
      <c r="AM21" s="4">
        <v>0</v>
      </c>
      <c r="AN21" s="4">
        <v>0</v>
      </c>
      <c r="AO21">
        <f>UnitArms!L21</f>
        <v>59</v>
      </c>
      <c r="AP21">
        <f>UnitArms!N21</f>
        <v>2</v>
      </c>
      <c r="AQ21">
        <f>UnitArms!P21</f>
        <v>-1</v>
      </c>
      <c r="AR21">
        <f>UnitArms!O21</f>
        <v>99</v>
      </c>
      <c r="AS21">
        <f>UnitArms!Q21</f>
        <v>-1</v>
      </c>
      <c r="AT21" s="4">
        <v>0</v>
      </c>
      <c r="AU21" s="4">
        <v>0</v>
      </c>
      <c r="AV21">
        <f>UnitArms!AL21</f>
        <v>4</v>
      </c>
      <c r="AW21">
        <f>UnitArms!AZ21</f>
        <v>-1</v>
      </c>
      <c r="AX21">
        <f>UnitArms!BA21</f>
        <v>2</v>
      </c>
      <c r="AY21">
        <f>UnitArms!T21</f>
        <v>40</v>
      </c>
      <c r="AZ21">
        <f>UnitArms!U21</f>
        <v>1700</v>
      </c>
      <c r="BA21">
        <f>UnitArms!H21</f>
        <v>0</v>
      </c>
      <c r="BB21">
        <f>UnitArms!W21</f>
        <v>36784</v>
      </c>
      <c r="BC21">
        <f>UnitArms!X21</f>
        <v>40871</v>
      </c>
      <c r="BD21">
        <f>UnitArms!G21</f>
        <v>1</v>
      </c>
      <c r="BE21">
        <f>UnitArms!I21</f>
        <v>1</v>
      </c>
      <c r="BF21">
        <f>UnitArms!AP21</f>
        <v>1</v>
      </c>
      <c r="BG21" s="4">
        <v>0</v>
      </c>
    </row>
    <row r="22" spans="1:59" x14ac:dyDescent="0.3">
      <c r="A22" t="str">
        <f>UnitArms!A22</f>
        <v>unar020</v>
      </c>
      <c r="B22" t="str">
        <f>UnitArms!D22</f>
        <v>Mirage Arm</v>
      </c>
      <c r="C22" s="1" t="str">
        <f>UnitArms!B22</f>
        <v>0042D</v>
      </c>
      <c r="D22">
        <f>UnitArms!C22</f>
        <v>16</v>
      </c>
      <c r="E22" s="4" t="s">
        <v>262</v>
      </c>
      <c r="F22" s="4">
        <v>40</v>
      </c>
      <c r="G22">
        <f>UnitArms!AI22</f>
        <v>0</v>
      </c>
      <c r="H22" s="4">
        <v>0</v>
      </c>
      <c r="I22">
        <f>UnitArms!AJ22</f>
        <v>907200000</v>
      </c>
      <c r="J22">
        <f>UnitArms!AK22</f>
        <v>1</v>
      </c>
      <c r="K22" s="4">
        <v>0</v>
      </c>
      <c r="L22" s="4">
        <v>0</v>
      </c>
      <c r="M22" s="4">
        <v>0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-1</v>
      </c>
      <c r="T22" s="4">
        <v>0</v>
      </c>
      <c r="U22" s="4">
        <v>0</v>
      </c>
      <c r="V22" s="4">
        <v>0</v>
      </c>
      <c r="W22">
        <f>UnitArms!M22</f>
        <v>-1</v>
      </c>
      <c r="X22">
        <f>UnitArms!E22</f>
        <v>3</v>
      </c>
      <c r="Y22" s="1" t="str">
        <f>UnitArms!F22</f>
        <v>10000000</v>
      </c>
      <c r="Z22" s="4">
        <v>0</v>
      </c>
      <c r="AA22" s="4">
        <v>0</v>
      </c>
      <c r="AB22">
        <f>UnitArms!AB22</f>
        <v>3509</v>
      </c>
      <c r="AC22">
        <f>UnitArms!AE22</f>
        <v>0</v>
      </c>
      <c r="AD22">
        <f>UnitArms!AF22</f>
        <v>0</v>
      </c>
      <c r="AE22">
        <f>UnitArms!AG22</f>
        <v>0</v>
      </c>
      <c r="AF22">
        <f>UnitArms!AH22</f>
        <v>0</v>
      </c>
      <c r="AG22">
        <f>UnitArms!Y22</f>
        <v>50</v>
      </c>
      <c r="AH22">
        <f>UnitArms!AC22</f>
        <v>0</v>
      </c>
      <c r="AI22" s="4">
        <v>0</v>
      </c>
      <c r="AJ22" s="4">
        <v>0</v>
      </c>
      <c r="AK22" s="4">
        <v>0</v>
      </c>
      <c r="AL22" s="4">
        <v>0</v>
      </c>
      <c r="AM22" s="4">
        <v>0</v>
      </c>
      <c r="AN22" s="4">
        <v>0</v>
      </c>
      <c r="AO22">
        <f>UnitArms!L22</f>
        <v>64</v>
      </c>
      <c r="AP22">
        <f>UnitArms!N22</f>
        <v>2</v>
      </c>
      <c r="AQ22">
        <f>UnitArms!P22</f>
        <v>-1</v>
      </c>
      <c r="AR22">
        <f>UnitArms!O22</f>
        <v>99</v>
      </c>
      <c r="AS22">
        <f>UnitArms!Q22</f>
        <v>-1</v>
      </c>
      <c r="AT22" s="4">
        <v>0</v>
      </c>
      <c r="AU22" s="4">
        <v>0</v>
      </c>
      <c r="AV22">
        <f>UnitArms!AL22</f>
        <v>5</v>
      </c>
      <c r="AW22">
        <f>UnitArms!AZ22</f>
        <v>-1</v>
      </c>
      <c r="AX22">
        <f>UnitArms!BA22</f>
        <v>2</v>
      </c>
      <c r="AY22">
        <f>UnitArms!T22</f>
        <v>40</v>
      </c>
      <c r="AZ22">
        <f>UnitArms!U22</f>
        <v>1700</v>
      </c>
      <c r="BA22">
        <f>UnitArms!H22</f>
        <v>0</v>
      </c>
      <c r="BB22">
        <f>UnitArms!W22</f>
        <v>37740</v>
      </c>
      <c r="BC22">
        <f>UnitArms!X22</f>
        <v>41933</v>
      </c>
      <c r="BD22">
        <f>UnitArms!G22</f>
        <v>1</v>
      </c>
      <c r="BE22">
        <f>UnitArms!I22</f>
        <v>1</v>
      </c>
      <c r="BF22">
        <f>UnitArms!AP22</f>
        <v>1</v>
      </c>
      <c r="BG22" s="4">
        <v>0</v>
      </c>
    </row>
    <row r="23" spans="1:59" x14ac:dyDescent="0.3">
      <c r="A23" t="str">
        <f>UnitArms!A23</f>
        <v>unar021</v>
      </c>
      <c r="B23" t="str">
        <f>UnitArms!D23</f>
        <v>Vulcan</v>
      </c>
      <c r="C23" s="1" t="str">
        <f>UnitArms!B23</f>
        <v>10415</v>
      </c>
      <c r="D23">
        <f>UnitArms!C23</f>
        <v>4</v>
      </c>
      <c r="E23" s="4" t="s">
        <v>262</v>
      </c>
      <c r="F23" s="4">
        <v>40</v>
      </c>
      <c r="G23">
        <f>UnitArms!AI23</f>
        <v>0</v>
      </c>
      <c r="H23" s="4">
        <v>0</v>
      </c>
      <c r="I23">
        <f>UnitArms!AJ23</f>
        <v>100000</v>
      </c>
      <c r="J23">
        <f>UnitArms!AK23</f>
        <v>1</v>
      </c>
      <c r="K23" s="4">
        <v>0</v>
      </c>
      <c r="L23" s="4">
        <v>0</v>
      </c>
      <c r="M23" s="4">
        <v>0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-1</v>
      </c>
      <c r="T23" s="4">
        <v>0</v>
      </c>
      <c r="U23" s="4">
        <v>0</v>
      </c>
      <c r="V23" s="4">
        <v>0</v>
      </c>
      <c r="W23">
        <f>UnitArms!M23</f>
        <v>-1</v>
      </c>
      <c r="X23">
        <f>UnitArms!E23</f>
        <v>3</v>
      </c>
      <c r="Y23" s="1" t="str">
        <f>UnitArms!F23</f>
        <v>01000000</v>
      </c>
      <c r="Z23" s="4">
        <v>0</v>
      </c>
      <c r="AA23" s="4">
        <v>0</v>
      </c>
      <c r="AB23">
        <f>UnitArms!AB23</f>
        <v>185</v>
      </c>
      <c r="AC23">
        <f>UnitArms!AE23</f>
        <v>0</v>
      </c>
      <c r="AD23">
        <f>UnitArms!AF23</f>
        <v>0</v>
      </c>
      <c r="AE23">
        <f>UnitArms!AG23</f>
        <v>0</v>
      </c>
      <c r="AF23">
        <f>UnitArms!AH23</f>
        <v>0</v>
      </c>
      <c r="AG23">
        <f>UnitArms!Y23</f>
        <v>20</v>
      </c>
      <c r="AH23">
        <f>UnitArms!AC23</f>
        <v>0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">
        <v>0</v>
      </c>
      <c r="AO23">
        <f>UnitArms!L23</f>
        <v>30</v>
      </c>
      <c r="AP23">
        <f>UnitArms!N23</f>
        <v>2</v>
      </c>
      <c r="AQ23">
        <f>UnitArms!P23</f>
        <v>-1</v>
      </c>
      <c r="AR23">
        <f>UnitArms!O23</f>
        <v>1</v>
      </c>
      <c r="AS23">
        <f>UnitArms!Q23</f>
        <v>-1</v>
      </c>
      <c r="AT23" s="4">
        <v>0</v>
      </c>
      <c r="AU23" s="4">
        <v>0</v>
      </c>
      <c r="AV23">
        <f>UnitArms!AL23</f>
        <v>1</v>
      </c>
      <c r="AW23">
        <f>UnitArms!AZ23</f>
        <v>9</v>
      </c>
      <c r="AX23">
        <f>UnitArms!BA23</f>
        <v>2</v>
      </c>
      <c r="AY23">
        <f>UnitArms!T23</f>
        <v>225</v>
      </c>
      <c r="AZ23">
        <f>UnitArms!U23</f>
        <v>1700</v>
      </c>
      <c r="BA23">
        <f>UnitArms!H23</f>
        <v>5</v>
      </c>
      <c r="BB23">
        <f>UnitArms!W23</f>
        <v>1442</v>
      </c>
      <c r="BC23">
        <f>UnitArms!X23</f>
        <v>1602</v>
      </c>
      <c r="BD23">
        <f>UnitArms!G23</f>
        <v>2</v>
      </c>
      <c r="BE23">
        <f>UnitArms!I23</f>
        <v>1</v>
      </c>
      <c r="BF23">
        <f>UnitArms!AP23</f>
        <v>1</v>
      </c>
      <c r="BG23" s="4">
        <v>0</v>
      </c>
    </row>
    <row r="24" spans="1:59" x14ac:dyDescent="0.3">
      <c r="A24" t="str">
        <f>UnitArms!A24</f>
        <v>unar022</v>
      </c>
      <c r="B24" t="str">
        <f>UnitArms!D24</f>
        <v>Fire Blaster</v>
      </c>
      <c r="C24" s="1" t="str">
        <f>UnitArms!B24</f>
        <v>10415</v>
      </c>
      <c r="D24">
        <f>UnitArms!C24</f>
        <v>5</v>
      </c>
      <c r="E24" s="4" t="s">
        <v>262</v>
      </c>
      <c r="F24" s="4">
        <v>40</v>
      </c>
      <c r="G24">
        <f>UnitArms!AI24</f>
        <v>0</v>
      </c>
      <c r="H24" s="4">
        <v>0</v>
      </c>
      <c r="I24">
        <f>UnitArms!AJ24</f>
        <v>200000</v>
      </c>
      <c r="J24">
        <f>UnitArms!AK24</f>
        <v>4</v>
      </c>
      <c r="K24" s="4">
        <v>0</v>
      </c>
      <c r="L24" s="4">
        <v>0</v>
      </c>
      <c r="M24" s="4">
        <v>0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-1</v>
      </c>
      <c r="T24" s="4">
        <v>0</v>
      </c>
      <c r="U24" s="4">
        <v>0</v>
      </c>
      <c r="V24" s="4">
        <v>0</v>
      </c>
      <c r="W24">
        <f>UnitArms!M24</f>
        <v>-1</v>
      </c>
      <c r="X24">
        <f>UnitArms!E24</f>
        <v>3</v>
      </c>
      <c r="Y24" s="1" t="str">
        <f>UnitArms!F24</f>
        <v>01000000</v>
      </c>
      <c r="Z24" s="4">
        <v>0</v>
      </c>
      <c r="AA24" s="4">
        <v>0</v>
      </c>
      <c r="AB24">
        <f>UnitArms!AB24</f>
        <v>185</v>
      </c>
      <c r="AC24">
        <f>UnitArms!AE24</f>
        <v>0</v>
      </c>
      <c r="AD24">
        <f>UnitArms!AF24</f>
        <v>0</v>
      </c>
      <c r="AE24">
        <f>UnitArms!AG24</f>
        <v>0</v>
      </c>
      <c r="AF24">
        <f>UnitArms!AH24</f>
        <v>0</v>
      </c>
      <c r="AG24">
        <f>UnitArms!Y24</f>
        <v>25</v>
      </c>
      <c r="AH24">
        <f>UnitArms!AC24</f>
        <v>0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">
        <v>0</v>
      </c>
      <c r="AO24">
        <f>UnitArms!L24</f>
        <v>30</v>
      </c>
      <c r="AP24">
        <f>UnitArms!N24</f>
        <v>2</v>
      </c>
      <c r="AQ24">
        <f>UnitArms!P24</f>
        <v>-1</v>
      </c>
      <c r="AR24">
        <f>UnitArms!O24</f>
        <v>15</v>
      </c>
      <c r="AS24">
        <f>UnitArms!Q24</f>
        <v>-1</v>
      </c>
      <c r="AT24" s="4">
        <v>0</v>
      </c>
      <c r="AU24" s="4">
        <v>0</v>
      </c>
      <c r="AV24">
        <f>UnitArms!AL24</f>
        <v>4</v>
      </c>
      <c r="AW24">
        <f>UnitArms!AZ24</f>
        <v>9</v>
      </c>
      <c r="AX24">
        <f>UnitArms!BA24</f>
        <v>2</v>
      </c>
      <c r="AY24">
        <f>UnitArms!T24</f>
        <v>225</v>
      </c>
      <c r="AZ24">
        <f>UnitArms!U24</f>
        <v>1700</v>
      </c>
      <c r="BA24">
        <f>UnitArms!H24</f>
        <v>5</v>
      </c>
      <c r="BB24">
        <f>UnitArms!W24</f>
        <v>1730</v>
      </c>
      <c r="BC24">
        <f>UnitArms!X24</f>
        <v>1922</v>
      </c>
      <c r="BD24">
        <f>UnitArms!G24</f>
        <v>3</v>
      </c>
      <c r="BE24">
        <f>UnitArms!I24</f>
        <v>1</v>
      </c>
      <c r="BF24">
        <f>UnitArms!AP24</f>
        <v>1</v>
      </c>
      <c r="BG24" s="4">
        <v>0</v>
      </c>
    </row>
    <row r="25" spans="1:59" x14ac:dyDescent="0.3">
      <c r="A25" t="str">
        <f>UnitArms!A25</f>
        <v>unar023</v>
      </c>
      <c r="B25" t="str">
        <f>UnitArms!D25</f>
        <v>Rocket Launcher</v>
      </c>
      <c r="C25" s="1" t="str">
        <f>UnitArms!B25</f>
        <v>10416</v>
      </c>
      <c r="D25">
        <f>UnitArms!C25</f>
        <v>6</v>
      </c>
      <c r="E25" s="4" t="s">
        <v>262</v>
      </c>
      <c r="F25" s="4">
        <v>40</v>
      </c>
      <c r="G25">
        <f>UnitArms!AI25</f>
        <v>0</v>
      </c>
      <c r="H25" s="4">
        <v>0</v>
      </c>
      <c r="I25">
        <f>UnitArms!AJ25</f>
        <v>300000</v>
      </c>
      <c r="J25">
        <f>UnitArms!AK25</f>
        <v>4</v>
      </c>
      <c r="K25" s="4">
        <v>0</v>
      </c>
      <c r="L25" s="4">
        <v>0</v>
      </c>
      <c r="M25" s="4">
        <v>0</v>
      </c>
      <c r="N25" s="4">
        <v>0</v>
      </c>
      <c r="O25" s="4">
        <v>0</v>
      </c>
      <c r="P25" s="4">
        <v>0</v>
      </c>
      <c r="Q25" s="4">
        <v>0</v>
      </c>
      <c r="R25" s="4">
        <v>0</v>
      </c>
      <c r="S25" s="4">
        <v>-1</v>
      </c>
      <c r="T25" s="4">
        <v>0</v>
      </c>
      <c r="U25" s="4">
        <v>0</v>
      </c>
      <c r="V25" s="4">
        <v>0</v>
      </c>
      <c r="W25">
        <f>UnitArms!M25</f>
        <v>-1</v>
      </c>
      <c r="X25">
        <f>UnitArms!E25</f>
        <v>3</v>
      </c>
      <c r="Y25" s="1" t="str">
        <f>UnitArms!F25</f>
        <v>01000000</v>
      </c>
      <c r="Z25" s="4">
        <v>0</v>
      </c>
      <c r="AA25" s="4">
        <v>0</v>
      </c>
      <c r="AB25">
        <f>UnitArms!AB25</f>
        <v>185</v>
      </c>
      <c r="AC25">
        <f>UnitArms!AE25</f>
        <v>0</v>
      </c>
      <c r="AD25">
        <f>UnitArms!AF25</f>
        <v>0</v>
      </c>
      <c r="AE25">
        <f>UnitArms!AG25</f>
        <v>0</v>
      </c>
      <c r="AF25">
        <f>UnitArms!AH25</f>
        <v>0</v>
      </c>
      <c r="AG25">
        <f>UnitArms!Y25</f>
        <v>35</v>
      </c>
      <c r="AH25">
        <f>UnitArms!AC25</f>
        <v>0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">
        <v>0</v>
      </c>
      <c r="AO25">
        <f>UnitArms!L25</f>
        <v>30</v>
      </c>
      <c r="AP25">
        <f>UnitArms!N25</f>
        <v>2</v>
      </c>
      <c r="AQ25">
        <f>UnitArms!P25</f>
        <v>-1</v>
      </c>
      <c r="AR25">
        <f>UnitArms!O25</f>
        <v>30</v>
      </c>
      <c r="AS25">
        <f>UnitArms!Q25</f>
        <v>-1</v>
      </c>
      <c r="AT25" s="4">
        <v>0</v>
      </c>
      <c r="AU25" s="4">
        <v>0</v>
      </c>
      <c r="AV25">
        <f>UnitArms!AL25</f>
        <v>4</v>
      </c>
      <c r="AW25">
        <f>UnitArms!AZ25</f>
        <v>12</v>
      </c>
      <c r="AX25">
        <f>UnitArms!BA25</f>
        <v>2</v>
      </c>
      <c r="AY25">
        <f>UnitArms!T25</f>
        <v>225</v>
      </c>
      <c r="AZ25">
        <f>UnitArms!U25</f>
        <v>1700</v>
      </c>
      <c r="BA25">
        <f>UnitArms!H25</f>
        <v>5</v>
      </c>
      <c r="BB25">
        <f>UnitArms!W25</f>
        <v>2019</v>
      </c>
      <c r="BC25">
        <f>UnitArms!X25</f>
        <v>2243</v>
      </c>
      <c r="BD25">
        <f>UnitArms!G25</f>
        <v>4</v>
      </c>
      <c r="BE25">
        <f>UnitArms!I25</f>
        <v>1</v>
      </c>
      <c r="BF25">
        <f>UnitArms!AP25</f>
        <v>1</v>
      </c>
      <c r="BG25" s="4">
        <v>0</v>
      </c>
    </row>
    <row r="26" spans="1:59" x14ac:dyDescent="0.3">
      <c r="A26" t="str">
        <f>UnitArms!A26</f>
        <v>unar024</v>
      </c>
      <c r="B26" t="str">
        <f>UnitArms!D26</f>
        <v>Ice Blaster</v>
      </c>
      <c r="C26" s="1" t="str">
        <f>UnitArms!B26</f>
        <v>1042E</v>
      </c>
      <c r="D26">
        <f>UnitArms!C26</f>
        <v>17</v>
      </c>
      <c r="E26" s="4" t="s">
        <v>262</v>
      </c>
      <c r="F26" s="4">
        <v>40</v>
      </c>
      <c r="G26">
        <f>UnitArms!AI26</f>
        <v>0</v>
      </c>
      <c r="H26" s="4">
        <v>0</v>
      </c>
      <c r="I26">
        <f>UnitArms!AJ26</f>
        <v>1088640000</v>
      </c>
      <c r="J26">
        <f>UnitArms!AK26</f>
        <v>9</v>
      </c>
      <c r="K26" s="4">
        <v>0</v>
      </c>
      <c r="L26" s="4">
        <v>0</v>
      </c>
      <c r="M26" s="4">
        <v>0</v>
      </c>
      <c r="N26" s="4">
        <v>0</v>
      </c>
      <c r="O26" s="4">
        <v>0</v>
      </c>
      <c r="P26" s="4">
        <v>0</v>
      </c>
      <c r="Q26" s="4">
        <v>0</v>
      </c>
      <c r="R26" s="4">
        <v>0</v>
      </c>
      <c r="S26" s="4">
        <v>-1</v>
      </c>
      <c r="T26" s="4">
        <v>0</v>
      </c>
      <c r="U26" s="4">
        <v>0</v>
      </c>
      <c r="V26" s="4">
        <v>0</v>
      </c>
      <c r="W26">
        <f>UnitArms!M26</f>
        <v>-1</v>
      </c>
      <c r="X26">
        <f>UnitArms!E26</f>
        <v>3</v>
      </c>
      <c r="Y26" s="1" t="str">
        <f>UnitArms!F26</f>
        <v>01000000</v>
      </c>
      <c r="Z26" s="4">
        <v>0</v>
      </c>
      <c r="AA26" s="4">
        <v>0</v>
      </c>
      <c r="AB26">
        <f>UnitArms!AB26</f>
        <v>2774</v>
      </c>
      <c r="AC26">
        <f>UnitArms!AE26</f>
        <v>0</v>
      </c>
      <c r="AD26">
        <f>UnitArms!AF26</f>
        <v>0</v>
      </c>
      <c r="AE26">
        <f>UnitArms!AG26</f>
        <v>0</v>
      </c>
      <c r="AF26">
        <f>UnitArms!AH26</f>
        <v>0</v>
      </c>
      <c r="AG26">
        <f>UnitArms!Y26</f>
        <v>50</v>
      </c>
      <c r="AH26">
        <f>UnitArms!AC26</f>
        <v>0</v>
      </c>
      <c r="AI26" s="4">
        <v>0</v>
      </c>
      <c r="AJ26" s="4">
        <v>0</v>
      </c>
      <c r="AK26" s="4">
        <v>0</v>
      </c>
      <c r="AL26" s="4">
        <v>0</v>
      </c>
      <c r="AM26" s="4">
        <v>0</v>
      </c>
      <c r="AN26" s="4">
        <v>0</v>
      </c>
      <c r="AO26">
        <f>UnitArms!L26</f>
        <v>69</v>
      </c>
      <c r="AP26">
        <f>UnitArms!N26</f>
        <v>2</v>
      </c>
      <c r="AQ26">
        <f>UnitArms!P26</f>
        <v>-1</v>
      </c>
      <c r="AR26">
        <f>UnitArms!O26</f>
        <v>99</v>
      </c>
      <c r="AS26">
        <f>UnitArms!Q26</f>
        <v>-1</v>
      </c>
      <c r="AT26" s="4">
        <v>0</v>
      </c>
      <c r="AU26" s="4">
        <v>0</v>
      </c>
      <c r="AV26">
        <f>UnitArms!AL26</f>
        <v>56</v>
      </c>
      <c r="AW26">
        <f>UnitArms!AZ26</f>
        <v>-1</v>
      </c>
      <c r="AX26">
        <f>UnitArms!BA26</f>
        <v>2</v>
      </c>
      <c r="AY26">
        <f>UnitArms!T26</f>
        <v>240</v>
      </c>
      <c r="AZ26">
        <f>UnitArms!U26</f>
        <v>1700</v>
      </c>
      <c r="BA26">
        <f>UnitArms!H26</f>
        <v>5</v>
      </c>
      <c r="BB26">
        <f>UnitArms!W26</f>
        <v>69215</v>
      </c>
      <c r="BC26">
        <f>UnitArms!X26</f>
        <v>76904</v>
      </c>
      <c r="BD26">
        <f>UnitArms!G26</f>
        <v>2</v>
      </c>
      <c r="BE26">
        <f>UnitArms!I26</f>
        <v>1</v>
      </c>
      <c r="BF26">
        <f>UnitArms!AP26</f>
        <v>1</v>
      </c>
      <c r="BG26" s="4">
        <v>0</v>
      </c>
    </row>
    <row r="27" spans="1:59" x14ac:dyDescent="0.3">
      <c r="A27" t="str">
        <f>UnitArms!A27</f>
        <v>unar025</v>
      </c>
      <c r="B27" t="str">
        <f>UnitArms!D27</f>
        <v>Galvanic Dynamo Launcher</v>
      </c>
      <c r="C27" s="1" t="str">
        <f>UnitArms!B27</f>
        <v>10414</v>
      </c>
      <c r="D27">
        <f>UnitArms!C27</f>
        <v>6</v>
      </c>
      <c r="E27" s="4" t="s">
        <v>262</v>
      </c>
      <c r="F27" s="4">
        <v>40</v>
      </c>
      <c r="G27">
        <f>UnitArms!AI27</f>
        <v>0</v>
      </c>
      <c r="H27" s="4">
        <v>0</v>
      </c>
      <c r="I27">
        <f>UnitArms!AJ27</f>
        <v>600000</v>
      </c>
      <c r="J27">
        <f>UnitArms!AK27</f>
        <v>1</v>
      </c>
      <c r="K27" s="4">
        <v>0</v>
      </c>
      <c r="L27" s="4">
        <v>0</v>
      </c>
      <c r="M27" s="4">
        <v>0</v>
      </c>
      <c r="N27" s="4">
        <v>0</v>
      </c>
      <c r="O27" s="4">
        <v>0</v>
      </c>
      <c r="P27" s="4">
        <v>0</v>
      </c>
      <c r="Q27" s="4">
        <v>0</v>
      </c>
      <c r="R27" s="4">
        <v>0</v>
      </c>
      <c r="S27" s="4">
        <v>-1</v>
      </c>
      <c r="T27" s="4">
        <v>0</v>
      </c>
      <c r="U27" s="4">
        <v>0</v>
      </c>
      <c r="V27" s="4">
        <v>0</v>
      </c>
      <c r="W27">
        <f>UnitArms!M27</f>
        <v>-1</v>
      </c>
      <c r="X27">
        <f>UnitArms!E27</f>
        <v>3</v>
      </c>
      <c r="Y27" s="1" t="str">
        <f>UnitArms!F27</f>
        <v>01000000</v>
      </c>
      <c r="Z27" s="4">
        <v>0</v>
      </c>
      <c r="AA27" s="4">
        <v>0</v>
      </c>
      <c r="AB27">
        <f>UnitArms!AB27</f>
        <v>248</v>
      </c>
      <c r="AC27">
        <f>UnitArms!AE27</f>
        <v>0</v>
      </c>
      <c r="AD27">
        <f>UnitArms!AF27</f>
        <v>0</v>
      </c>
      <c r="AE27">
        <f>UnitArms!AG27</f>
        <v>0</v>
      </c>
      <c r="AF27">
        <f>UnitArms!AH27</f>
        <v>0</v>
      </c>
      <c r="AG27">
        <f>UnitArms!Y27</f>
        <v>50</v>
      </c>
      <c r="AH27">
        <f>UnitArms!AC27</f>
        <v>0</v>
      </c>
      <c r="AI27" s="4">
        <v>0</v>
      </c>
      <c r="AJ27" s="4">
        <v>0</v>
      </c>
      <c r="AK27" s="4">
        <v>0</v>
      </c>
      <c r="AL27" s="4">
        <v>0</v>
      </c>
      <c r="AM27" s="4">
        <v>0</v>
      </c>
      <c r="AN27" s="4">
        <v>0</v>
      </c>
      <c r="AO27">
        <f>UnitArms!L27</f>
        <v>35</v>
      </c>
      <c r="AP27">
        <f>UnitArms!N27</f>
        <v>2</v>
      </c>
      <c r="AQ27">
        <f>UnitArms!P27</f>
        <v>-1</v>
      </c>
      <c r="AR27">
        <f>UnitArms!O27</f>
        <v>52</v>
      </c>
      <c r="AS27">
        <f>UnitArms!Q27</f>
        <v>-1</v>
      </c>
      <c r="AT27" s="4">
        <v>0</v>
      </c>
      <c r="AU27" s="4">
        <v>0</v>
      </c>
      <c r="AV27">
        <f>UnitArms!AL27</f>
        <v>1</v>
      </c>
      <c r="AW27">
        <f>UnitArms!AZ27</f>
        <v>12</v>
      </c>
      <c r="AX27">
        <f>UnitArms!BA27</f>
        <v>2</v>
      </c>
      <c r="AY27">
        <f>UnitArms!T27</f>
        <v>225</v>
      </c>
      <c r="AZ27">
        <f>UnitArms!U27</f>
        <v>1700</v>
      </c>
      <c r="BA27">
        <f>UnitArms!H27</f>
        <v>5</v>
      </c>
      <c r="BB27">
        <f>UnitArms!W27</f>
        <v>2568</v>
      </c>
      <c r="BC27">
        <f>UnitArms!X27</f>
        <v>2854</v>
      </c>
      <c r="BD27">
        <f>UnitArms!G27</f>
        <v>4</v>
      </c>
      <c r="BE27">
        <f>UnitArms!I27</f>
        <v>1</v>
      </c>
      <c r="BF27">
        <f>UnitArms!AP27</f>
        <v>1</v>
      </c>
      <c r="BG27" s="4">
        <v>0</v>
      </c>
    </row>
    <row r="28" spans="1:59" x14ac:dyDescent="0.3">
      <c r="A28" t="str">
        <f>UnitArms!A28</f>
        <v>unar026</v>
      </c>
      <c r="B28" t="str">
        <f>UnitArms!D28</f>
        <v>Beam Bazooka Launcher</v>
      </c>
      <c r="C28" s="1" t="str">
        <f>UnitArms!B28</f>
        <v>10416</v>
      </c>
      <c r="D28">
        <f>UnitArms!C28</f>
        <v>6</v>
      </c>
      <c r="E28" s="4" t="s">
        <v>262</v>
      </c>
      <c r="F28" s="4">
        <v>40</v>
      </c>
      <c r="G28">
        <f>UnitArms!AI28</f>
        <v>0</v>
      </c>
      <c r="H28" s="4">
        <v>0</v>
      </c>
      <c r="I28">
        <f>UnitArms!AJ28</f>
        <v>800000</v>
      </c>
      <c r="J28">
        <f>UnitArms!AK28</f>
        <v>4</v>
      </c>
      <c r="K28" s="4">
        <v>0</v>
      </c>
      <c r="L28" s="4">
        <v>0</v>
      </c>
      <c r="M28" s="4">
        <v>0</v>
      </c>
      <c r="N28" s="4">
        <v>0</v>
      </c>
      <c r="O28" s="4">
        <v>0</v>
      </c>
      <c r="P28" s="4">
        <v>0</v>
      </c>
      <c r="Q28" s="4">
        <v>0</v>
      </c>
      <c r="R28" s="4">
        <v>0</v>
      </c>
      <c r="S28" s="4">
        <v>-1</v>
      </c>
      <c r="T28" s="4">
        <v>0</v>
      </c>
      <c r="U28" s="4">
        <v>0</v>
      </c>
      <c r="V28" s="4">
        <v>0</v>
      </c>
      <c r="W28">
        <f>UnitArms!M28</f>
        <v>-1</v>
      </c>
      <c r="X28">
        <f>UnitArms!E28</f>
        <v>3</v>
      </c>
      <c r="Y28" s="1" t="str">
        <f>UnitArms!F28</f>
        <v>01000000</v>
      </c>
      <c r="Z28" s="4">
        <v>0</v>
      </c>
      <c r="AA28" s="4">
        <v>0</v>
      </c>
      <c r="AB28">
        <f>UnitArms!AB28</f>
        <v>289</v>
      </c>
      <c r="AC28">
        <f>UnitArms!AE28</f>
        <v>0</v>
      </c>
      <c r="AD28">
        <f>UnitArms!AF28</f>
        <v>0</v>
      </c>
      <c r="AE28">
        <f>UnitArms!AG28</f>
        <v>0</v>
      </c>
      <c r="AF28">
        <f>UnitArms!AH28</f>
        <v>0</v>
      </c>
      <c r="AG28">
        <f>UnitArms!Y28</f>
        <v>50</v>
      </c>
      <c r="AH28">
        <f>UnitArms!AC28</f>
        <v>0</v>
      </c>
      <c r="AI28" s="4">
        <v>0</v>
      </c>
      <c r="AJ28" s="4">
        <v>0</v>
      </c>
      <c r="AK28" s="4">
        <v>0</v>
      </c>
      <c r="AL28" s="4">
        <v>0</v>
      </c>
      <c r="AM28" s="4">
        <v>0</v>
      </c>
      <c r="AN28" s="4">
        <v>0</v>
      </c>
      <c r="AO28">
        <f>UnitArms!L28</f>
        <v>37</v>
      </c>
      <c r="AP28">
        <f>UnitArms!N28</f>
        <v>2</v>
      </c>
      <c r="AQ28">
        <f>UnitArms!P28</f>
        <v>-1</v>
      </c>
      <c r="AR28">
        <f>UnitArms!O28</f>
        <v>60</v>
      </c>
      <c r="AS28">
        <f>UnitArms!Q28</f>
        <v>-1</v>
      </c>
      <c r="AT28" s="4">
        <v>0</v>
      </c>
      <c r="AU28" s="4">
        <v>0</v>
      </c>
      <c r="AV28">
        <f>UnitArms!AL28</f>
        <v>4</v>
      </c>
      <c r="AW28">
        <f>UnitArms!AZ28</f>
        <v>12</v>
      </c>
      <c r="AX28">
        <f>UnitArms!BA28</f>
        <v>2</v>
      </c>
      <c r="AY28">
        <f>UnitArms!T28</f>
        <v>225</v>
      </c>
      <c r="AZ28">
        <f>UnitArms!U28</f>
        <v>1700</v>
      </c>
      <c r="BA28">
        <f>UnitArms!H28</f>
        <v>5</v>
      </c>
      <c r="BB28">
        <f>UnitArms!W28</f>
        <v>3505</v>
      </c>
      <c r="BC28">
        <f>UnitArms!X28</f>
        <v>3895</v>
      </c>
      <c r="BD28">
        <f>UnitArms!G28</f>
        <v>4</v>
      </c>
      <c r="BE28">
        <f>UnitArms!I28</f>
        <v>1</v>
      </c>
      <c r="BF28">
        <f>UnitArms!AP28</f>
        <v>1</v>
      </c>
      <c r="BG28" s="4">
        <v>0</v>
      </c>
    </row>
    <row r="29" spans="1:59" x14ac:dyDescent="0.3">
      <c r="A29" t="str">
        <f>UnitArms!A29</f>
        <v>unar027</v>
      </c>
      <c r="B29" t="str">
        <f>UnitArms!D29</f>
        <v>Electronic Dynamo Launcher</v>
      </c>
      <c r="C29" s="1" t="str">
        <f>UnitArms!B29</f>
        <v>10414</v>
      </c>
      <c r="D29">
        <f>UnitArms!C29</f>
        <v>100</v>
      </c>
      <c r="E29" s="4" t="s">
        <v>262</v>
      </c>
      <c r="F29" s="4">
        <v>40</v>
      </c>
      <c r="G29">
        <f>UnitArms!AI29</f>
        <v>0</v>
      </c>
      <c r="H29" s="4">
        <v>0</v>
      </c>
      <c r="I29">
        <f>UnitArms!AJ29</f>
        <v>7100000</v>
      </c>
      <c r="J29">
        <f>UnitArms!AK29</f>
        <v>4</v>
      </c>
      <c r="K29" s="4">
        <v>0</v>
      </c>
      <c r="L29" s="4">
        <v>0</v>
      </c>
      <c r="M29" s="4">
        <v>0</v>
      </c>
      <c r="N29" s="4">
        <v>0</v>
      </c>
      <c r="O29" s="4">
        <v>0</v>
      </c>
      <c r="P29" s="4">
        <v>0</v>
      </c>
      <c r="Q29" s="4">
        <v>0</v>
      </c>
      <c r="R29" s="4">
        <v>0</v>
      </c>
      <c r="S29" s="4">
        <v>-1</v>
      </c>
      <c r="T29" s="4">
        <v>0</v>
      </c>
      <c r="U29" s="4">
        <v>0</v>
      </c>
      <c r="V29" s="4">
        <v>0</v>
      </c>
      <c r="W29">
        <f>UnitArms!M29</f>
        <v>-1</v>
      </c>
      <c r="X29">
        <f>UnitArms!E29</f>
        <v>3</v>
      </c>
      <c r="Y29" s="1" t="str">
        <f>UnitArms!F29</f>
        <v>01000000</v>
      </c>
      <c r="Z29" s="4">
        <v>0</v>
      </c>
      <c r="AA29" s="4">
        <v>0</v>
      </c>
      <c r="AB29">
        <f>UnitArms!AB29</f>
        <v>302</v>
      </c>
      <c r="AC29">
        <f>UnitArms!AE29</f>
        <v>0</v>
      </c>
      <c r="AD29">
        <f>UnitArms!AF29</f>
        <v>0</v>
      </c>
      <c r="AE29">
        <f>UnitArms!AG29</f>
        <v>0</v>
      </c>
      <c r="AF29">
        <f>UnitArms!AH29</f>
        <v>0</v>
      </c>
      <c r="AG29">
        <f>UnitArms!Y29</f>
        <v>50</v>
      </c>
      <c r="AH29">
        <f>UnitArms!AC29</f>
        <v>0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">
        <v>0</v>
      </c>
      <c r="AO29">
        <f>UnitArms!L29</f>
        <v>100</v>
      </c>
      <c r="AP29">
        <f>UnitArms!N29</f>
        <v>2</v>
      </c>
      <c r="AQ29">
        <f>UnitArms!P29</f>
        <v>-1</v>
      </c>
      <c r="AR29">
        <f>UnitArms!O29</f>
        <v>100</v>
      </c>
      <c r="AS29">
        <f>UnitArms!Q29</f>
        <v>-1</v>
      </c>
      <c r="AT29" s="4">
        <v>0</v>
      </c>
      <c r="AU29" s="4">
        <v>0</v>
      </c>
      <c r="AV29">
        <f>UnitArms!AL29</f>
        <v>4</v>
      </c>
      <c r="AW29">
        <f>UnitArms!AZ29</f>
        <v>12</v>
      </c>
      <c r="AX29">
        <f>UnitArms!BA29</f>
        <v>2</v>
      </c>
      <c r="AY29">
        <f>UnitArms!T29</f>
        <v>0</v>
      </c>
      <c r="AZ29">
        <f>UnitArms!U29</f>
        <v>1700</v>
      </c>
      <c r="BA29">
        <f>UnitArms!H29</f>
        <v>5</v>
      </c>
      <c r="BB29">
        <f>UnitArms!W29</f>
        <v>0</v>
      </c>
      <c r="BC29">
        <f>UnitArms!X29</f>
        <v>0</v>
      </c>
      <c r="BD29">
        <f>UnitArms!G29</f>
        <v>4</v>
      </c>
      <c r="BE29">
        <f>UnitArms!I29</f>
        <v>1</v>
      </c>
      <c r="BF29">
        <f>UnitArms!AP29</f>
        <v>1</v>
      </c>
      <c r="BG29" s="4">
        <v>0</v>
      </c>
    </row>
    <row r="30" spans="1:59" x14ac:dyDescent="0.3">
      <c r="A30" t="str">
        <f>UnitArms!A30</f>
        <v>unar028</v>
      </c>
      <c r="B30" t="str">
        <f>UnitArms!D30</f>
        <v>Beelzebub Catapult Launcher</v>
      </c>
      <c r="C30" s="1" t="str">
        <f>UnitArms!B30</f>
        <v>10430</v>
      </c>
      <c r="D30">
        <f>UnitArms!C30</f>
        <v>19</v>
      </c>
      <c r="E30" s="4" t="s">
        <v>262</v>
      </c>
      <c r="F30" s="4">
        <v>40</v>
      </c>
      <c r="G30">
        <f>UnitArms!AI30</f>
        <v>0</v>
      </c>
      <c r="H30" s="4">
        <v>0</v>
      </c>
      <c r="I30">
        <f>UnitArms!AJ30</f>
        <v>1260000000</v>
      </c>
      <c r="J30">
        <f>UnitArms!AK30</f>
        <v>9</v>
      </c>
      <c r="K30" s="4">
        <v>0</v>
      </c>
      <c r="L30" s="4">
        <v>0</v>
      </c>
      <c r="M30" s="4">
        <v>0</v>
      </c>
      <c r="N30" s="4">
        <v>0</v>
      </c>
      <c r="O30" s="4">
        <v>0</v>
      </c>
      <c r="P30" s="4">
        <v>0</v>
      </c>
      <c r="Q30" s="4">
        <v>0</v>
      </c>
      <c r="R30" s="4">
        <v>0</v>
      </c>
      <c r="S30" s="4">
        <v>-1</v>
      </c>
      <c r="T30" s="4">
        <v>0</v>
      </c>
      <c r="U30" s="4">
        <v>0</v>
      </c>
      <c r="V30" s="4">
        <v>0</v>
      </c>
      <c r="W30">
        <f>UnitArms!M30</f>
        <v>-1</v>
      </c>
      <c r="X30">
        <f>UnitArms!E30</f>
        <v>3</v>
      </c>
      <c r="Y30" s="1" t="str">
        <f>UnitArms!F30</f>
        <v>01000000</v>
      </c>
      <c r="Z30" s="4">
        <v>0</v>
      </c>
      <c r="AA30" s="4">
        <v>0</v>
      </c>
      <c r="AB30">
        <f>UnitArms!AB30</f>
        <v>6800</v>
      </c>
      <c r="AC30">
        <f>UnitArms!AE30</f>
        <v>0</v>
      </c>
      <c r="AD30">
        <f>UnitArms!AF30</f>
        <v>0</v>
      </c>
      <c r="AE30">
        <f>UnitArms!AG30</f>
        <v>0</v>
      </c>
      <c r="AF30">
        <f>UnitArms!AH30</f>
        <v>0</v>
      </c>
      <c r="AG30">
        <f>UnitArms!Y30</f>
        <v>50</v>
      </c>
      <c r="AH30">
        <f>UnitArms!AC30</f>
        <v>0</v>
      </c>
      <c r="AI30" s="4">
        <v>0</v>
      </c>
      <c r="AJ30" s="4">
        <v>0</v>
      </c>
      <c r="AK30" s="4">
        <v>0</v>
      </c>
      <c r="AL30" s="4">
        <v>0</v>
      </c>
      <c r="AM30" s="4">
        <v>0</v>
      </c>
      <c r="AN30" s="4">
        <v>0</v>
      </c>
      <c r="AO30">
        <f>UnitArms!L30</f>
        <v>74</v>
      </c>
      <c r="AP30">
        <f>UnitArms!N30</f>
        <v>2</v>
      </c>
      <c r="AQ30">
        <f>UnitArms!P30</f>
        <v>-1</v>
      </c>
      <c r="AR30">
        <f>UnitArms!O30</f>
        <v>99</v>
      </c>
      <c r="AS30">
        <f>UnitArms!Q30</f>
        <v>-1</v>
      </c>
      <c r="AT30" s="4">
        <v>0</v>
      </c>
      <c r="AU30" s="4">
        <v>0</v>
      </c>
      <c r="AV30">
        <f>UnitArms!AL30</f>
        <v>63</v>
      </c>
      <c r="AW30">
        <f>UnitArms!AZ30</f>
        <v>-1</v>
      </c>
      <c r="AX30">
        <f>UnitArms!BA30</f>
        <v>2</v>
      </c>
      <c r="AY30">
        <f>UnitArms!T30</f>
        <v>240</v>
      </c>
      <c r="AZ30">
        <f>UnitArms!U30</f>
        <v>1850</v>
      </c>
      <c r="BA30">
        <f>UnitArms!H30</f>
        <v>5</v>
      </c>
      <c r="BB30">
        <f>UnitArms!W30</f>
        <v>76000</v>
      </c>
      <c r="BC30">
        <f>UnitArms!X30</f>
        <v>100000</v>
      </c>
      <c r="BD30">
        <f>UnitArms!G30</f>
        <v>2</v>
      </c>
      <c r="BE30">
        <f>UnitArms!I30</f>
        <v>1</v>
      </c>
      <c r="BF30">
        <f>UnitArms!AP30</f>
        <v>1</v>
      </c>
      <c r="BG30" s="4">
        <v>0</v>
      </c>
    </row>
    <row r="31" spans="1:59" x14ac:dyDescent="0.3">
      <c r="A31" t="str">
        <f>UnitArms!A31</f>
        <v>unar029</v>
      </c>
      <c r="B31" t="str">
        <f>UnitArms!D31</f>
        <v>NotUsed</v>
      </c>
      <c r="C31" s="1" t="str">
        <f>UnitArms!B31</f>
        <v>1041C</v>
      </c>
      <c r="D31">
        <f>UnitArms!C31</f>
        <v>100</v>
      </c>
      <c r="E31" s="4" t="s">
        <v>262</v>
      </c>
      <c r="F31" s="4">
        <v>40</v>
      </c>
      <c r="G31">
        <f>UnitArms!AI31</f>
        <v>0</v>
      </c>
      <c r="H31" s="4">
        <v>0</v>
      </c>
      <c r="I31">
        <f>UnitArms!AJ31</f>
        <v>7100000</v>
      </c>
      <c r="J31">
        <f>UnitArms!AK31</f>
        <v>4</v>
      </c>
      <c r="K31" s="4">
        <v>0</v>
      </c>
      <c r="L31" s="4">
        <v>0</v>
      </c>
      <c r="M31" s="4">
        <v>0</v>
      </c>
      <c r="N31" s="4">
        <v>0</v>
      </c>
      <c r="O31" s="4">
        <v>0</v>
      </c>
      <c r="P31" s="4">
        <v>0</v>
      </c>
      <c r="Q31" s="4">
        <v>0</v>
      </c>
      <c r="R31" s="4">
        <v>0</v>
      </c>
      <c r="S31" s="4">
        <v>-1</v>
      </c>
      <c r="T31" s="4">
        <v>0</v>
      </c>
      <c r="U31" s="4">
        <v>0</v>
      </c>
      <c r="V31" s="4">
        <v>0</v>
      </c>
      <c r="W31">
        <f>UnitArms!M31</f>
        <v>-1</v>
      </c>
      <c r="X31">
        <f>UnitArms!E31</f>
        <v>3</v>
      </c>
      <c r="Y31" s="1" t="str">
        <f>UnitArms!F31</f>
        <v>01000000</v>
      </c>
      <c r="Z31" s="4">
        <v>0</v>
      </c>
      <c r="AA31" s="4">
        <v>0</v>
      </c>
      <c r="AB31">
        <f>UnitArms!AB31</f>
        <v>0</v>
      </c>
      <c r="AC31">
        <f>UnitArms!AE31</f>
        <v>0</v>
      </c>
      <c r="AD31">
        <f>UnitArms!AF31</f>
        <v>0</v>
      </c>
      <c r="AE31">
        <f>UnitArms!AG31</f>
        <v>0</v>
      </c>
      <c r="AF31">
        <f>UnitArms!AH31</f>
        <v>0</v>
      </c>
      <c r="AG31">
        <f>UnitArms!Y31</f>
        <v>50</v>
      </c>
      <c r="AH31">
        <f>UnitArms!AC31</f>
        <v>0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  <c r="AN31" s="4">
        <v>0</v>
      </c>
      <c r="AO31">
        <f>UnitArms!L31</f>
        <v>100</v>
      </c>
      <c r="AP31">
        <f>UnitArms!N31</f>
        <v>2</v>
      </c>
      <c r="AQ31">
        <f>UnitArms!P31</f>
        <v>-1</v>
      </c>
      <c r="AR31">
        <f>UnitArms!O31</f>
        <v>100</v>
      </c>
      <c r="AS31">
        <f>UnitArms!Q31</f>
        <v>-1</v>
      </c>
      <c r="AT31" s="4">
        <v>0</v>
      </c>
      <c r="AU31" s="4">
        <v>0</v>
      </c>
      <c r="AV31">
        <f>UnitArms!AL31</f>
        <v>4</v>
      </c>
      <c r="AW31">
        <f>UnitArms!AZ31</f>
        <v>12</v>
      </c>
      <c r="AX31">
        <f>UnitArms!BA31</f>
        <v>2</v>
      </c>
      <c r="AY31">
        <f>UnitArms!T31</f>
        <v>0</v>
      </c>
      <c r="AZ31">
        <f>UnitArms!U31</f>
        <v>1700</v>
      </c>
      <c r="BA31">
        <f>UnitArms!H31</f>
        <v>5</v>
      </c>
      <c r="BB31">
        <f>UnitArms!W31</f>
        <v>0</v>
      </c>
      <c r="BC31">
        <f>UnitArms!X31</f>
        <v>0</v>
      </c>
      <c r="BD31">
        <f>UnitArms!G31</f>
        <v>4</v>
      </c>
      <c r="BE31">
        <f>UnitArms!I31</f>
        <v>1</v>
      </c>
      <c r="BF31">
        <f>UnitArms!AP31</f>
        <v>1</v>
      </c>
      <c r="BG31" s="4">
        <v>0</v>
      </c>
    </row>
    <row r="32" spans="1:59" x14ac:dyDescent="0.3">
      <c r="A32" t="str">
        <f>UnitArms!A32</f>
        <v>unar030</v>
      </c>
      <c r="B32" t="str">
        <f>UnitArms!D32</f>
        <v>Razor Gatling Arm</v>
      </c>
      <c r="C32" s="1" t="str">
        <f>UnitArms!B32</f>
        <v>1041D</v>
      </c>
      <c r="D32">
        <f>UnitArms!C32</f>
        <v>8</v>
      </c>
      <c r="E32" s="4" t="s">
        <v>262</v>
      </c>
      <c r="F32" s="4">
        <v>40</v>
      </c>
      <c r="G32">
        <f>UnitArms!AI32</f>
        <v>0</v>
      </c>
      <c r="H32" s="4">
        <v>0</v>
      </c>
      <c r="I32">
        <f>UnitArms!AJ32</f>
        <v>1100000</v>
      </c>
      <c r="J32">
        <f>UnitArms!AK32</f>
        <v>1</v>
      </c>
      <c r="K32" s="4">
        <v>0</v>
      </c>
      <c r="L32" s="4">
        <v>0</v>
      </c>
      <c r="M32" s="4">
        <v>0</v>
      </c>
      <c r="N32" s="4">
        <v>0</v>
      </c>
      <c r="O32" s="4">
        <v>0</v>
      </c>
      <c r="P32" s="4">
        <v>0</v>
      </c>
      <c r="Q32" s="4">
        <v>0</v>
      </c>
      <c r="R32" s="4">
        <v>0</v>
      </c>
      <c r="S32" s="4">
        <v>-1</v>
      </c>
      <c r="T32" s="4">
        <v>0</v>
      </c>
      <c r="U32" s="4">
        <v>0</v>
      </c>
      <c r="V32" s="4">
        <v>0</v>
      </c>
      <c r="W32">
        <f>UnitArms!M32</f>
        <v>-1</v>
      </c>
      <c r="X32">
        <f>UnitArms!E32</f>
        <v>3</v>
      </c>
      <c r="Y32" s="1" t="str">
        <f>UnitArms!F32</f>
        <v>01000000</v>
      </c>
      <c r="Z32" s="4">
        <v>0</v>
      </c>
      <c r="AA32" s="4">
        <v>0</v>
      </c>
      <c r="AB32">
        <f>UnitArms!AB32</f>
        <v>344</v>
      </c>
      <c r="AC32">
        <f>UnitArms!AE32</f>
        <v>0</v>
      </c>
      <c r="AD32">
        <f>UnitArms!AF32</f>
        <v>0</v>
      </c>
      <c r="AE32">
        <f>UnitArms!AG32</f>
        <v>0</v>
      </c>
      <c r="AF32">
        <f>UnitArms!AH32</f>
        <v>0</v>
      </c>
      <c r="AG32">
        <f>UnitArms!Y32</f>
        <v>50</v>
      </c>
      <c r="AH32">
        <f>UnitArms!AC32</f>
        <v>0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">
        <v>0</v>
      </c>
      <c r="AO32">
        <f>UnitArms!L32</f>
        <v>40</v>
      </c>
      <c r="AP32">
        <f>UnitArms!N32</f>
        <v>2</v>
      </c>
      <c r="AQ32">
        <f>UnitArms!P32</f>
        <v>-1</v>
      </c>
      <c r="AR32">
        <f>UnitArms!O32</f>
        <v>77</v>
      </c>
      <c r="AS32">
        <f>UnitArms!Q32</f>
        <v>-1</v>
      </c>
      <c r="AT32" s="4">
        <v>0</v>
      </c>
      <c r="AU32" s="4">
        <v>0</v>
      </c>
      <c r="AV32">
        <f>UnitArms!AL32</f>
        <v>1</v>
      </c>
      <c r="AW32">
        <f>UnitArms!AZ32</f>
        <v>9</v>
      </c>
      <c r="AX32">
        <f>UnitArms!BA32</f>
        <v>2</v>
      </c>
      <c r="AY32">
        <f>UnitArms!T32</f>
        <v>225</v>
      </c>
      <c r="AZ32">
        <f>UnitArms!U32</f>
        <v>1700</v>
      </c>
      <c r="BA32">
        <f>UnitArms!H32</f>
        <v>5</v>
      </c>
      <c r="BB32">
        <f>UnitArms!W32</f>
        <v>5600</v>
      </c>
      <c r="BC32">
        <f>UnitArms!X32</f>
        <v>6223</v>
      </c>
      <c r="BD32">
        <f>UnitArms!G32</f>
        <v>2</v>
      </c>
      <c r="BE32">
        <f>UnitArms!I32</f>
        <v>1</v>
      </c>
      <c r="BF32">
        <f>UnitArms!AP32</f>
        <v>1</v>
      </c>
      <c r="BG32" s="4">
        <v>0</v>
      </c>
    </row>
    <row r="33" spans="1:59" x14ac:dyDescent="0.3">
      <c r="A33" t="str">
        <f>UnitArms!A33</f>
        <v>unar031</v>
      </c>
      <c r="B33" t="str">
        <f>UnitArms!D33</f>
        <v>Advanced Gatling Arm</v>
      </c>
      <c r="C33" s="1" t="str">
        <f>UnitArms!B33</f>
        <v>1041D</v>
      </c>
      <c r="D33">
        <f>UnitArms!C33</f>
        <v>8</v>
      </c>
      <c r="E33" s="4" t="s">
        <v>262</v>
      </c>
      <c r="F33" s="4">
        <v>40</v>
      </c>
      <c r="G33">
        <f>UnitArms!AI33</f>
        <v>0</v>
      </c>
      <c r="H33" s="4">
        <v>0</v>
      </c>
      <c r="I33">
        <f>UnitArms!AJ33</f>
        <v>1400000</v>
      </c>
      <c r="J33">
        <f>UnitArms!AK33</f>
        <v>4</v>
      </c>
      <c r="K33" s="4">
        <v>0</v>
      </c>
      <c r="L33" s="4">
        <v>0</v>
      </c>
      <c r="M33" s="4">
        <v>0</v>
      </c>
      <c r="N33" s="4">
        <v>0</v>
      </c>
      <c r="O33" s="4">
        <v>0</v>
      </c>
      <c r="P33" s="4">
        <v>0</v>
      </c>
      <c r="Q33" s="4">
        <v>0</v>
      </c>
      <c r="R33" s="4">
        <v>0</v>
      </c>
      <c r="S33" s="4">
        <v>-1</v>
      </c>
      <c r="T33" s="4">
        <v>0</v>
      </c>
      <c r="U33" s="4">
        <v>0</v>
      </c>
      <c r="V33" s="4">
        <v>0</v>
      </c>
      <c r="W33">
        <f>UnitArms!M33</f>
        <v>-1</v>
      </c>
      <c r="X33">
        <f>UnitArms!E33</f>
        <v>3</v>
      </c>
      <c r="Y33" s="1" t="str">
        <f>UnitArms!F33</f>
        <v>01000000</v>
      </c>
      <c r="Z33" s="4">
        <v>0</v>
      </c>
      <c r="AA33" s="4">
        <v>0</v>
      </c>
      <c r="AB33">
        <f>UnitArms!AB33</f>
        <v>397</v>
      </c>
      <c r="AC33">
        <f>UnitArms!AE33</f>
        <v>0</v>
      </c>
      <c r="AD33">
        <f>UnitArms!AF33</f>
        <v>0</v>
      </c>
      <c r="AE33">
        <f>UnitArms!AG33</f>
        <v>0</v>
      </c>
      <c r="AF33">
        <f>UnitArms!AH33</f>
        <v>0</v>
      </c>
      <c r="AG33">
        <f>UnitArms!Y33</f>
        <v>50</v>
      </c>
      <c r="AH33">
        <f>UnitArms!AC33</f>
        <v>0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">
        <v>0</v>
      </c>
      <c r="AO33">
        <f>UnitArms!L33</f>
        <v>43</v>
      </c>
      <c r="AP33">
        <f>UnitArms!N33</f>
        <v>2</v>
      </c>
      <c r="AQ33">
        <f>UnitArms!P33</f>
        <v>-1</v>
      </c>
      <c r="AR33">
        <f>UnitArms!O33</f>
        <v>81</v>
      </c>
      <c r="AS33">
        <f>UnitArms!Q33</f>
        <v>-1</v>
      </c>
      <c r="AT33" s="4">
        <v>0</v>
      </c>
      <c r="AU33" s="4">
        <v>0</v>
      </c>
      <c r="AV33">
        <f>UnitArms!AL33</f>
        <v>4</v>
      </c>
      <c r="AW33">
        <f>UnitArms!AZ33</f>
        <v>9</v>
      </c>
      <c r="AX33">
        <f>UnitArms!BA33</f>
        <v>2</v>
      </c>
      <c r="AY33">
        <f>UnitArms!T33</f>
        <v>225</v>
      </c>
      <c r="AZ33">
        <f>UnitArms!U33</f>
        <v>1700</v>
      </c>
      <c r="BA33">
        <f>UnitArms!H33</f>
        <v>5</v>
      </c>
      <c r="BB33">
        <f>UnitArms!W33</f>
        <v>9205</v>
      </c>
      <c r="BC33">
        <f>UnitArms!X33</f>
        <v>10228</v>
      </c>
      <c r="BD33">
        <f>UnitArms!G33</f>
        <v>2</v>
      </c>
      <c r="BE33">
        <f>UnitArms!I33</f>
        <v>1</v>
      </c>
      <c r="BF33">
        <f>UnitArms!AP33</f>
        <v>1</v>
      </c>
      <c r="BG33" s="4">
        <v>0</v>
      </c>
    </row>
    <row r="34" spans="1:59" x14ac:dyDescent="0.3">
      <c r="A34" t="str">
        <f>UnitArms!A34</f>
        <v>unar032</v>
      </c>
      <c r="B34" t="str">
        <f>UnitArms!D34</f>
        <v>Galvanic Gatling Arm</v>
      </c>
      <c r="C34" s="1" t="str">
        <f>UnitArms!B34</f>
        <v>1041D</v>
      </c>
      <c r="D34">
        <f>UnitArms!C34</f>
        <v>8</v>
      </c>
      <c r="E34" s="4" t="s">
        <v>262</v>
      </c>
      <c r="F34" s="4">
        <v>40</v>
      </c>
      <c r="G34">
        <f>UnitArms!AI34</f>
        <v>0</v>
      </c>
      <c r="H34" s="4">
        <v>0</v>
      </c>
      <c r="I34">
        <f>UnitArms!AJ34</f>
        <v>1900000</v>
      </c>
      <c r="J34">
        <f>UnitArms!AK34</f>
        <v>1</v>
      </c>
      <c r="K34" s="4">
        <v>0</v>
      </c>
      <c r="L34" s="4">
        <v>0</v>
      </c>
      <c r="M34" s="4">
        <v>0</v>
      </c>
      <c r="N34" s="4">
        <v>0</v>
      </c>
      <c r="O34" s="4">
        <v>0</v>
      </c>
      <c r="P34" s="4">
        <v>0</v>
      </c>
      <c r="Q34" s="4">
        <v>0</v>
      </c>
      <c r="R34" s="4">
        <v>0</v>
      </c>
      <c r="S34" s="4">
        <v>-1</v>
      </c>
      <c r="T34" s="4">
        <v>0</v>
      </c>
      <c r="U34" s="4">
        <v>0</v>
      </c>
      <c r="V34" s="4">
        <v>0</v>
      </c>
      <c r="W34">
        <f>UnitArms!M34</f>
        <v>-1</v>
      </c>
      <c r="X34">
        <f>UnitArms!E34</f>
        <v>3</v>
      </c>
      <c r="Y34" s="1" t="str">
        <f>UnitArms!F34</f>
        <v>01000000</v>
      </c>
      <c r="Z34" s="4">
        <v>0</v>
      </c>
      <c r="AA34" s="4">
        <v>0</v>
      </c>
      <c r="AB34">
        <f>UnitArms!AB34</f>
        <v>459</v>
      </c>
      <c r="AC34">
        <f>UnitArms!AE34</f>
        <v>0</v>
      </c>
      <c r="AD34">
        <f>UnitArms!AF34</f>
        <v>0</v>
      </c>
      <c r="AE34">
        <f>UnitArms!AG34</f>
        <v>0</v>
      </c>
      <c r="AF34">
        <f>UnitArms!AH34</f>
        <v>0</v>
      </c>
      <c r="AG34">
        <f>UnitArms!Y34</f>
        <v>50</v>
      </c>
      <c r="AH34">
        <f>UnitArms!AC34</f>
        <v>0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">
        <v>0</v>
      </c>
      <c r="AO34">
        <f>UnitArms!L34</f>
        <v>48</v>
      </c>
      <c r="AP34">
        <f>UnitArms!N34</f>
        <v>2</v>
      </c>
      <c r="AQ34">
        <f>UnitArms!P34</f>
        <v>-1</v>
      </c>
      <c r="AR34">
        <f>UnitArms!O34</f>
        <v>93</v>
      </c>
      <c r="AS34">
        <f>UnitArms!Q34</f>
        <v>-1</v>
      </c>
      <c r="AT34" s="4">
        <v>0</v>
      </c>
      <c r="AU34" s="4">
        <v>0</v>
      </c>
      <c r="AV34">
        <f>UnitArms!AL34</f>
        <v>1</v>
      </c>
      <c r="AW34">
        <f>UnitArms!AZ34</f>
        <v>9</v>
      </c>
      <c r="AX34">
        <f>UnitArms!BA34</f>
        <v>2</v>
      </c>
      <c r="AY34">
        <f>UnitArms!T34</f>
        <v>225</v>
      </c>
      <c r="AZ34">
        <f>UnitArms!U34</f>
        <v>1700</v>
      </c>
      <c r="BA34">
        <f>UnitArms!H34</f>
        <v>5</v>
      </c>
      <c r="BB34">
        <f>UnitArms!W34</f>
        <v>16237</v>
      </c>
      <c r="BC34">
        <f>UnitArms!X34</f>
        <v>18040</v>
      </c>
      <c r="BD34">
        <f>UnitArms!G34</f>
        <v>2</v>
      </c>
      <c r="BE34">
        <f>UnitArms!I34</f>
        <v>1</v>
      </c>
      <c r="BF34">
        <f>UnitArms!AP34</f>
        <v>1</v>
      </c>
      <c r="BG34" s="4">
        <v>0</v>
      </c>
    </row>
    <row r="35" spans="1:59" x14ac:dyDescent="0.3">
      <c r="A35" t="str">
        <f>UnitArms!A35</f>
        <v>unar033</v>
      </c>
      <c r="B35" t="str">
        <f>UnitArms!D35</f>
        <v>Volcanic Gatiling Arm</v>
      </c>
      <c r="C35" s="1" t="str">
        <f>UnitArms!B35</f>
        <v>10420</v>
      </c>
      <c r="D35">
        <f>UnitArms!C35</f>
        <v>10</v>
      </c>
      <c r="E35" s="4" t="s">
        <v>262</v>
      </c>
      <c r="F35" s="4">
        <v>40</v>
      </c>
      <c r="G35">
        <f>UnitArms!AI35</f>
        <v>0</v>
      </c>
      <c r="H35" s="4">
        <v>0</v>
      </c>
      <c r="I35">
        <f>UnitArms!AJ35</f>
        <v>147000000</v>
      </c>
      <c r="J35">
        <f>UnitArms!AK35</f>
        <v>1</v>
      </c>
      <c r="K35" s="4">
        <v>0</v>
      </c>
      <c r="L35" s="4">
        <v>0</v>
      </c>
      <c r="M35" s="4">
        <v>0</v>
      </c>
      <c r="N35" s="4">
        <v>0</v>
      </c>
      <c r="O35" s="4">
        <v>0</v>
      </c>
      <c r="P35" s="4">
        <v>0</v>
      </c>
      <c r="Q35" s="4">
        <v>0</v>
      </c>
      <c r="R35" s="4">
        <v>0</v>
      </c>
      <c r="S35" s="4">
        <v>-1</v>
      </c>
      <c r="T35" s="4">
        <v>0</v>
      </c>
      <c r="U35" s="4">
        <v>0</v>
      </c>
      <c r="V35" s="4">
        <v>0</v>
      </c>
      <c r="W35">
        <f>UnitArms!M35</f>
        <v>-1</v>
      </c>
      <c r="X35">
        <f>UnitArms!E35</f>
        <v>3</v>
      </c>
      <c r="Y35" s="1" t="str">
        <f>UnitArms!F35</f>
        <v>01000000</v>
      </c>
      <c r="Z35" s="4">
        <v>0</v>
      </c>
      <c r="AA35" s="4">
        <v>0</v>
      </c>
      <c r="AB35">
        <f>UnitArms!AB35</f>
        <v>550</v>
      </c>
      <c r="AC35">
        <f>UnitArms!AE35</f>
        <v>0</v>
      </c>
      <c r="AD35">
        <f>UnitArms!AF35</f>
        <v>0</v>
      </c>
      <c r="AE35">
        <f>UnitArms!AG35</f>
        <v>0</v>
      </c>
      <c r="AF35">
        <f>UnitArms!AH35</f>
        <v>0</v>
      </c>
      <c r="AG35">
        <f>UnitArms!Y35</f>
        <v>50</v>
      </c>
      <c r="AH35">
        <f>UnitArms!AC35</f>
        <v>0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">
        <v>0</v>
      </c>
      <c r="AO35">
        <f>UnitArms!L35</f>
        <v>50</v>
      </c>
      <c r="AP35">
        <f>UnitArms!N35</f>
        <v>2</v>
      </c>
      <c r="AQ35">
        <f>UnitArms!P35</f>
        <v>-1</v>
      </c>
      <c r="AR35">
        <f>UnitArms!O35</f>
        <v>99</v>
      </c>
      <c r="AS35">
        <f>UnitArms!Q35</f>
        <v>-1</v>
      </c>
      <c r="AT35" s="4">
        <v>0</v>
      </c>
      <c r="AU35" s="4">
        <v>0</v>
      </c>
      <c r="AV35">
        <f>UnitArms!AL35</f>
        <v>1</v>
      </c>
      <c r="AW35">
        <f>UnitArms!AZ35</f>
        <v>9</v>
      </c>
      <c r="AX35">
        <f>UnitArms!BA35</f>
        <v>2</v>
      </c>
      <c r="AY35">
        <f>UnitArms!T35</f>
        <v>240</v>
      </c>
      <c r="AZ35">
        <f>UnitArms!U35</f>
        <v>1700</v>
      </c>
      <c r="BA35">
        <f>UnitArms!H35</f>
        <v>5</v>
      </c>
      <c r="BB35">
        <f>UnitArms!W35</f>
        <v>23101</v>
      </c>
      <c r="BC35">
        <f>UnitArms!X35</f>
        <v>25667</v>
      </c>
      <c r="BD35">
        <f>UnitArms!G35</f>
        <v>2</v>
      </c>
      <c r="BE35">
        <f>UnitArms!I35</f>
        <v>1</v>
      </c>
      <c r="BF35">
        <f>UnitArms!AP35</f>
        <v>1</v>
      </c>
      <c r="BG35" s="4">
        <v>0</v>
      </c>
    </row>
    <row r="36" spans="1:59" x14ac:dyDescent="0.3">
      <c r="A36" t="str">
        <f>UnitArms!A36</f>
        <v>unar034</v>
      </c>
      <c r="B36" t="str">
        <f>UnitArms!D36</f>
        <v>Hailstorm Cannon Arm</v>
      </c>
      <c r="C36" s="1" t="str">
        <f>UnitArms!B36</f>
        <v>10420</v>
      </c>
      <c r="D36">
        <f>UnitArms!C36</f>
        <v>10</v>
      </c>
      <c r="E36" s="4" t="s">
        <v>262</v>
      </c>
      <c r="F36" s="4">
        <v>40</v>
      </c>
      <c r="G36">
        <f>UnitArms!AI36</f>
        <v>0</v>
      </c>
      <c r="H36" s="4">
        <v>0</v>
      </c>
      <c r="I36">
        <f>UnitArms!AJ36</f>
        <v>298200000</v>
      </c>
      <c r="J36">
        <f>UnitArms!AK36</f>
        <v>4</v>
      </c>
      <c r="K36" s="4">
        <v>0</v>
      </c>
      <c r="L36" s="4">
        <v>0</v>
      </c>
      <c r="M36" s="4">
        <v>0</v>
      </c>
      <c r="N36" s="4">
        <v>0</v>
      </c>
      <c r="O36" s="4">
        <v>0</v>
      </c>
      <c r="P36" s="4">
        <v>0</v>
      </c>
      <c r="Q36" s="4">
        <v>0</v>
      </c>
      <c r="R36" s="4">
        <v>0</v>
      </c>
      <c r="S36" s="4">
        <v>-1</v>
      </c>
      <c r="T36" s="4">
        <v>0</v>
      </c>
      <c r="U36" s="4">
        <v>0</v>
      </c>
      <c r="V36" s="4">
        <v>0</v>
      </c>
      <c r="W36">
        <f>UnitArms!M36</f>
        <v>-1</v>
      </c>
      <c r="X36">
        <f>UnitArms!E36</f>
        <v>3</v>
      </c>
      <c r="Y36" s="1" t="str">
        <f>UnitArms!F36</f>
        <v>01000000</v>
      </c>
      <c r="Z36" s="4">
        <v>0</v>
      </c>
      <c r="AA36" s="4">
        <v>0</v>
      </c>
      <c r="AB36">
        <f>UnitArms!AB36</f>
        <v>660</v>
      </c>
      <c r="AC36">
        <f>UnitArms!AE36</f>
        <v>0</v>
      </c>
      <c r="AD36">
        <f>UnitArms!AF36</f>
        <v>0</v>
      </c>
      <c r="AE36">
        <f>UnitArms!AG36</f>
        <v>0</v>
      </c>
      <c r="AF36">
        <f>UnitArms!AH36</f>
        <v>0</v>
      </c>
      <c r="AG36">
        <f>UnitArms!Y36</f>
        <v>50</v>
      </c>
      <c r="AH36">
        <f>UnitArms!AC36</f>
        <v>0</v>
      </c>
      <c r="AI36" s="4">
        <v>0</v>
      </c>
      <c r="AJ36" s="4">
        <v>0</v>
      </c>
      <c r="AK36" s="4">
        <v>0</v>
      </c>
      <c r="AL36" s="4">
        <v>0</v>
      </c>
      <c r="AM36" s="4">
        <v>0</v>
      </c>
      <c r="AN36" s="4">
        <v>0</v>
      </c>
      <c r="AO36">
        <f>UnitArms!L36</f>
        <v>50</v>
      </c>
      <c r="AP36">
        <f>UnitArms!N36</f>
        <v>2</v>
      </c>
      <c r="AQ36">
        <f>UnitArms!P36</f>
        <v>-1</v>
      </c>
      <c r="AR36">
        <f>UnitArms!O36</f>
        <v>99</v>
      </c>
      <c r="AS36">
        <f>UnitArms!Q36</f>
        <v>-1</v>
      </c>
      <c r="AT36" s="4">
        <v>0</v>
      </c>
      <c r="AU36" s="4">
        <v>0</v>
      </c>
      <c r="AV36">
        <f>UnitArms!AL36</f>
        <v>4</v>
      </c>
      <c r="AW36">
        <f>UnitArms!AZ36</f>
        <v>9</v>
      </c>
      <c r="AX36">
        <f>UnitArms!BA36</f>
        <v>2</v>
      </c>
      <c r="AY36">
        <f>UnitArms!T36</f>
        <v>240</v>
      </c>
      <c r="AZ36">
        <f>UnitArms!U36</f>
        <v>1700</v>
      </c>
      <c r="BA36">
        <f>UnitArms!H36</f>
        <v>5</v>
      </c>
      <c r="BB36">
        <f>UnitArms!W36</f>
        <v>27721</v>
      </c>
      <c r="BC36">
        <f>UnitArms!X36</f>
        <v>30800</v>
      </c>
      <c r="BD36">
        <f>UnitArms!G36</f>
        <v>2</v>
      </c>
      <c r="BE36">
        <f>UnitArms!I36</f>
        <v>1</v>
      </c>
      <c r="BF36">
        <f>UnitArms!AP36</f>
        <v>1</v>
      </c>
      <c r="BG36" s="4">
        <v>0</v>
      </c>
    </row>
    <row r="37" spans="1:59" x14ac:dyDescent="0.3">
      <c r="A37" t="str">
        <f>UnitArms!A37</f>
        <v>unar035</v>
      </c>
      <c r="B37" t="str">
        <f>UnitArms!D37</f>
        <v>Artillary Armed Arm</v>
      </c>
      <c r="C37" s="1" t="str">
        <f>UnitArms!B37</f>
        <v>10420</v>
      </c>
      <c r="D37">
        <f>UnitArms!C37</f>
        <v>10</v>
      </c>
      <c r="E37" s="4" t="s">
        <v>262</v>
      </c>
      <c r="F37" s="4">
        <v>40</v>
      </c>
      <c r="G37">
        <f>UnitArms!AI37</f>
        <v>0</v>
      </c>
      <c r="H37" s="4">
        <v>0</v>
      </c>
      <c r="I37">
        <f>UnitArms!AJ37</f>
        <v>453600000</v>
      </c>
      <c r="J37">
        <f>UnitArms!AK37</f>
        <v>9</v>
      </c>
      <c r="K37" s="4">
        <v>0</v>
      </c>
      <c r="L37" s="4">
        <v>0</v>
      </c>
      <c r="M37" s="4">
        <v>0</v>
      </c>
      <c r="N37" s="4">
        <v>0</v>
      </c>
      <c r="O37" s="4">
        <v>0</v>
      </c>
      <c r="P37" s="4">
        <v>0</v>
      </c>
      <c r="Q37" s="4">
        <v>0</v>
      </c>
      <c r="R37" s="4">
        <v>0</v>
      </c>
      <c r="S37" s="4">
        <v>-1</v>
      </c>
      <c r="T37" s="4">
        <v>0</v>
      </c>
      <c r="U37" s="4">
        <v>0</v>
      </c>
      <c r="V37" s="4">
        <v>0</v>
      </c>
      <c r="W37">
        <f>UnitArms!M37</f>
        <v>-1</v>
      </c>
      <c r="X37">
        <f>UnitArms!E37</f>
        <v>3</v>
      </c>
      <c r="Y37" s="1" t="str">
        <f>UnitArms!F37</f>
        <v>01000000</v>
      </c>
      <c r="Z37" s="4">
        <v>0</v>
      </c>
      <c r="AA37" s="4">
        <v>0</v>
      </c>
      <c r="AB37">
        <f>UnitArms!AB37</f>
        <v>858</v>
      </c>
      <c r="AC37">
        <f>UnitArms!AE37</f>
        <v>0</v>
      </c>
      <c r="AD37">
        <f>UnitArms!AF37</f>
        <v>0</v>
      </c>
      <c r="AE37">
        <f>UnitArms!AG37</f>
        <v>0</v>
      </c>
      <c r="AF37">
        <f>UnitArms!AH37</f>
        <v>0</v>
      </c>
      <c r="AG37">
        <f>UnitArms!Y37</f>
        <v>50</v>
      </c>
      <c r="AH37">
        <f>UnitArms!AC37</f>
        <v>0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">
        <v>0</v>
      </c>
      <c r="AO37">
        <f>UnitArms!L37</f>
        <v>50</v>
      </c>
      <c r="AP37">
        <f>UnitArms!N37</f>
        <v>2</v>
      </c>
      <c r="AQ37">
        <f>UnitArms!P37</f>
        <v>-1</v>
      </c>
      <c r="AR37">
        <f>UnitArms!O37</f>
        <v>99</v>
      </c>
      <c r="AS37">
        <f>UnitArms!Q37</f>
        <v>-1</v>
      </c>
      <c r="AT37" s="4">
        <v>0</v>
      </c>
      <c r="AU37" s="4">
        <v>0</v>
      </c>
      <c r="AV37">
        <f>UnitArms!AL37</f>
        <v>9</v>
      </c>
      <c r="AW37">
        <f>UnitArms!AZ37</f>
        <v>9</v>
      </c>
      <c r="AX37">
        <f>UnitArms!BA37</f>
        <v>2</v>
      </c>
      <c r="AY37">
        <f>UnitArms!T37</f>
        <v>240</v>
      </c>
      <c r="AZ37">
        <f>UnitArms!U37</f>
        <v>1700</v>
      </c>
      <c r="BA37">
        <f>UnitArms!H37</f>
        <v>5</v>
      </c>
      <c r="BB37">
        <f>UnitArms!W37</f>
        <v>32341</v>
      </c>
      <c r="BC37">
        <f>UnitArms!X37</f>
        <v>35934</v>
      </c>
      <c r="BD37">
        <f>UnitArms!G37</f>
        <v>2</v>
      </c>
      <c r="BE37">
        <f>UnitArms!I37</f>
        <v>1</v>
      </c>
      <c r="BF37">
        <f>UnitArms!AP37</f>
        <v>1</v>
      </c>
      <c r="BG37" s="4">
        <v>0</v>
      </c>
    </row>
    <row r="38" spans="1:59" x14ac:dyDescent="0.3">
      <c r="A38" t="str">
        <f>UnitArms!A38</f>
        <v>unar036</v>
      </c>
      <c r="B38" t="str">
        <f>UnitArms!D38</f>
        <v>A A A Canon Arm</v>
      </c>
      <c r="C38" s="1" t="str">
        <f>UnitArms!B38</f>
        <v>10414</v>
      </c>
      <c r="D38">
        <f>UnitArms!C38</f>
        <v>12</v>
      </c>
      <c r="E38" s="4" t="s">
        <v>262</v>
      </c>
      <c r="F38" s="4">
        <v>40</v>
      </c>
      <c r="G38">
        <f>UnitArms!AI38</f>
        <v>0</v>
      </c>
      <c r="H38" s="4">
        <v>0</v>
      </c>
      <c r="I38">
        <f>UnitArms!AJ38</f>
        <v>147000000</v>
      </c>
      <c r="J38">
        <f>UnitArms!AK38</f>
        <v>1</v>
      </c>
      <c r="K38" s="4">
        <v>0</v>
      </c>
      <c r="L38" s="4">
        <v>0</v>
      </c>
      <c r="M38" s="4">
        <v>0</v>
      </c>
      <c r="N38" s="4">
        <v>0</v>
      </c>
      <c r="O38" s="4">
        <v>0</v>
      </c>
      <c r="P38" s="4">
        <v>0</v>
      </c>
      <c r="Q38" s="4">
        <v>0</v>
      </c>
      <c r="R38" s="4">
        <v>0</v>
      </c>
      <c r="S38" s="4">
        <v>-1</v>
      </c>
      <c r="T38" s="4">
        <v>0</v>
      </c>
      <c r="U38" s="4">
        <v>0</v>
      </c>
      <c r="V38" s="4">
        <v>0</v>
      </c>
      <c r="W38">
        <f>UnitArms!M38</f>
        <v>-1</v>
      </c>
      <c r="X38">
        <f>UnitArms!E38</f>
        <v>3</v>
      </c>
      <c r="Y38" s="1" t="str">
        <f>UnitArms!F38</f>
        <v>01000000</v>
      </c>
      <c r="Z38" s="4">
        <v>0</v>
      </c>
      <c r="AA38" s="4">
        <v>0</v>
      </c>
      <c r="AB38">
        <f>UnitArms!AB38</f>
        <v>1030</v>
      </c>
      <c r="AC38">
        <f>UnitArms!AE38</f>
        <v>0</v>
      </c>
      <c r="AD38">
        <f>UnitArms!AF38</f>
        <v>0</v>
      </c>
      <c r="AE38">
        <f>UnitArms!AG38</f>
        <v>0</v>
      </c>
      <c r="AF38">
        <f>UnitArms!AH38</f>
        <v>0</v>
      </c>
      <c r="AG38">
        <f>UnitArms!Y38</f>
        <v>50</v>
      </c>
      <c r="AH38">
        <f>UnitArms!AC38</f>
        <v>0</v>
      </c>
      <c r="AI38" s="4">
        <v>0</v>
      </c>
      <c r="AJ38" s="4">
        <v>0</v>
      </c>
      <c r="AK38" s="4">
        <v>0</v>
      </c>
      <c r="AL38" s="4">
        <v>0</v>
      </c>
      <c r="AM38" s="4">
        <v>0</v>
      </c>
      <c r="AN38" s="4">
        <v>0</v>
      </c>
      <c r="AO38">
        <f>UnitArms!L38</f>
        <v>51</v>
      </c>
      <c r="AP38">
        <f>UnitArms!N38</f>
        <v>2</v>
      </c>
      <c r="AQ38">
        <f>UnitArms!P38</f>
        <v>-1</v>
      </c>
      <c r="AR38">
        <f>UnitArms!O38</f>
        <v>99</v>
      </c>
      <c r="AS38">
        <f>UnitArms!Q38</f>
        <v>-1</v>
      </c>
      <c r="AT38" s="4">
        <v>0</v>
      </c>
      <c r="AU38" s="4">
        <v>0</v>
      </c>
      <c r="AV38">
        <f>UnitArms!AL38</f>
        <v>1</v>
      </c>
      <c r="AW38">
        <f>UnitArms!AZ38</f>
        <v>-1</v>
      </c>
      <c r="AX38">
        <f>UnitArms!BA38</f>
        <v>2</v>
      </c>
      <c r="AY38">
        <f>UnitArms!T38</f>
        <v>240</v>
      </c>
      <c r="AZ38">
        <f>UnitArms!U38</f>
        <v>1700</v>
      </c>
      <c r="BA38">
        <f>UnitArms!H38</f>
        <v>5</v>
      </c>
      <c r="BB38">
        <f>UnitArms!W38</f>
        <v>36037</v>
      </c>
      <c r="BC38">
        <f>UnitArms!X38</f>
        <v>40040</v>
      </c>
      <c r="BD38">
        <f>UnitArms!G38</f>
        <v>2</v>
      </c>
      <c r="BE38">
        <f>UnitArms!I38</f>
        <v>1</v>
      </c>
      <c r="BF38">
        <f>UnitArms!AP38</f>
        <v>1</v>
      </c>
      <c r="BG38" s="4">
        <v>0</v>
      </c>
    </row>
    <row r="39" spans="1:59" x14ac:dyDescent="0.3">
      <c r="A39" t="str">
        <f>UnitArms!A39</f>
        <v>unar037</v>
      </c>
      <c r="B39" t="str">
        <f>UnitArms!D39</f>
        <v>Hybrid Gatiling Arm</v>
      </c>
      <c r="C39" s="1" t="str">
        <f>UnitArms!B39</f>
        <v>10414</v>
      </c>
      <c r="D39">
        <f>UnitArms!C39</f>
        <v>12</v>
      </c>
      <c r="E39" s="4" t="s">
        <v>262</v>
      </c>
      <c r="F39" s="4">
        <v>40</v>
      </c>
      <c r="G39">
        <f>UnitArms!AI39</f>
        <v>0</v>
      </c>
      <c r="H39" s="4">
        <v>0</v>
      </c>
      <c r="I39">
        <f>UnitArms!AJ39</f>
        <v>298200000</v>
      </c>
      <c r="J39">
        <f>UnitArms!AK39</f>
        <v>4</v>
      </c>
      <c r="K39" s="4">
        <v>0</v>
      </c>
      <c r="L39" s="4">
        <v>0</v>
      </c>
      <c r="M39" s="4">
        <v>0</v>
      </c>
      <c r="N39" s="4">
        <v>0</v>
      </c>
      <c r="O39" s="4">
        <v>0</v>
      </c>
      <c r="P39" s="4">
        <v>0</v>
      </c>
      <c r="Q39" s="4">
        <v>0</v>
      </c>
      <c r="R39" s="4">
        <v>0</v>
      </c>
      <c r="S39" s="4">
        <v>-1</v>
      </c>
      <c r="T39" s="4">
        <v>0</v>
      </c>
      <c r="U39" s="4">
        <v>0</v>
      </c>
      <c r="V39" s="4">
        <v>0</v>
      </c>
      <c r="W39">
        <f>UnitArms!M39</f>
        <v>-1</v>
      </c>
      <c r="X39">
        <f>UnitArms!E39</f>
        <v>3</v>
      </c>
      <c r="Y39" s="1" t="str">
        <f>UnitArms!F39</f>
        <v>01000000</v>
      </c>
      <c r="Z39" s="4">
        <v>0</v>
      </c>
      <c r="AA39" s="4">
        <v>0</v>
      </c>
      <c r="AB39">
        <f>UnitArms!AB39</f>
        <v>1235</v>
      </c>
      <c r="AC39">
        <f>UnitArms!AE39</f>
        <v>0</v>
      </c>
      <c r="AD39">
        <f>UnitArms!AF39</f>
        <v>0</v>
      </c>
      <c r="AE39">
        <f>UnitArms!AG39</f>
        <v>0</v>
      </c>
      <c r="AF39">
        <f>UnitArms!AH39</f>
        <v>0</v>
      </c>
      <c r="AG39">
        <f>UnitArms!Y39</f>
        <v>50</v>
      </c>
      <c r="AH39">
        <f>UnitArms!AC39</f>
        <v>0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">
        <v>0</v>
      </c>
      <c r="AO39">
        <f>UnitArms!L39</f>
        <v>53</v>
      </c>
      <c r="AP39">
        <f>UnitArms!N39</f>
        <v>2</v>
      </c>
      <c r="AQ39">
        <f>UnitArms!P39</f>
        <v>-1</v>
      </c>
      <c r="AR39">
        <f>UnitArms!O39</f>
        <v>99</v>
      </c>
      <c r="AS39">
        <f>UnitArms!Q39</f>
        <v>-1</v>
      </c>
      <c r="AT39" s="4">
        <v>0</v>
      </c>
      <c r="AU39" s="4">
        <v>0</v>
      </c>
      <c r="AV39">
        <f>UnitArms!AL39</f>
        <v>4</v>
      </c>
      <c r="AW39">
        <f>UnitArms!AZ39</f>
        <v>-1</v>
      </c>
      <c r="AX39">
        <f>UnitArms!BA39</f>
        <v>2</v>
      </c>
      <c r="AY39">
        <f>UnitArms!T39</f>
        <v>240</v>
      </c>
      <c r="AZ39">
        <f>UnitArms!U39</f>
        <v>1700</v>
      </c>
      <c r="BA39">
        <f>UnitArms!H39</f>
        <v>5</v>
      </c>
      <c r="BB39">
        <f>UnitArms!W39</f>
        <v>42043</v>
      </c>
      <c r="BC39">
        <f>UnitArms!X39</f>
        <v>46714</v>
      </c>
      <c r="BD39">
        <f>UnitArms!G39</f>
        <v>2</v>
      </c>
      <c r="BE39">
        <f>UnitArms!I39</f>
        <v>1</v>
      </c>
      <c r="BF39">
        <f>UnitArms!AP39</f>
        <v>1</v>
      </c>
      <c r="BG39" s="4">
        <v>0</v>
      </c>
    </row>
    <row r="40" spans="1:59" x14ac:dyDescent="0.3">
      <c r="A40" t="str">
        <f>UnitArms!A40</f>
        <v>unar038</v>
      </c>
      <c r="B40" t="str">
        <f>UnitArms!D40</f>
        <v>Judgement Rail Cannon Arm</v>
      </c>
      <c r="C40" s="1" t="str">
        <f>UnitArms!B40</f>
        <v>10414</v>
      </c>
      <c r="D40">
        <f>UnitArms!C40</f>
        <v>12</v>
      </c>
      <c r="E40" s="4" t="s">
        <v>262</v>
      </c>
      <c r="F40" s="4">
        <v>40</v>
      </c>
      <c r="G40">
        <f>UnitArms!AI40</f>
        <v>0</v>
      </c>
      <c r="H40" s="4">
        <v>0</v>
      </c>
      <c r="I40">
        <f>UnitArms!AJ40</f>
        <v>453600000</v>
      </c>
      <c r="J40">
        <f>UnitArms!AK40</f>
        <v>9</v>
      </c>
      <c r="K40" s="4">
        <v>0</v>
      </c>
      <c r="L40" s="4">
        <v>0</v>
      </c>
      <c r="M40" s="4">
        <v>0</v>
      </c>
      <c r="N40" s="4">
        <v>0</v>
      </c>
      <c r="O40" s="4">
        <v>0</v>
      </c>
      <c r="P40" s="4">
        <v>0</v>
      </c>
      <c r="Q40" s="4">
        <v>0</v>
      </c>
      <c r="R40" s="4">
        <v>0</v>
      </c>
      <c r="S40" s="4">
        <v>-1</v>
      </c>
      <c r="T40" s="4">
        <v>0</v>
      </c>
      <c r="U40" s="4">
        <v>0</v>
      </c>
      <c r="V40" s="4">
        <v>0</v>
      </c>
      <c r="W40">
        <f>UnitArms!M40</f>
        <v>-1</v>
      </c>
      <c r="X40">
        <f>UnitArms!E40</f>
        <v>3</v>
      </c>
      <c r="Y40" s="1" t="str">
        <f>UnitArms!F40</f>
        <v>01000000</v>
      </c>
      <c r="Z40" s="4">
        <v>0</v>
      </c>
      <c r="AA40" s="4">
        <v>0</v>
      </c>
      <c r="AB40">
        <f>UnitArms!AB40</f>
        <v>1606</v>
      </c>
      <c r="AC40">
        <f>UnitArms!AE40</f>
        <v>0</v>
      </c>
      <c r="AD40">
        <f>UnitArms!AF40</f>
        <v>0</v>
      </c>
      <c r="AE40">
        <f>UnitArms!AG40</f>
        <v>0</v>
      </c>
      <c r="AF40">
        <f>UnitArms!AH40</f>
        <v>0</v>
      </c>
      <c r="AG40">
        <f>UnitArms!Y40</f>
        <v>50</v>
      </c>
      <c r="AH40">
        <f>UnitArms!AC40</f>
        <v>0</v>
      </c>
      <c r="AI40" s="4">
        <v>0</v>
      </c>
      <c r="AJ40" s="4">
        <v>0</v>
      </c>
      <c r="AK40" s="4">
        <v>0</v>
      </c>
      <c r="AL40" s="4">
        <v>0</v>
      </c>
      <c r="AM40" s="4">
        <v>0</v>
      </c>
      <c r="AN40" s="4">
        <v>0</v>
      </c>
      <c r="AO40">
        <f>UnitArms!L40</f>
        <v>55</v>
      </c>
      <c r="AP40">
        <f>UnitArms!N40</f>
        <v>2</v>
      </c>
      <c r="AQ40">
        <f>UnitArms!P40</f>
        <v>-1</v>
      </c>
      <c r="AR40">
        <f>UnitArms!O40</f>
        <v>99</v>
      </c>
      <c r="AS40">
        <f>UnitArms!Q40</f>
        <v>-1</v>
      </c>
      <c r="AT40" s="4">
        <v>0</v>
      </c>
      <c r="AU40" s="4">
        <v>0</v>
      </c>
      <c r="AV40">
        <f>UnitArms!AL40</f>
        <v>9</v>
      </c>
      <c r="AW40">
        <f>UnitArms!AZ40</f>
        <v>-1</v>
      </c>
      <c r="AX40">
        <f>UnitArms!BA40</f>
        <v>2</v>
      </c>
      <c r="AY40">
        <f>UnitArms!T40</f>
        <v>240</v>
      </c>
      <c r="AZ40">
        <f>UnitArms!U40</f>
        <v>1700</v>
      </c>
      <c r="BA40">
        <f>UnitArms!H40</f>
        <v>5</v>
      </c>
      <c r="BB40">
        <f>UnitArms!W40</f>
        <v>46848</v>
      </c>
      <c r="BC40">
        <f>UnitArms!X40</f>
        <v>52052</v>
      </c>
      <c r="BD40">
        <f>UnitArms!G40</f>
        <v>2</v>
      </c>
      <c r="BE40">
        <f>UnitArms!I40</f>
        <v>1</v>
      </c>
      <c r="BF40">
        <f>UnitArms!AP40</f>
        <v>1</v>
      </c>
      <c r="BG40" s="4">
        <v>0</v>
      </c>
    </row>
    <row r="41" spans="1:59" x14ac:dyDescent="0.3">
      <c r="A41" t="str">
        <f>UnitArms!A41</f>
        <v>unar039</v>
      </c>
      <c r="B41" t="str">
        <f>UnitArms!D41</f>
        <v>Alter Arm</v>
      </c>
      <c r="C41" s="1" t="str">
        <f>UnitArms!B41</f>
        <v>1042D</v>
      </c>
      <c r="D41">
        <f>UnitArms!C41</f>
        <v>17</v>
      </c>
      <c r="E41" s="4" t="s">
        <v>262</v>
      </c>
      <c r="F41" s="4">
        <v>40</v>
      </c>
      <c r="G41">
        <f>UnitArms!AI41</f>
        <v>0</v>
      </c>
      <c r="H41" s="4">
        <v>0</v>
      </c>
      <c r="I41">
        <f>UnitArms!AJ41</f>
        <v>725760000</v>
      </c>
      <c r="J41">
        <f>UnitArms!AK41</f>
        <v>9</v>
      </c>
      <c r="K41" s="4">
        <v>0</v>
      </c>
      <c r="L41" s="4">
        <v>0</v>
      </c>
      <c r="M41" s="4">
        <v>0</v>
      </c>
      <c r="N41" s="4">
        <v>0</v>
      </c>
      <c r="O41" s="4">
        <v>0</v>
      </c>
      <c r="P41" s="4">
        <v>0</v>
      </c>
      <c r="Q41" s="4">
        <v>0</v>
      </c>
      <c r="R41" s="4">
        <v>0</v>
      </c>
      <c r="S41" s="4">
        <v>-1</v>
      </c>
      <c r="T41" s="4">
        <v>0</v>
      </c>
      <c r="U41" s="4">
        <v>0</v>
      </c>
      <c r="V41" s="4">
        <v>0</v>
      </c>
      <c r="W41">
        <f>UnitArms!M41</f>
        <v>-1</v>
      </c>
      <c r="X41">
        <f>UnitArms!E41</f>
        <v>3</v>
      </c>
      <c r="Y41" s="1" t="str">
        <f>UnitArms!F41</f>
        <v>01000000</v>
      </c>
      <c r="Z41" s="4">
        <v>0</v>
      </c>
      <c r="AA41" s="4">
        <v>0</v>
      </c>
      <c r="AB41">
        <f>UnitArms!AB41</f>
        <v>1927</v>
      </c>
      <c r="AC41">
        <f>UnitArms!AE41</f>
        <v>0</v>
      </c>
      <c r="AD41">
        <f>UnitArms!AF41</f>
        <v>0</v>
      </c>
      <c r="AE41">
        <f>UnitArms!AG41</f>
        <v>0</v>
      </c>
      <c r="AF41">
        <f>UnitArms!AH41</f>
        <v>0</v>
      </c>
      <c r="AG41">
        <f>UnitArms!Y41</f>
        <v>50</v>
      </c>
      <c r="AH41">
        <f>UnitArms!AC41</f>
        <v>0</v>
      </c>
      <c r="AI41" s="4">
        <v>0</v>
      </c>
      <c r="AJ41" s="4">
        <v>0</v>
      </c>
      <c r="AK41" s="4">
        <v>0</v>
      </c>
      <c r="AL41" s="4">
        <v>0</v>
      </c>
      <c r="AM41" s="4">
        <v>0</v>
      </c>
      <c r="AN41" s="4">
        <v>0</v>
      </c>
      <c r="AO41">
        <f>UnitArms!L41</f>
        <v>59</v>
      </c>
      <c r="AP41">
        <f>UnitArms!N41</f>
        <v>2</v>
      </c>
      <c r="AQ41">
        <f>UnitArms!P41</f>
        <v>-1</v>
      </c>
      <c r="AR41">
        <f>UnitArms!O41</f>
        <v>99</v>
      </c>
      <c r="AS41">
        <f>UnitArms!Q41</f>
        <v>-1</v>
      </c>
      <c r="AT41" s="4">
        <v>0</v>
      </c>
      <c r="AU41" s="4">
        <v>0</v>
      </c>
      <c r="AV41">
        <f>UnitArms!AL41</f>
        <v>36</v>
      </c>
      <c r="AW41">
        <f>UnitArms!AZ41</f>
        <v>-1</v>
      </c>
      <c r="AX41">
        <f>UnitArms!BA41</f>
        <v>2</v>
      </c>
      <c r="AY41">
        <f>UnitArms!T41</f>
        <v>240</v>
      </c>
      <c r="AZ41">
        <f>UnitArms!U41</f>
        <v>1700</v>
      </c>
      <c r="BA41">
        <f>UnitArms!H41</f>
        <v>5</v>
      </c>
      <c r="BB41">
        <f>UnitArms!W41</f>
        <v>56218</v>
      </c>
      <c r="BC41">
        <f>UnitArms!X41</f>
        <v>62462</v>
      </c>
      <c r="BD41">
        <f>UnitArms!G41</f>
        <v>2</v>
      </c>
      <c r="BE41">
        <f>UnitArms!I41</f>
        <v>1</v>
      </c>
      <c r="BF41">
        <f>UnitArms!AP41</f>
        <v>1</v>
      </c>
      <c r="BG41" s="4">
        <v>0</v>
      </c>
    </row>
    <row r="42" spans="1:59" x14ac:dyDescent="0.3">
      <c r="A42" t="str">
        <f>UnitArms!A42</f>
        <v>unar040</v>
      </c>
      <c r="B42" t="str">
        <f>UnitArms!D42</f>
        <v>Irregular Arm</v>
      </c>
      <c r="C42" s="1" t="str">
        <f>UnitArms!B42</f>
        <v>1042D</v>
      </c>
      <c r="D42">
        <f>UnitArms!C42</f>
        <v>17</v>
      </c>
      <c r="E42" s="4" t="s">
        <v>262</v>
      </c>
      <c r="F42" s="4">
        <v>40</v>
      </c>
      <c r="G42">
        <f>UnitArms!AI42</f>
        <v>0</v>
      </c>
      <c r="H42" s="4">
        <v>0</v>
      </c>
      <c r="I42">
        <f>UnitArms!AJ42</f>
        <v>907200000</v>
      </c>
      <c r="J42">
        <f>UnitArms!AK42</f>
        <v>9</v>
      </c>
      <c r="K42" s="4">
        <v>0</v>
      </c>
      <c r="L42" s="4">
        <v>0</v>
      </c>
      <c r="M42" s="4">
        <v>0</v>
      </c>
      <c r="N42" s="4">
        <v>0</v>
      </c>
      <c r="O42" s="4">
        <v>0</v>
      </c>
      <c r="P42" s="4">
        <v>0</v>
      </c>
      <c r="Q42" s="4">
        <v>0</v>
      </c>
      <c r="R42" s="4">
        <v>0</v>
      </c>
      <c r="S42" s="4">
        <v>-1</v>
      </c>
      <c r="T42" s="4">
        <v>0</v>
      </c>
      <c r="U42" s="4">
        <v>0</v>
      </c>
      <c r="V42" s="4">
        <v>0</v>
      </c>
      <c r="W42">
        <f>UnitArms!M42</f>
        <v>-1</v>
      </c>
      <c r="X42">
        <f>UnitArms!E42</f>
        <v>3</v>
      </c>
      <c r="Y42" s="1" t="str">
        <f>UnitArms!F42</f>
        <v>01000000</v>
      </c>
      <c r="Z42" s="4">
        <v>0</v>
      </c>
      <c r="AA42" s="4">
        <v>0</v>
      </c>
      <c r="AB42">
        <f>UnitArms!AB42</f>
        <v>2312</v>
      </c>
      <c r="AC42">
        <f>UnitArms!AE42</f>
        <v>0</v>
      </c>
      <c r="AD42">
        <f>UnitArms!AF42</f>
        <v>0</v>
      </c>
      <c r="AE42">
        <f>UnitArms!AG42</f>
        <v>0</v>
      </c>
      <c r="AF42">
        <f>UnitArms!AH42</f>
        <v>0</v>
      </c>
      <c r="AG42">
        <f>UnitArms!Y42</f>
        <v>50</v>
      </c>
      <c r="AH42">
        <f>UnitArms!AC42</f>
        <v>0</v>
      </c>
      <c r="AI42" s="4">
        <v>0</v>
      </c>
      <c r="AJ42" s="4">
        <v>0</v>
      </c>
      <c r="AK42" s="4">
        <v>0</v>
      </c>
      <c r="AL42" s="4">
        <v>0</v>
      </c>
      <c r="AM42" s="4">
        <v>0</v>
      </c>
      <c r="AN42" s="4">
        <v>0</v>
      </c>
      <c r="AO42">
        <f>UnitArms!L42</f>
        <v>64</v>
      </c>
      <c r="AP42">
        <f>UnitArms!N42</f>
        <v>2</v>
      </c>
      <c r="AQ42">
        <f>UnitArms!P42</f>
        <v>-1</v>
      </c>
      <c r="AR42">
        <f>UnitArms!O42</f>
        <v>99</v>
      </c>
      <c r="AS42">
        <f>UnitArms!Q42</f>
        <v>-1</v>
      </c>
      <c r="AT42" s="4">
        <v>0</v>
      </c>
      <c r="AU42" s="4">
        <v>0</v>
      </c>
      <c r="AV42">
        <f>UnitArms!AL42</f>
        <v>45</v>
      </c>
      <c r="AW42">
        <f>UnitArms!AZ42</f>
        <v>-1</v>
      </c>
      <c r="AX42">
        <f>UnitArms!BA42</f>
        <v>2</v>
      </c>
      <c r="AY42">
        <f>UnitArms!T42</f>
        <v>240</v>
      </c>
      <c r="AZ42">
        <f>UnitArms!U42</f>
        <v>1700</v>
      </c>
      <c r="BA42">
        <f>UnitArms!H42</f>
        <v>5</v>
      </c>
      <c r="BB42">
        <f>UnitArms!W42</f>
        <v>57679</v>
      </c>
      <c r="BC42">
        <f>UnitArms!X42</f>
        <v>64087</v>
      </c>
      <c r="BD42">
        <f>UnitArms!G42</f>
        <v>2</v>
      </c>
      <c r="BE42">
        <f>UnitArms!I42</f>
        <v>1</v>
      </c>
      <c r="BF42">
        <f>UnitArms!AP42</f>
        <v>1</v>
      </c>
      <c r="BG42" s="4">
        <v>0</v>
      </c>
    </row>
    <row r="43" spans="1:59" x14ac:dyDescent="0.3">
      <c r="A43" t="str">
        <f>UnitArms!A43</f>
        <v>unar041</v>
      </c>
      <c r="B43" t="str">
        <f>UnitArms!D43</f>
        <v>NotUsed</v>
      </c>
      <c r="C43" s="1" t="str">
        <f>UnitArms!B43</f>
        <v>20428</v>
      </c>
      <c r="D43">
        <f>UnitArms!C43</f>
        <v>100</v>
      </c>
      <c r="E43" s="4" t="s">
        <v>262</v>
      </c>
      <c r="F43" s="4">
        <v>40</v>
      </c>
      <c r="G43">
        <f>UnitArms!AI43</f>
        <v>0</v>
      </c>
      <c r="H43" s="4">
        <v>0</v>
      </c>
      <c r="I43">
        <f>UnitArms!AJ43</f>
        <v>0</v>
      </c>
      <c r="J43">
        <f>UnitArms!AK43</f>
        <v>1</v>
      </c>
      <c r="K43" s="4">
        <v>0</v>
      </c>
      <c r="L43" s="4">
        <v>0</v>
      </c>
      <c r="M43" s="4">
        <v>0</v>
      </c>
      <c r="N43" s="4">
        <v>0</v>
      </c>
      <c r="O43" s="4">
        <v>0</v>
      </c>
      <c r="P43" s="4">
        <v>0</v>
      </c>
      <c r="Q43" s="4">
        <v>0</v>
      </c>
      <c r="R43" s="4">
        <v>0</v>
      </c>
      <c r="S43" s="4">
        <v>-1</v>
      </c>
      <c r="T43" s="4">
        <v>0</v>
      </c>
      <c r="U43" s="4">
        <v>0</v>
      </c>
      <c r="V43" s="4">
        <v>0</v>
      </c>
      <c r="W43">
        <f>UnitArms!M43</f>
        <v>-1</v>
      </c>
      <c r="X43">
        <f>UnitArms!E43</f>
        <v>3</v>
      </c>
      <c r="Y43" s="1" t="str">
        <f>UnitArms!F43</f>
        <v>00100000</v>
      </c>
      <c r="Z43" s="4">
        <v>0</v>
      </c>
      <c r="AA43" s="4">
        <v>0</v>
      </c>
      <c r="AB43">
        <f>UnitArms!AB43</f>
        <v>0</v>
      </c>
      <c r="AC43">
        <f>UnitArms!AE43</f>
        <v>0</v>
      </c>
      <c r="AD43">
        <f>UnitArms!AF43</f>
        <v>0</v>
      </c>
      <c r="AE43">
        <f>UnitArms!AG43</f>
        <v>0</v>
      </c>
      <c r="AF43">
        <f>UnitArms!AH43</f>
        <v>0</v>
      </c>
      <c r="AG43">
        <f>UnitArms!Y43</f>
        <v>49</v>
      </c>
      <c r="AH43">
        <f>UnitArms!AC43</f>
        <v>0</v>
      </c>
      <c r="AI43" s="4">
        <v>0</v>
      </c>
      <c r="AJ43" s="4">
        <v>0</v>
      </c>
      <c r="AK43" s="4">
        <v>0</v>
      </c>
      <c r="AL43" s="4">
        <v>0</v>
      </c>
      <c r="AM43" s="4">
        <v>0</v>
      </c>
      <c r="AN43" s="4">
        <v>0</v>
      </c>
      <c r="AO43">
        <f>UnitArms!L43</f>
        <v>100</v>
      </c>
      <c r="AP43">
        <f>UnitArms!N43</f>
        <v>2</v>
      </c>
      <c r="AQ43">
        <f>UnitArms!P43</f>
        <v>-1</v>
      </c>
      <c r="AR43">
        <f>UnitArms!O43</f>
        <v>100</v>
      </c>
      <c r="AS43">
        <f>UnitArms!Q43</f>
        <v>-1</v>
      </c>
      <c r="AT43" s="4">
        <v>0</v>
      </c>
      <c r="AU43" s="4">
        <v>0</v>
      </c>
      <c r="AV43">
        <f>UnitArms!AL43</f>
        <v>1</v>
      </c>
      <c r="AW43">
        <f>UnitArms!AZ43</f>
        <v>-1</v>
      </c>
      <c r="AX43">
        <f>UnitArms!BA43</f>
        <v>2</v>
      </c>
      <c r="AY43">
        <f>UnitArms!T43</f>
        <v>0</v>
      </c>
      <c r="AZ43">
        <f>UnitArms!U43</f>
        <v>1700</v>
      </c>
      <c r="BA43">
        <f>UnitArms!H43</f>
        <v>1</v>
      </c>
      <c r="BB43">
        <f>UnitArms!W43</f>
        <v>916</v>
      </c>
      <c r="BC43">
        <f>UnitArms!X43</f>
        <v>996</v>
      </c>
      <c r="BD43">
        <f>UnitArms!G43</f>
        <v>3</v>
      </c>
      <c r="BE43">
        <f>UnitArms!I43</f>
        <v>1</v>
      </c>
      <c r="BF43">
        <f>UnitArms!AP43</f>
        <v>1</v>
      </c>
      <c r="BG43" s="4">
        <v>0</v>
      </c>
    </row>
    <row r="44" spans="1:59" x14ac:dyDescent="0.3">
      <c r="A44" t="str">
        <f>UnitArms!A44</f>
        <v>unar042</v>
      </c>
      <c r="B44" t="str">
        <f>UnitArms!D44</f>
        <v>NotUsed</v>
      </c>
      <c r="C44" s="1" t="str">
        <f>UnitArms!B44</f>
        <v>20429</v>
      </c>
      <c r="D44">
        <f>UnitArms!C44</f>
        <v>100</v>
      </c>
      <c r="E44" s="4" t="s">
        <v>262</v>
      </c>
      <c r="F44" s="4">
        <v>40</v>
      </c>
      <c r="G44">
        <f>UnitArms!AI44</f>
        <v>0</v>
      </c>
      <c r="H44" s="4">
        <v>0</v>
      </c>
      <c r="I44">
        <f>UnitArms!AJ44</f>
        <v>0</v>
      </c>
      <c r="J44">
        <f>UnitArms!AK44</f>
        <v>1</v>
      </c>
      <c r="K44" s="4">
        <v>0</v>
      </c>
      <c r="L44" s="4">
        <v>0</v>
      </c>
      <c r="M44" s="4">
        <v>0</v>
      </c>
      <c r="N44" s="4">
        <v>0</v>
      </c>
      <c r="O44" s="4">
        <v>0</v>
      </c>
      <c r="P44" s="4">
        <v>0</v>
      </c>
      <c r="Q44" s="4">
        <v>0</v>
      </c>
      <c r="R44" s="4">
        <v>0</v>
      </c>
      <c r="S44" s="4">
        <v>-1</v>
      </c>
      <c r="T44" s="4">
        <v>0</v>
      </c>
      <c r="U44" s="4">
        <v>0</v>
      </c>
      <c r="V44" s="4">
        <v>0</v>
      </c>
      <c r="W44">
        <f>UnitArms!M44</f>
        <v>-1</v>
      </c>
      <c r="X44">
        <f>UnitArms!E44</f>
        <v>3</v>
      </c>
      <c r="Y44" s="1" t="str">
        <f>UnitArms!F44</f>
        <v>00100000</v>
      </c>
      <c r="Z44" s="4">
        <v>0</v>
      </c>
      <c r="AA44" s="4">
        <v>0</v>
      </c>
      <c r="AB44">
        <f>UnitArms!AB44</f>
        <v>0</v>
      </c>
      <c r="AC44">
        <f>UnitArms!AE44</f>
        <v>0</v>
      </c>
      <c r="AD44">
        <f>UnitArms!AF44</f>
        <v>0</v>
      </c>
      <c r="AE44">
        <f>UnitArms!AG44</f>
        <v>0</v>
      </c>
      <c r="AF44">
        <f>UnitArms!AH44</f>
        <v>0</v>
      </c>
      <c r="AG44">
        <f>UnitArms!Y44</f>
        <v>99</v>
      </c>
      <c r="AH44">
        <f>UnitArms!AC44</f>
        <v>0</v>
      </c>
      <c r="AI44" s="4">
        <v>0</v>
      </c>
      <c r="AJ44" s="4">
        <v>0</v>
      </c>
      <c r="AK44" s="4">
        <v>0</v>
      </c>
      <c r="AL44" s="4">
        <v>0</v>
      </c>
      <c r="AM44" s="4">
        <v>0</v>
      </c>
      <c r="AN44" s="4">
        <v>0</v>
      </c>
      <c r="AO44">
        <f>UnitArms!L44</f>
        <v>100</v>
      </c>
      <c r="AP44">
        <f>UnitArms!N44</f>
        <v>2</v>
      </c>
      <c r="AQ44">
        <f>UnitArms!P44</f>
        <v>-1</v>
      </c>
      <c r="AR44">
        <f>UnitArms!O44</f>
        <v>100</v>
      </c>
      <c r="AS44">
        <f>UnitArms!Q44</f>
        <v>-1</v>
      </c>
      <c r="AT44" s="4">
        <v>0</v>
      </c>
      <c r="AU44" s="4">
        <v>0</v>
      </c>
      <c r="AV44">
        <f>UnitArms!AL44</f>
        <v>1</v>
      </c>
      <c r="AW44">
        <f>UnitArms!AZ44</f>
        <v>-1</v>
      </c>
      <c r="AX44">
        <f>UnitArms!BA44</f>
        <v>2</v>
      </c>
      <c r="AY44">
        <f>UnitArms!T44</f>
        <v>0</v>
      </c>
      <c r="AZ44">
        <f>UnitArms!U44</f>
        <v>1700</v>
      </c>
      <c r="BA44">
        <f>UnitArms!H44</f>
        <v>1</v>
      </c>
      <c r="BB44">
        <f>UnitArms!W44</f>
        <v>200</v>
      </c>
      <c r="BC44">
        <f>UnitArms!X44</f>
        <v>300</v>
      </c>
      <c r="BD44">
        <f>UnitArms!G44</f>
        <v>3</v>
      </c>
      <c r="BE44">
        <f>UnitArms!I44</f>
        <v>1</v>
      </c>
      <c r="BF44">
        <f>UnitArms!AP44</f>
        <v>1</v>
      </c>
      <c r="BG44" s="4">
        <v>0</v>
      </c>
    </row>
    <row r="45" spans="1:59" x14ac:dyDescent="0.3">
      <c r="A45" t="str">
        <f>UnitArms!A45</f>
        <v>unar043</v>
      </c>
      <c r="B45" t="str">
        <f>UnitArms!D45</f>
        <v>NotUsed</v>
      </c>
      <c r="C45" s="1" t="str">
        <f>UnitArms!B45</f>
        <v>2042A</v>
      </c>
      <c r="D45">
        <f>UnitArms!C45</f>
        <v>100</v>
      </c>
      <c r="E45" s="4" t="s">
        <v>262</v>
      </c>
      <c r="F45" s="4">
        <v>40</v>
      </c>
      <c r="G45">
        <f>UnitArms!AI45</f>
        <v>0</v>
      </c>
      <c r="H45" s="4">
        <v>0</v>
      </c>
      <c r="I45">
        <f>UnitArms!AJ45</f>
        <v>0</v>
      </c>
      <c r="J45">
        <f>UnitArms!AK45</f>
        <v>1</v>
      </c>
      <c r="K45" s="4">
        <v>0</v>
      </c>
      <c r="L45" s="4">
        <v>0</v>
      </c>
      <c r="M45" s="4">
        <v>0</v>
      </c>
      <c r="N45" s="4">
        <v>0</v>
      </c>
      <c r="O45" s="4">
        <v>0</v>
      </c>
      <c r="P45" s="4">
        <v>0</v>
      </c>
      <c r="Q45" s="4">
        <v>0</v>
      </c>
      <c r="R45" s="4">
        <v>0</v>
      </c>
      <c r="S45" s="4">
        <v>-1</v>
      </c>
      <c r="T45" s="4">
        <v>0</v>
      </c>
      <c r="U45" s="4">
        <v>0</v>
      </c>
      <c r="V45" s="4">
        <v>0</v>
      </c>
      <c r="W45">
        <f>UnitArms!M45</f>
        <v>-1</v>
      </c>
      <c r="X45">
        <f>UnitArms!E45</f>
        <v>3</v>
      </c>
      <c r="Y45" s="1" t="str">
        <f>UnitArms!F45</f>
        <v>00100000</v>
      </c>
      <c r="Z45" s="4">
        <v>0</v>
      </c>
      <c r="AA45" s="4">
        <v>0</v>
      </c>
      <c r="AB45">
        <f>UnitArms!AB45</f>
        <v>180</v>
      </c>
      <c r="AC45">
        <f>UnitArms!AE45</f>
        <v>0</v>
      </c>
      <c r="AD45">
        <f>UnitArms!AF45</f>
        <v>0</v>
      </c>
      <c r="AE45">
        <f>UnitArms!AG45</f>
        <v>0</v>
      </c>
      <c r="AF45">
        <f>UnitArms!AH45</f>
        <v>0</v>
      </c>
      <c r="AG45">
        <f>UnitArms!Y45</f>
        <v>99</v>
      </c>
      <c r="AH45">
        <f>UnitArms!AC45</f>
        <v>0</v>
      </c>
      <c r="AI45" s="4">
        <v>0</v>
      </c>
      <c r="AJ45" s="4">
        <v>0</v>
      </c>
      <c r="AK45" s="4">
        <v>0</v>
      </c>
      <c r="AL45" s="4">
        <v>0</v>
      </c>
      <c r="AM45" s="4">
        <v>0</v>
      </c>
      <c r="AN45" s="4">
        <v>0</v>
      </c>
      <c r="AO45">
        <f>UnitArms!L45</f>
        <v>100</v>
      </c>
      <c r="AP45">
        <f>UnitArms!N45</f>
        <v>2</v>
      </c>
      <c r="AQ45">
        <f>UnitArms!P45</f>
        <v>-1</v>
      </c>
      <c r="AR45">
        <f>UnitArms!O45</f>
        <v>100</v>
      </c>
      <c r="AS45">
        <f>UnitArms!Q45</f>
        <v>-1</v>
      </c>
      <c r="AT45" s="4">
        <v>0</v>
      </c>
      <c r="AU45" s="4">
        <v>0</v>
      </c>
      <c r="AV45">
        <f>UnitArms!AL45</f>
        <v>1</v>
      </c>
      <c r="AW45">
        <f>UnitArms!AZ45</f>
        <v>-1</v>
      </c>
      <c r="AX45">
        <f>UnitArms!BA45</f>
        <v>2</v>
      </c>
      <c r="AY45">
        <f>UnitArms!T45</f>
        <v>0</v>
      </c>
      <c r="AZ45">
        <f>UnitArms!U45</f>
        <v>1700</v>
      </c>
      <c r="BA45">
        <f>UnitArms!H45</f>
        <v>1</v>
      </c>
      <c r="BB45">
        <f>UnitArms!W45</f>
        <v>100</v>
      </c>
      <c r="BC45">
        <f>UnitArms!X45</f>
        <v>200</v>
      </c>
      <c r="BD45">
        <f>UnitArms!G45</f>
        <v>3</v>
      </c>
      <c r="BE45">
        <f>UnitArms!I45</f>
        <v>1</v>
      </c>
      <c r="BF45">
        <f>UnitArms!AP45</f>
        <v>1</v>
      </c>
      <c r="BG45" s="4">
        <v>0</v>
      </c>
    </row>
    <row r="46" spans="1:59" x14ac:dyDescent="0.3">
      <c r="A46" t="str">
        <f>UnitArms!A46</f>
        <v>unar044</v>
      </c>
      <c r="B46" t="str">
        <f>UnitArms!D46</f>
        <v>NotUsed</v>
      </c>
      <c r="C46" s="1" t="str">
        <f>UnitArms!B46</f>
        <v>2042B</v>
      </c>
      <c r="D46">
        <f>UnitArms!C46</f>
        <v>100</v>
      </c>
      <c r="E46" s="4" t="s">
        <v>262</v>
      </c>
      <c r="F46" s="4">
        <v>40</v>
      </c>
      <c r="G46">
        <f>UnitArms!AI46</f>
        <v>0</v>
      </c>
      <c r="H46" s="4">
        <v>0</v>
      </c>
      <c r="I46">
        <f>UnitArms!AJ46</f>
        <v>0</v>
      </c>
      <c r="J46">
        <f>UnitArms!AK46</f>
        <v>1</v>
      </c>
      <c r="K46" s="4">
        <v>0</v>
      </c>
      <c r="L46" s="4">
        <v>0</v>
      </c>
      <c r="M46" s="4">
        <v>0</v>
      </c>
      <c r="N46" s="4">
        <v>0</v>
      </c>
      <c r="O46" s="4">
        <v>0</v>
      </c>
      <c r="P46" s="4">
        <v>0</v>
      </c>
      <c r="Q46" s="4">
        <v>0</v>
      </c>
      <c r="R46" s="4">
        <v>0</v>
      </c>
      <c r="S46" s="4">
        <v>-1</v>
      </c>
      <c r="T46" s="4">
        <v>0</v>
      </c>
      <c r="U46" s="4">
        <v>0</v>
      </c>
      <c r="V46" s="4">
        <v>0</v>
      </c>
      <c r="W46">
        <f>UnitArms!M46</f>
        <v>-1</v>
      </c>
      <c r="X46">
        <f>UnitArms!E46</f>
        <v>3</v>
      </c>
      <c r="Y46" s="1" t="str">
        <f>UnitArms!F46</f>
        <v>00100000</v>
      </c>
      <c r="Z46" s="4">
        <v>0</v>
      </c>
      <c r="AA46" s="4">
        <v>0</v>
      </c>
      <c r="AB46">
        <f>UnitArms!AB46</f>
        <v>180</v>
      </c>
      <c r="AC46">
        <f>UnitArms!AE46</f>
        <v>0</v>
      </c>
      <c r="AD46">
        <f>UnitArms!AF46</f>
        <v>0</v>
      </c>
      <c r="AE46">
        <f>UnitArms!AG46</f>
        <v>0</v>
      </c>
      <c r="AF46">
        <f>UnitArms!AH46</f>
        <v>0</v>
      </c>
      <c r="AG46">
        <f>UnitArms!Y46</f>
        <v>99</v>
      </c>
      <c r="AH46">
        <f>UnitArms!AC46</f>
        <v>0</v>
      </c>
      <c r="AI46" s="4">
        <v>0</v>
      </c>
      <c r="AJ46" s="4">
        <v>0</v>
      </c>
      <c r="AK46" s="4">
        <v>0</v>
      </c>
      <c r="AL46" s="4">
        <v>0</v>
      </c>
      <c r="AM46" s="4">
        <v>0</v>
      </c>
      <c r="AN46" s="4">
        <v>0</v>
      </c>
      <c r="AO46">
        <f>UnitArms!L46</f>
        <v>100</v>
      </c>
      <c r="AP46">
        <f>UnitArms!N46</f>
        <v>2</v>
      </c>
      <c r="AQ46">
        <f>UnitArms!P46</f>
        <v>-1</v>
      </c>
      <c r="AR46">
        <f>UnitArms!O46</f>
        <v>100</v>
      </c>
      <c r="AS46">
        <f>UnitArms!Q46</f>
        <v>-1</v>
      </c>
      <c r="AT46" s="4">
        <v>0</v>
      </c>
      <c r="AU46" s="4">
        <v>0</v>
      </c>
      <c r="AV46">
        <f>UnitArms!AL46</f>
        <v>1</v>
      </c>
      <c r="AW46">
        <f>UnitArms!AZ46</f>
        <v>-1</v>
      </c>
      <c r="AX46">
        <f>UnitArms!BA46</f>
        <v>2</v>
      </c>
      <c r="AY46">
        <f>UnitArms!T46</f>
        <v>0</v>
      </c>
      <c r="AZ46">
        <f>UnitArms!U46</f>
        <v>1700</v>
      </c>
      <c r="BA46">
        <f>UnitArms!H46</f>
        <v>1</v>
      </c>
      <c r="BB46">
        <f>UnitArms!W46</f>
        <v>200</v>
      </c>
      <c r="BC46">
        <f>UnitArms!X46</f>
        <v>300</v>
      </c>
      <c r="BD46">
        <f>UnitArms!G46</f>
        <v>3</v>
      </c>
      <c r="BE46">
        <f>UnitArms!I46</f>
        <v>1</v>
      </c>
      <c r="BF46">
        <f>UnitArms!AP46</f>
        <v>1</v>
      </c>
      <c r="BG46" s="4">
        <v>0</v>
      </c>
    </row>
    <row r="47" spans="1:59" x14ac:dyDescent="0.3">
      <c r="A47" t="str">
        <f>UnitArms!A47</f>
        <v>unar045</v>
      </c>
      <c r="B47" t="str">
        <f>UnitArms!D47</f>
        <v>NotUsed</v>
      </c>
      <c r="C47" s="1" t="str">
        <f>UnitArms!B47</f>
        <v>2042C</v>
      </c>
      <c r="D47">
        <f>UnitArms!C47</f>
        <v>100</v>
      </c>
      <c r="E47" s="4" t="s">
        <v>262</v>
      </c>
      <c r="F47" s="4">
        <v>40</v>
      </c>
      <c r="G47">
        <f>UnitArms!AI47</f>
        <v>0</v>
      </c>
      <c r="H47" s="4">
        <v>0</v>
      </c>
      <c r="I47">
        <f>UnitArms!AJ47</f>
        <v>0</v>
      </c>
      <c r="J47">
        <f>UnitArms!AK47</f>
        <v>1</v>
      </c>
      <c r="K47" s="4">
        <v>0</v>
      </c>
      <c r="L47" s="4">
        <v>0</v>
      </c>
      <c r="M47" s="4">
        <v>0</v>
      </c>
      <c r="N47" s="4">
        <v>0</v>
      </c>
      <c r="O47" s="4">
        <v>0</v>
      </c>
      <c r="P47" s="4">
        <v>0</v>
      </c>
      <c r="Q47" s="4">
        <v>0</v>
      </c>
      <c r="R47" s="4">
        <v>0</v>
      </c>
      <c r="S47" s="4">
        <v>-1</v>
      </c>
      <c r="T47" s="4">
        <v>0</v>
      </c>
      <c r="U47" s="4">
        <v>0</v>
      </c>
      <c r="V47" s="4">
        <v>0</v>
      </c>
      <c r="W47">
        <f>UnitArms!M47</f>
        <v>-1</v>
      </c>
      <c r="X47">
        <f>UnitArms!E47</f>
        <v>3</v>
      </c>
      <c r="Y47" s="1" t="str">
        <f>UnitArms!F47</f>
        <v>00100000</v>
      </c>
      <c r="Z47" s="4">
        <v>0</v>
      </c>
      <c r="AA47" s="4">
        <v>0</v>
      </c>
      <c r="AB47">
        <f>UnitArms!AB47</f>
        <v>180</v>
      </c>
      <c r="AC47">
        <f>UnitArms!AE47</f>
        <v>0</v>
      </c>
      <c r="AD47">
        <f>UnitArms!AF47</f>
        <v>0</v>
      </c>
      <c r="AE47">
        <f>UnitArms!AG47</f>
        <v>0</v>
      </c>
      <c r="AF47">
        <f>UnitArms!AH47</f>
        <v>0</v>
      </c>
      <c r="AG47">
        <f>UnitArms!Y47</f>
        <v>99</v>
      </c>
      <c r="AH47">
        <f>UnitArms!AC47</f>
        <v>0</v>
      </c>
      <c r="AI47" s="4">
        <v>0</v>
      </c>
      <c r="AJ47" s="4">
        <v>0</v>
      </c>
      <c r="AK47" s="4">
        <v>0</v>
      </c>
      <c r="AL47" s="4">
        <v>0</v>
      </c>
      <c r="AM47" s="4">
        <v>0</v>
      </c>
      <c r="AN47" s="4">
        <v>0</v>
      </c>
      <c r="AO47">
        <f>UnitArms!L47</f>
        <v>100</v>
      </c>
      <c r="AP47">
        <f>UnitArms!N47</f>
        <v>2</v>
      </c>
      <c r="AQ47">
        <f>UnitArms!P47</f>
        <v>-1</v>
      </c>
      <c r="AR47">
        <f>UnitArms!O47</f>
        <v>100</v>
      </c>
      <c r="AS47">
        <f>UnitArms!Q47</f>
        <v>-1</v>
      </c>
      <c r="AT47" s="4">
        <v>0</v>
      </c>
      <c r="AU47" s="4">
        <v>0</v>
      </c>
      <c r="AV47">
        <f>UnitArms!AL47</f>
        <v>1</v>
      </c>
      <c r="AW47">
        <f>UnitArms!AZ47</f>
        <v>-1</v>
      </c>
      <c r="AX47">
        <f>UnitArms!BA47</f>
        <v>2</v>
      </c>
      <c r="AY47">
        <f>UnitArms!T47</f>
        <v>0</v>
      </c>
      <c r="AZ47">
        <f>UnitArms!U47</f>
        <v>1700</v>
      </c>
      <c r="BA47">
        <f>UnitArms!H47</f>
        <v>1</v>
      </c>
      <c r="BB47">
        <f>UnitArms!W47</f>
        <v>100</v>
      </c>
      <c r="BC47">
        <f>UnitArms!X47</f>
        <v>200</v>
      </c>
      <c r="BD47">
        <f>UnitArms!G47</f>
        <v>3</v>
      </c>
      <c r="BE47">
        <f>UnitArms!I47</f>
        <v>1</v>
      </c>
      <c r="BF47">
        <f>UnitArms!AP47</f>
        <v>1</v>
      </c>
      <c r="BG47" s="4">
        <v>0</v>
      </c>
    </row>
    <row r="48" spans="1:59" x14ac:dyDescent="0.3">
      <c r="A48" t="str">
        <f>UnitArms!A48</f>
        <v>unar046</v>
      </c>
      <c r="B48" t="str">
        <f>UnitArms!D48</f>
        <v>NotUsed</v>
      </c>
      <c r="C48" s="1" t="str">
        <f>UnitArms!B48</f>
        <v>2042D</v>
      </c>
      <c r="D48">
        <f>UnitArms!C48</f>
        <v>100</v>
      </c>
      <c r="E48" s="4" t="s">
        <v>262</v>
      </c>
      <c r="F48" s="4">
        <v>40</v>
      </c>
      <c r="G48">
        <f>UnitArms!AI48</f>
        <v>0</v>
      </c>
      <c r="H48" s="4">
        <v>0</v>
      </c>
      <c r="I48">
        <f>UnitArms!AJ48</f>
        <v>0</v>
      </c>
      <c r="J48">
        <f>UnitArms!AK48</f>
        <v>1</v>
      </c>
      <c r="K48" s="4">
        <v>0</v>
      </c>
      <c r="L48" s="4">
        <v>0</v>
      </c>
      <c r="M48" s="4">
        <v>0</v>
      </c>
      <c r="N48" s="4">
        <v>0</v>
      </c>
      <c r="O48" s="4">
        <v>0</v>
      </c>
      <c r="P48" s="4">
        <v>0</v>
      </c>
      <c r="Q48" s="4">
        <v>0</v>
      </c>
      <c r="R48" s="4">
        <v>0</v>
      </c>
      <c r="S48" s="4">
        <v>-1</v>
      </c>
      <c r="T48" s="4">
        <v>0</v>
      </c>
      <c r="U48" s="4">
        <v>0</v>
      </c>
      <c r="V48" s="4">
        <v>0</v>
      </c>
      <c r="W48">
        <f>UnitArms!M48</f>
        <v>-1</v>
      </c>
      <c r="X48">
        <f>UnitArms!E48</f>
        <v>3</v>
      </c>
      <c r="Y48" s="1" t="str">
        <f>UnitArms!F48</f>
        <v>00100000</v>
      </c>
      <c r="Z48" s="4">
        <v>0</v>
      </c>
      <c r="AA48" s="4">
        <v>0</v>
      </c>
      <c r="AB48">
        <f>UnitArms!AB48</f>
        <v>180</v>
      </c>
      <c r="AC48">
        <f>UnitArms!AE48</f>
        <v>0</v>
      </c>
      <c r="AD48">
        <f>UnitArms!AF48</f>
        <v>0</v>
      </c>
      <c r="AE48">
        <f>UnitArms!AG48</f>
        <v>0</v>
      </c>
      <c r="AF48">
        <f>UnitArms!AH48</f>
        <v>0</v>
      </c>
      <c r="AG48">
        <f>UnitArms!Y48</f>
        <v>99</v>
      </c>
      <c r="AH48">
        <f>UnitArms!AC48</f>
        <v>0</v>
      </c>
      <c r="AI48" s="4">
        <v>0</v>
      </c>
      <c r="AJ48" s="4">
        <v>0</v>
      </c>
      <c r="AK48" s="4">
        <v>0</v>
      </c>
      <c r="AL48" s="4">
        <v>0</v>
      </c>
      <c r="AM48" s="4">
        <v>0</v>
      </c>
      <c r="AN48" s="4">
        <v>0</v>
      </c>
      <c r="AO48">
        <f>UnitArms!L48</f>
        <v>100</v>
      </c>
      <c r="AP48">
        <f>UnitArms!N48</f>
        <v>2</v>
      </c>
      <c r="AQ48">
        <f>UnitArms!P48</f>
        <v>-1</v>
      </c>
      <c r="AR48">
        <f>UnitArms!O48</f>
        <v>100</v>
      </c>
      <c r="AS48">
        <f>UnitArms!Q48</f>
        <v>-1</v>
      </c>
      <c r="AT48" s="4">
        <v>0</v>
      </c>
      <c r="AU48" s="4">
        <v>0</v>
      </c>
      <c r="AV48">
        <f>UnitArms!AL48</f>
        <v>1</v>
      </c>
      <c r="AW48">
        <f>UnitArms!AZ48</f>
        <v>-1</v>
      </c>
      <c r="AX48">
        <f>UnitArms!BA48</f>
        <v>2</v>
      </c>
      <c r="AY48">
        <f>UnitArms!T48</f>
        <v>0</v>
      </c>
      <c r="AZ48">
        <f>UnitArms!U48</f>
        <v>1700</v>
      </c>
      <c r="BA48">
        <f>UnitArms!H48</f>
        <v>1</v>
      </c>
      <c r="BB48">
        <f>UnitArms!W48</f>
        <v>200</v>
      </c>
      <c r="BC48">
        <f>UnitArms!X48</f>
        <v>300</v>
      </c>
      <c r="BD48">
        <f>UnitArms!G48</f>
        <v>3</v>
      </c>
      <c r="BE48">
        <f>UnitArms!I48</f>
        <v>1</v>
      </c>
      <c r="BF48">
        <f>UnitArms!AP48</f>
        <v>1</v>
      </c>
      <c r="BG48" s="4">
        <v>0</v>
      </c>
    </row>
    <row r="49" spans="1:59" x14ac:dyDescent="0.3">
      <c r="A49" t="str">
        <f>UnitArms!A49</f>
        <v>unar047</v>
      </c>
      <c r="B49" t="str">
        <f>UnitArms!D49</f>
        <v>NotUsed</v>
      </c>
      <c r="C49" s="1" t="str">
        <f>UnitArms!B49</f>
        <v>2042E</v>
      </c>
      <c r="D49">
        <f>UnitArms!C49</f>
        <v>100</v>
      </c>
      <c r="E49" s="4" t="s">
        <v>262</v>
      </c>
      <c r="F49" s="4">
        <v>40</v>
      </c>
      <c r="G49">
        <f>UnitArms!AI49</f>
        <v>0</v>
      </c>
      <c r="H49" s="4">
        <v>0</v>
      </c>
      <c r="I49">
        <f>UnitArms!AJ49</f>
        <v>0</v>
      </c>
      <c r="J49">
        <f>UnitArms!AK49</f>
        <v>1</v>
      </c>
      <c r="K49" s="4">
        <v>0</v>
      </c>
      <c r="L49" s="4">
        <v>0</v>
      </c>
      <c r="M49" s="4">
        <v>0</v>
      </c>
      <c r="N49" s="4">
        <v>0</v>
      </c>
      <c r="O49" s="4">
        <v>0</v>
      </c>
      <c r="P49" s="4">
        <v>0</v>
      </c>
      <c r="Q49" s="4">
        <v>0</v>
      </c>
      <c r="R49" s="4">
        <v>0</v>
      </c>
      <c r="S49" s="4">
        <v>-1</v>
      </c>
      <c r="T49" s="4">
        <v>0</v>
      </c>
      <c r="U49" s="4">
        <v>0</v>
      </c>
      <c r="V49" s="4">
        <v>0</v>
      </c>
      <c r="W49">
        <f>UnitArms!M49</f>
        <v>-1</v>
      </c>
      <c r="X49">
        <f>UnitArms!E49</f>
        <v>3</v>
      </c>
      <c r="Y49" s="1" t="str">
        <f>UnitArms!F49</f>
        <v>00100000</v>
      </c>
      <c r="Z49" s="4">
        <v>0</v>
      </c>
      <c r="AA49" s="4">
        <v>0</v>
      </c>
      <c r="AB49">
        <f>UnitArms!AB49</f>
        <v>180</v>
      </c>
      <c r="AC49">
        <f>UnitArms!AE49</f>
        <v>0</v>
      </c>
      <c r="AD49">
        <f>UnitArms!AF49</f>
        <v>0</v>
      </c>
      <c r="AE49">
        <f>UnitArms!AG49</f>
        <v>0</v>
      </c>
      <c r="AF49">
        <f>UnitArms!AH49</f>
        <v>0</v>
      </c>
      <c r="AG49">
        <f>UnitArms!Y49</f>
        <v>99</v>
      </c>
      <c r="AH49">
        <f>UnitArms!AC49</f>
        <v>0</v>
      </c>
      <c r="AI49" s="4">
        <v>0</v>
      </c>
      <c r="AJ49" s="4">
        <v>0</v>
      </c>
      <c r="AK49" s="4">
        <v>0</v>
      </c>
      <c r="AL49" s="4">
        <v>0</v>
      </c>
      <c r="AM49" s="4">
        <v>0</v>
      </c>
      <c r="AN49" s="4">
        <v>0</v>
      </c>
      <c r="AO49">
        <f>UnitArms!L49</f>
        <v>100</v>
      </c>
      <c r="AP49">
        <f>UnitArms!N49</f>
        <v>2</v>
      </c>
      <c r="AQ49">
        <f>UnitArms!P49</f>
        <v>-1</v>
      </c>
      <c r="AR49">
        <f>UnitArms!O49</f>
        <v>100</v>
      </c>
      <c r="AS49">
        <f>UnitArms!Q49</f>
        <v>-1</v>
      </c>
      <c r="AT49" s="4">
        <v>0</v>
      </c>
      <c r="AU49" s="4">
        <v>0</v>
      </c>
      <c r="AV49">
        <f>UnitArms!AL49</f>
        <v>1</v>
      </c>
      <c r="AW49">
        <f>UnitArms!AZ49</f>
        <v>-1</v>
      </c>
      <c r="AX49">
        <f>UnitArms!BA49</f>
        <v>2</v>
      </c>
      <c r="AY49">
        <f>UnitArms!T49</f>
        <v>0</v>
      </c>
      <c r="AZ49">
        <f>UnitArms!U49</f>
        <v>1700</v>
      </c>
      <c r="BA49">
        <f>UnitArms!H49</f>
        <v>1</v>
      </c>
      <c r="BB49">
        <f>UnitArms!W49</f>
        <v>100</v>
      </c>
      <c r="BC49">
        <f>UnitArms!X49</f>
        <v>200</v>
      </c>
      <c r="BD49">
        <f>UnitArms!G49</f>
        <v>3</v>
      </c>
      <c r="BE49">
        <f>UnitArms!I49</f>
        <v>1</v>
      </c>
      <c r="BF49">
        <f>UnitArms!AP49</f>
        <v>1</v>
      </c>
      <c r="BG49" s="4">
        <v>0</v>
      </c>
    </row>
    <row r="50" spans="1:59" x14ac:dyDescent="0.3">
      <c r="A50" t="str">
        <f>UnitArms!A50</f>
        <v>unar048</v>
      </c>
      <c r="B50" t="str">
        <f>UnitArms!D50</f>
        <v>NotUsed</v>
      </c>
      <c r="C50" s="1" t="str">
        <f>UnitArms!B50</f>
        <v>2042F</v>
      </c>
      <c r="D50">
        <f>UnitArms!C50</f>
        <v>100</v>
      </c>
      <c r="E50" s="4" t="s">
        <v>262</v>
      </c>
      <c r="F50" s="4">
        <v>40</v>
      </c>
      <c r="G50">
        <f>UnitArms!AI50</f>
        <v>0</v>
      </c>
      <c r="H50" s="4">
        <v>0</v>
      </c>
      <c r="I50">
        <f>UnitArms!AJ50</f>
        <v>0</v>
      </c>
      <c r="J50">
        <f>UnitArms!AK50</f>
        <v>1</v>
      </c>
      <c r="K50" s="4">
        <v>0</v>
      </c>
      <c r="L50" s="4">
        <v>0</v>
      </c>
      <c r="M50" s="4">
        <v>0</v>
      </c>
      <c r="N50" s="4">
        <v>0</v>
      </c>
      <c r="O50" s="4">
        <v>0</v>
      </c>
      <c r="P50" s="4">
        <v>0</v>
      </c>
      <c r="Q50" s="4">
        <v>0</v>
      </c>
      <c r="R50" s="4">
        <v>0</v>
      </c>
      <c r="S50" s="4">
        <v>-1</v>
      </c>
      <c r="T50" s="4">
        <v>0</v>
      </c>
      <c r="U50" s="4">
        <v>0</v>
      </c>
      <c r="V50" s="4">
        <v>0</v>
      </c>
      <c r="W50">
        <f>UnitArms!M50</f>
        <v>-1</v>
      </c>
      <c r="X50">
        <f>UnitArms!E50</f>
        <v>3</v>
      </c>
      <c r="Y50" s="1" t="str">
        <f>UnitArms!F50</f>
        <v>00100000</v>
      </c>
      <c r="Z50" s="4">
        <v>0</v>
      </c>
      <c r="AA50" s="4">
        <v>0</v>
      </c>
      <c r="AB50">
        <f>UnitArms!AB50</f>
        <v>180</v>
      </c>
      <c r="AC50">
        <f>UnitArms!AE50</f>
        <v>0</v>
      </c>
      <c r="AD50">
        <f>UnitArms!AF50</f>
        <v>0</v>
      </c>
      <c r="AE50">
        <f>UnitArms!AG50</f>
        <v>0</v>
      </c>
      <c r="AF50">
        <f>UnitArms!AH50</f>
        <v>0</v>
      </c>
      <c r="AG50">
        <f>UnitArms!Y50</f>
        <v>99</v>
      </c>
      <c r="AH50">
        <f>UnitArms!AC50</f>
        <v>0</v>
      </c>
      <c r="AI50" s="4">
        <v>0</v>
      </c>
      <c r="AJ50" s="4">
        <v>0</v>
      </c>
      <c r="AK50" s="4">
        <v>0</v>
      </c>
      <c r="AL50" s="4">
        <v>0</v>
      </c>
      <c r="AM50" s="4">
        <v>0</v>
      </c>
      <c r="AN50" s="4">
        <v>0</v>
      </c>
      <c r="AO50">
        <f>UnitArms!L50</f>
        <v>100</v>
      </c>
      <c r="AP50">
        <f>UnitArms!N50</f>
        <v>2</v>
      </c>
      <c r="AQ50">
        <f>UnitArms!P50</f>
        <v>-1</v>
      </c>
      <c r="AR50">
        <f>UnitArms!O50</f>
        <v>100</v>
      </c>
      <c r="AS50">
        <f>UnitArms!Q50</f>
        <v>-1</v>
      </c>
      <c r="AT50" s="4">
        <v>0</v>
      </c>
      <c r="AU50" s="4">
        <v>0</v>
      </c>
      <c r="AV50">
        <f>UnitArms!AL50</f>
        <v>1</v>
      </c>
      <c r="AW50">
        <f>UnitArms!AZ50</f>
        <v>-1</v>
      </c>
      <c r="AX50">
        <f>UnitArms!BA50</f>
        <v>2</v>
      </c>
      <c r="AY50">
        <f>UnitArms!T50</f>
        <v>0</v>
      </c>
      <c r="AZ50">
        <f>UnitArms!U50</f>
        <v>1700</v>
      </c>
      <c r="BA50">
        <f>UnitArms!H50</f>
        <v>1</v>
      </c>
      <c r="BB50">
        <f>UnitArms!W50</f>
        <v>200</v>
      </c>
      <c r="BC50">
        <f>UnitArms!X50</f>
        <v>300</v>
      </c>
      <c r="BD50">
        <f>UnitArms!G50</f>
        <v>3</v>
      </c>
      <c r="BE50">
        <f>UnitArms!I50</f>
        <v>1</v>
      </c>
      <c r="BF50">
        <f>UnitArms!AP50</f>
        <v>1</v>
      </c>
      <c r="BG50" s="4">
        <v>0</v>
      </c>
    </row>
    <row r="51" spans="1:59" x14ac:dyDescent="0.3">
      <c r="A51" t="str">
        <f>UnitArms!A51</f>
        <v>unar049</v>
      </c>
      <c r="B51" t="str">
        <f>UnitArms!D51</f>
        <v>NotUsed</v>
      </c>
      <c r="C51" s="1" t="str">
        <f>UnitArms!B51</f>
        <v>20430</v>
      </c>
      <c r="D51">
        <f>UnitArms!C51</f>
        <v>100</v>
      </c>
      <c r="E51" s="4" t="s">
        <v>262</v>
      </c>
      <c r="F51" s="4">
        <v>40</v>
      </c>
      <c r="G51">
        <f>UnitArms!AI51</f>
        <v>0</v>
      </c>
      <c r="H51" s="4">
        <v>0</v>
      </c>
      <c r="I51">
        <f>UnitArms!AJ51</f>
        <v>0</v>
      </c>
      <c r="J51">
        <f>UnitArms!AK51</f>
        <v>1</v>
      </c>
      <c r="K51" s="4">
        <v>0</v>
      </c>
      <c r="L51" s="4">
        <v>0</v>
      </c>
      <c r="M51" s="4">
        <v>0</v>
      </c>
      <c r="N51" s="4">
        <v>0</v>
      </c>
      <c r="O51" s="4">
        <v>0</v>
      </c>
      <c r="P51" s="4">
        <v>0</v>
      </c>
      <c r="Q51" s="4">
        <v>0</v>
      </c>
      <c r="R51" s="4">
        <v>0</v>
      </c>
      <c r="S51" s="4">
        <v>-1</v>
      </c>
      <c r="T51" s="4">
        <v>0</v>
      </c>
      <c r="U51" s="4">
        <v>0</v>
      </c>
      <c r="V51" s="4">
        <v>0</v>
      </c>
      <c r="W51">
        <f>UnitArms!M51</f>
        <v>-1</v>
      </c>
      <c r="X51">
        <f>UnitArms!E51</f>
        <v>3</v>
      </c>
      <c r="Y51" s="1" t="str">
        <f>UnitArms!F51</f>
        <v>00100000</v>
      </c>
      <c r="Z51" s="4">
        <v>0</v>
      </c>
      <c r="AA51" s="4">
        <v>0</v>
      </c>
      <c r="AB51">
        <f>UnitArms!AB51</f>
        <v>180</v>
      </c>
      <c r="AC51">
        <f>UnitArms!AE51</f>
        <v>0</v>
      </c>
      <c r="AD51">
        <f>UnitArms!AF51</f>
        <v>0</v>
      </c>
      <c r="AE51">
        <f>UnitArms!AG51</f>
        <v>0</v>
      </c>
      <c r="AF51">
        <f>UnitArms!AH51</f>
        <v>0</v>
      </c>
      <c r="AG51">
        <f>UnitArms!Y51</f>
        <v>99</v>
      </c>
      <c r="AH51">
        <f>UnitArms!AC51</f>
        <v>0</v>
      </c>
      <c r="AI51" s="4">
        <v>0</v>
      </c>
      <c r="AJ51" s="4">
        <v>0</v>
      </c>
      <c r="AK51" s="4">
        <v>0</v>
      </c>
      <c r="AL51" s="4">
        <v>0</v>
      </c>
      <c r="AM51" s="4">
        <v>0</v>
      </c>
      <c r="AN51" s="4">
        <v>0</v>
      </c>
      <c r="AO51">
        <f>UnitArms!L51</f>
        <v>100</v>
      </c>
      <c r="AP51">
        <f>UnitArms!N51</f>
        <v>2</v>
      </c>
      <c r="AQ51">
        <f>UnitArms!P51</f>
        <v>-1</v>
      </c>
      <c r="AR51">
        <f>UnitArms!O51</f>
        <v>100</v>
      </c>
      <c r="AS51">
        <f>UnitArms!Q51</f>
        <v>-1</v>
      </c>
      <c r="AT51" s="4">
        <v>0</v>
      </c>
      <c r="AU51" s="4">
        <v>0</v>
      </c>
      <c r="AV51">
        <f>UnitArms!AL51</f>
        <v>1</v>
      </c>
      <c r="AW51">
        <f>UnitArms!AZ51</f>
        <v>-1</v>
      </c>
      <c r="AX51">
        <f>UnitArms!BA51</f>
        <v>2</v>
      </c>
      <c r="AY51">
        <f>UnitArms!T51</f>
        <v>0</v>
      </c>
      <c r="AZ51">
        <f>UnitArms!U51</f>
        <v>1700</v>
      </c>
      <c r="BA51">
        <f>UnitArms!H51</f>
        <v>1</v>
      </c>
      <c r="BB51">
        <f>UnitArms!W51</f>
        <v>100</v>
      </c>
      <c r="BC51">
        <f>UnitArms!X51</f>
        <v>200</v>
      </c>
      <c r="BD51">
        <f>UnitArms!G51</f>
        <v>3</v>
      </c>
      <c r="BE51">
        <f>UnitArms!I51</f>
        <v>1</v>
      </c>
      <c r="BF51">
        <f>UnitArms!AP51</f>
        <v>1</v>
      </c>
      <c r="BG51" s="4">
        <v>0</v>
      </c>
    </row>
    <row r="52" spans="1:59" x14ac:dyDescent="0.3">
      <c r="A52" t="str">
        <f>UnitArms!A52</f>
        <v>unar050</v>
      </c>
      <c r="B52" t="str">
        <f>UnitArms!D52</f>
        <v>NotUsed</v>
      </c>
      <c r="C52" s="1" t="str">
        <f>UnitArms!B52</f>
        <v>20431</v>
      </c>
      <c r="D52">
        <f>UnitArms!C52</f>
        <v>100</v>
      </c>
      <c r="E52" s="4" t="s">
        <v>262</v>
      </c>
      <c r="F52" s="4">
        <v>40</v>
      </c>
      <c r="G52">
        <f>UnitArms!AI52</f>
        <v>0</v>
      </c>
      <c r="H52" s="4">
        <v>0</v>
      </c>
      <c r="I52">
        <f>UnitArms!AJ52</f>
        <v>0</v>
      </c>
      <c r="J52">
        <f>UnitArms!AK52</f>
        <v>1</v>
      </c>
      <c r="K52" s="4">
        <v>0</v>
      </c>
      <c r="L52" s="4">
        <v>0</v>
      </c>
      <c r="M52" s="4">
        <v>0</v>
      </c>
      <c r="N52" s="4">
        <v>0</v>
      </c>
      <c r="O52" s="4">
        <v>0</v>
      </c>
      <c r="P52" s="4">
        <v>0</v>
      </c>
      <c r="Q52" s="4">
        <v>0</v>
      </c>
      <c r="R52" s="4">
        <v>0</v>
      </c>
      <c r="S52" s="4">
        <v>-1</v>
      </c>
      <c r="T52" s="4">
        <v>0</v>
      </c>
      <c r="U52" s="4">
        <v>0</v>
      </c>
      <c r="V52" s="4">
        <v>0</v>
      </c>
      <c r="W52">
        <f>UnitArms!M52</f>
        <v>-1</v>
      </c>
      <c r="X52">
        <f>UnitArms!E52</f>
        <v>3</v>
      </c>
      <c r="Y52" s="1" t="str">
        <f>UnitArms!F52</f>
        <v>00100000</v>
      </c>
      <c r="Z52" s="4">
        <v>0</v>
      </c>
      <c r="AA52" s="4">
        <v>0</v>
      </c>
      <c r="AB52">
        <f>UnitArms!AB52</f>
        <v>180</v>
      </c>
      <c r="AC52">
        <f>UnitArms!AE52</f>
        <v>0</v>
      </c>
      <c r="AD52">
        <f>UnitArms!AF52</f>
        <v>0</v>
      </c>
      <c r="AE52">
        <f>UnitArms!AG52</f>
        <v>0</v>
      </c>
      <c r="AF52">
        <f>UnitArms!AH52</f>
        <v>0</v>
      </c>
      <c r="AG52">
        <f>UnitArms!Y52</f>
        <v>99</v>
      </c>
      <c r="AH52">
        <f>UnitArms!AC52</f>
        <v>0</v>
      </c>
      <c r="AI52" s="4">
        <v>0</v>
      </c>
      <c r="AJ52" s="4">
        <v>0</v>
      </c>
      <c r="AK52" s="4">
        <v>0</v>
      </c>
      <c r="AL52" s="4">
        <v>0</v>
      </c>
      <c r="AM52" s="4">
        <v>0</v>
      </c>
      <c r="AN52" s="4">
        <v>0</v>
      </c>
      <c r="AO52">
        <f>UnitArms!L52</f>
        <v>100</v>
      </c>
      <c r="AP52">
        <f>UnitArms!N52</f>
        <v>2</v>
      </c>
      <c r="AQ52">
        <f>UnitArms!P52</f>
        <v>-1</v>
      </c>
      <c r="AR52">
        <f>UnitArms!O52</f>
        <v>100</v>
      </c>
      <c r="AS52">
        <f>UnitArms!Q52</f>
        <v>-1</v>
      </c>
      <c r="AT52" s="4">
        <v>0</v>
      </c>
      <c r="AU52" s="4">
        <v>0</v>
      </c>
      <c r="AV52">
        <f>UnitArms!AL52</f>
        <v>1</v>
      </c>
      <c r="AW52">
        <f>UnitArms!AZ52</f>
        <v>-1</v>
      </c>
      <c r="AX52">
        <f>UnitArms!BA52</f>
        <v>2</v>
      </c>
      <c r="AY52">
        <f>UnitArms!T52</f>
        <v>0</v>
      </c>
      <c r="AZ52">
        <f>UnitArms!U52</f>
        <v>1700</v>
      </c>
      <c r="BA52">
        <f>UnitArms!H52</f>
        <v>1</v>
      </c>
      <c r="BB52">
        <f>UnitArms!W52</f>
        <v>200</v>
      </c>
      <c r="BC52">
        <f>UnitArms!X52</f>
        <v>300</v>
      </c>
      <c r="BD52">
        <f>UnitArms!G52</f>
        <v>3</v>
      </c>
      <c r="BE52">
        <f>UnitArms!I52</f>
        <v>1</v>
      </c>
      <c r="BF52">
        <f>UnitArms!AP52</f>
        <v>1</v>
      </c>
      <c r="BG52" s="4">
        <v>0</v>
      </c>
    </row>
    <row r="53" spans="1:59" x14ac:dyDescent="0.3">
      <c r="A53" t="str">
        <f>UnitArms!A53</f>
        <v>unar051</v>
      </c>
      <c r="B53" t="str">
        <f>UnitArms!D53</f>
        <v>NotUsed</v>
      </c>
      <c r="C53" s="1" t="str">
        <f>UnitArms!B53</f>
        <v>20432</v>
      </c>
      <c r="D53">
        <f>UnitArms!C53</f>
        <v>100</v>
      </c>
      <c r="E53" s="4" t="s">
        <v>262</v>
      </c>
      <c r="F53" s="4">
        <v>40</v>
      </c>
      <c r="G53">
        <f>UnitArms!AI53</f>
        <v>0</v>
      </c>
      <c r="H53" s="4">
        <v>0</v>
      </c>
      <c r="I53">
        <f>UnitArms!AJ53</f>
        <v>0</v>
      </c>
      <c r="J53">
        <f>UnitArms!AK53</f>
        <v>1</v>
      </c>
      <c r="K53" s="4">
        <v>0</v>
      </c>
      <c r="L53" s="4">
        <v>0</v>
      </c>
      <c r="M53" s="4">
        <v>0</v>
      </c>
      <c r="N53" s="4">
        <v>0</v>
      </c>
      <c r="O53" s="4">
        <v>0</v>
      </c>
      <c r="P53" s="4">
        <v>0</v>
      </c>
      <c r="Q53" s="4">
        <v>0</v>
      </c>
      <c r="R53" s="4">
        <v>0</v>
      </c>
      <c r="S53" s="4">
        <v>-1</v>
      </c>
      <c r="T53" s="4">
        <v>0</v>
      </c>
      <c r="U53" s="4">
        <v>0</v>
      </c>
      <c r="V53" s="4">
        <v>0</v>
      </c>
      <c r="W53">
        <f>UnitArms!M53</f>
        <v>-1</v>
      </c>
      <c r="X53">
        <f>UnitArms!E53</f>
        <v>3</v>
      </c>
      <c r="Y53" s="1" t="str">
        <f>UnitArms!F53</f>
        <v>00100000</v>
      </c>
      <c r="Z53" s="4">
        <v>0</v>
      </c>
      <c r="AA53" s="4">
        <v>0</v>
      </c>
      <c r="AB53">
        <f>UnitArms!AB53</f>
        <v>180</v>
      </c>
      <c r="AC53">
        <f>UnitArms!AE53</f>
        <v>0</v>
      </c>
      <c r="AD53">
        <f>UnitArms!AF53</f>
        <v>0</v>
      </c>
      <c r="AE53">
        <f>UnitArms!AG53</f>
        <v>0</v>
      </c>
      <c r="AF53">
        <f>UnitArms!AH53</f>
        <v>0</v>
      </c>
      <c r="AG53">
        <f>UnitArms!Y53</f>
        <v>49</v>
      </c>
      <c r="AH53">
        <f>UnitArms!AC53</f>
        <v>0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">
        <v>0</v>
      </c>
      <c r="AO53">
        <f>UnitArms!L53</f>
        <v>100</v>
      </c>
      <c r="AP53">
        <f>UnitArms!N53</f>
        <v>2</v>
      </c>
      <c r="AQ53">
        <f>UnitArms!P53</f>
        <v>-1</v>
      </c>
      <c r="AR53">
        <f>UnitArms!O53</f>
        <v>100</v>
      </c>
      <c r="AS53">
        <f>UnitArms!Q53</f>
        <v>-1</v>
      </c>
      <c r="AT53" s="4">
        <v>0</v>
      </c>
      <c r="AU53" s="4">
        <v>0</v>
      </c>
      <c r="AV53">
        <f>UnitArms!AL53</f>
        <v>1</v>
      </c>
      <c r="AW53">
        <f>UnitArms!AZ53</f>
        <v>-1</v>
      </c>
      <c r="AX53">
        <f>UnitArms!BA53</f>
        <v>2</v>
      </c>
      <c r="AY53">
        <f>UnitArms!T53</f>
        <v>0</v>
      </c>
      <c r="AZ53">
        <f>UnitArms!U53</f>
        <v>1700</v>
      </c>
      <c r="BA53">
        <f>UnitArms!H53</f>
        <v>1</v>
      </c>
      <c r="BB53">
        <f>UnitArms!W53</f>
        <v>916</v>
      </c>
      <c r="BC53">
        <f>UnitArms!X53</f>
        <v>996</v>
      </c>
      <c r="BD53">
        <f>UnitArms!G53</f>
        <v>3</v>
      </c>
      <c r="BE53">
        <f>UnitArms!I53</f>
        <v>1</v>
      </c>
      <c r="BF53">
        <f>UnitArms!AP53</f>
        <v>1</v>
      </c>
      <c r="BG53" s="4">
        <v>0</v>
      </c>
    </row>
    <row r="54" spans="1:59" x14ac:dyDescent="0.3">
      <c r="A54" t="str">
        <f>UnitArms!A54</f>
        <v>unar052</v>
      </c>
      <c r="B54" t="str">
        <f>UnitArms!D54</f>
        <v>NotUsed</v>
      </c>
      <c r="C54" s="1" t="str">
        <f>UnitArms!B54</f>
        <v>20433</v>
      </c>
      <c r="D54">
        <f>UnitArms!C54</f>
        <v>100</v>
      </c>
      <c r="E54" s="4" t="s">
        <v>262</v>
      </c>
      <c r="F54" s="4">
        <v>40</v>
      </c>
      <c r="G54">
        <f>UnitArms!AI54</f>
        <v>0</v>
      </c>
      <c r="H54" s="4">
        <v>0</v>
      </c>
      <c r="I54">
        <f>UnitArms!AJ54</f>
        <v>0</v>
      </c>
      <c r="J54">
        <f>UnitArms!AK54</f>
        <v>1</v>
      </c>
      <c r="K54" s="4">
        <v>0</v>
      </c>
      <c r="L54" s="4">
        <v>0</v>
      </c>
      <c r="M54" s="4">
        <v>0</v>
      </c>
      <c r="N54" s="4">
        <v>0</v>
      </c>
      <c r="O54" s="4">
        <v>0</v>
      </c>
      <c r="P54" s="4">
        <v>0</v>
      </c>
      <c r="Q54" s="4">
        <v>0</v>
      </c>
      <c r="R54" s="4">
        <v>0</v>
      </c>
      <c r="S54" s="4">
        <v>-1</v>
      </c>
      <c r="T54" s="4">
        <v>0</v>
      </c>
      <c r="U54" s="4">
        <v>0</v>
      </c>
      <c r="V54" s="4">
        <v>0</v>
      </c>
      <c r="W54">
        <f>UnitArms!M54</f>
        <v>-1</v>
      </c>
      <c r="X54">
        <f>UnitArms!E54</f>
        <v>3</v>
      </c>
      <c r="Y54" s="1" t="str">
        <f>UnitArms!F54</f>
        <v>00100000</v>
      </c>
      <c r="Z54" s="4">
        <v>0</v>
      </c>
      <c r="AA54" s="4">
        <v>0</v>
      </c>
      <c r="AB54">
        <f>UnitArms!AB54</f>
        <v>180</v>
      </c>
      <c r="AC54">
        <f>UnitArms!AE54</f>
        <v>0</v>
      </c>
      <c r="AD54">
        <f>UnitArms!AF54</f>
        <v>0</v>
      </c>
      <c r="AE54">
        <f>UnitArms!AG54</f>
        <v>0</v>
      </c>
      <c r="AF54">
        <f>UnitArms!AH54</f>
        <v>0</v>
      </c>
      <c r="AG54">
        <f>UnitArms!Y54</f>
        <v>99</v>
      </c>
      <c r="AH54">
        <f>UnitArms!AC54</f>
        <v>0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">
        <v>0</v>
      </c>
      <c r="AO54">
        <f>UnitArms!L54</f>
        <v>100</v>
      </c>
      <c r="AP54">
        <f>UnitArms!N54</f>
        <v>2</v>
      </c>
      <c r="AQ54">
        <f>UnitArms!P54</f>
        <v>-1</v>
      </c>
      <c r="AR54">
        <f>UnitArms!O54</f>
        <v>100</v>
      </c>
      <c r="AS54">
        <f>UnitArms!Q54</f>
        <v>-1</v>
      </c>
      <c r="AT54" s="4">
        <v>0</v>
      </c>
      <c r="AU54" s="4">
        <v>0</v>
      </c>
      <c r="AV54">
        <f>UnitArms!AL54</f>
        <v>1</v>
      </c>
      <c r="AW54">
        <f>UnitArms!AZ54</f>
        <v>-1</v>
      </c>
      <c r="AX54">
        <f>UnitArms!BA54</f>
        <v>2</v>
      </c>
      <c r="AY54">
        <f>UnitArms!T54</f>
        <v>0</v>
      </c>
      <c r="AZ54">
        <f>UnitArms!U54</f>
        <v>1700</v>
      </c>
      <c r="BA54">
        <f>UnitArms!H54</f>
        <v>1</v>
      </c>
      <c r="BB54">
        <f>UnitArms!W54</f>
        <v>200</v>
      </c>
      <c r="BC54">
        <f>UnitArms!X54</f>
        <v>300</v>
      </c>
      <c r="BD54">
        <f>UnitArms!G54</f>
        <v>3</v>
      </c>
      <c r="BE54">
        <f>UnitArms!I54</f>
        <v>1</v>
      </c>
      <c r="BF54">
        <f>UnitArms!AP54</f>
        <v>1</v>
      </c>
      <c r="BG54" s="4">
        <v>0</v>
      </c>
    </row>
    <row r="55" spans="1:59" x14ac:dyDescent="0.3">
      <c r="A55" t="str">
        <f>UnitArms!A55</f>
        <v>unar053</v>
      </c>
      <c r="B55" t="str">
        <f>UnitArms!D55</f>
        <v>NotUsed</v>
      </c>
      <c r="C55" s="1" t="str">
        <f>UnitArms!B55</f>
        <v>20434</v>
      </c>
      <c r="D55">
        <f>UnitArms!C55</f>
        <v>100</v>
      </c>
      <c r="E55" s="4" t="s">
        <v>262</v>
      </c>
      <c r="F55" s="4">
        <v>40</v>
      </c>
      <c r="G55">
        <f>UnitArms!AI55</f>
        <v>0</v>
      </c>
      <c r="H55" s="4">
        <v>0</v>
      </c>
      <c r="I55">
        <f>UnitArms!AJ55</f>
        <v>0</v>
      </c>
      <c r="J55">
        <f>UnitArms!AK55</f>
        <v>1</v>
      </c>
      <c r="K55" s="4">
        <v>0</v>
      </c>
      <c r="L55" s="4">
        <v>0</v>
      </c>
      <c r="M55" s="4">
        <v>0</v>
      </c>
      <c r="N55" s="4">
        <v>0</v>
      </c>
      <c r="O55" s="4">
        <v>0</v>
      </c>
      <c r="P55" s="4">
        <v>0</v>
      </c>
      <c r="Q55" s="4">
        <v>0</v>
      </c>
      <c r="R55" s="4">
        <v>0</v>
      </c>
      <c r="S55" s="4">
        <v>-1</v>
      </c>
      <c r="T55" s="4">
        <v>0</v>
      </c>
      <c r="U55" s="4">
        <v>0</v>
      </c>
      <c r="V55" s="4">
        <v>0</v>
      </c>
      <c r="W55">
        <f>UnitArms!M55</f>
        <v>-1</v>
      </c>
      <c r="X55">
        <f>UnitArms!E55</f>
        <v>3</v>
      </c>
      <c r="Y55" s="1" t="str">
        <f>UnitArms!F55</f>
        <v>00100000</v>
      </c>
      <c r="Z55" s="4">
        <v>0</v>
      </c>
      <c r="AA55" s="4">
        <v>0</v>
      </c>
      <c r="AB55">
        <f>UnitArms!AB55</f>
        <v>180</v>
      </c>
      <c r="AC55">
        <f>UnitArms!AE55</f>
        <v>0</v>
      </c>
      <c r="AD55">
        <f>UnitArms!AF55</f>
        <v>0</v>
      </c>
      <c r="AE55">
        <f>UnitArms!AG55</f>
        <v>0</v>
      </c>
      <c r="AF55">
        <f>UnitArms!AH55</f>
        <v>0</v>
      </c>
      <c r="AG55">
        <f>UnitArms!Y55</f>
        <v>99</v>
      </c>
      <c r="AH55">
        <f>UnitArms!AC55</f>
        <v>0</v>
      </c>
      <c r="AI55" s="4">
        <v>0</v>
      </c>
      <c r="AJ55" s="4">
        <v>0</v>
      </c>
      <c r="AK55" s="4">
        <v>0</v>
      </c>
      <c r="AL55" s="4">
        <v>0</v>
      </c>
      <c r="AM55" s="4">
        <v>0</v>
      </c>
      <c r="AN55" s="4">
        <v>0</v>
      </c>
      <c r="AO55">
        <f>UnitArms!L55</f>
        <v>100</v>
      </c>
      <c r="AP55">
        <f>UnitArms!N55</f>
        <v>2</v>
      </c>
      <c r="AQ55">
        <f>UnitArms!P55</f>
        <v>-1</v>
      </c>
      <c r="AR55">
        <f>UnitArms!O55</f>
        <v>100</v>
      </c>
      <c r="AS55">
        <f>UnitArms!Q55</f>
        <v>-1</v>
      </c>
      <c r="AT55" s="4">
        <v>0</v>
      </c>
      <c r="AU55" s="4">
        <v>0</v>
      </c>
      <c r="AV55">
        <f>UnitArms!AL55</f>
        <v>1</v>
      </c>
      <c r="AW55">
        <f>UnitArms!AZ55</f>
        <v>-1</v>
      </c>
      <c r="AX55">
        <f>UnitArms!BA55</f>
        <v>2</v>
      </c>
      <c r="AY55">
        <f>UnitArms!T55</f>
        <v>0</v>
      </c>
      <c r="AZ55">
        <f>UnitArms!U55</f>
        <v>1700</v>
      </c>
      <c r="BA55">
        <f>UnitArms!H55</f>
        <v>1</v>
      </c>
      <c r="BB55">
        <f>UnitArms!W55</f>
        <v>100</v>
      </c>
      <c r="BC55">
        <f>UnitArms!X55</f>
        <v>200</v>
      </c>
      <c r="BD55">
        <f>UnitArms!G55</f>
        <v>3</v>
      </c>
      <c r="BE55">
        <f>UnitArms!I55</f>
        <v>1</v>
      </c>
      <c r="BF55">
        <f>UnitArms!AP55</f>
        <v>1</v>
      </c>
      <c r="BG55" s="4">
        <v>0</v>
      </c>
    </row>
    <row r="56" spans="1:59" x14ac:dyDescent="0.3">
      <c r="A56" t="str">
        <f>UnitArms!A56</f>
        <v>unar054</v>
      </c>
      <c r="B56" t="str">
        <f>UnitArms!D56</f>
        <v>NotUsed</v>
      </c>
      <c r="C56" s="1" t="str">
        <f>UnitArms!B56</f>
        <v>20435</v>
      </c>
      <c r="D56">
        <f>UnitArms!C56</f>
        <v>100</v>
      </c>
      <c r="E56" s="4" t="s">
        <v>262</v>
      </c>
      <c r="F56" s="4">
        <v>40</v>
      </c>
      <c r="G56">
        <f>UnitArms!AI56</f>
        <v>0</v>
      </c>
      <c r="H56" s="4">
        <v>0</v>
      </c>
      <c r="I56">
        <f>UnitArms!AJ56</f>
        <v>0</v>
      </c>
      <c r="J56">
        <f>UnitArms!AK56</f>
        <v>1</v>
      </c>
      <c r="K56" s="4">
        <v>0</v>
      </c>
      <c r="L56" s="4">
        <v>0</v>
      </c>
      <c r="M56" s="4">
        <v>0</v>
      </c>
      <c r="N56" s="4">
        <v>0</v>
      </c>
      <c r="O56" s="4">
        <v>0</v>
      </c>
      <c r="P56" s="4">
        <v>0</v>
      </c>
      <c r="Q56" s="4">
        <v>0</v>
      </c>
      <c r="R56" s="4">
        <v>0</v>
      </c>
      <c r="S56" s="4">
        <v>-1</v>
      </c>
      <c r="T56" s="4">
        <v>0</v>
      </c>
      <c r="U56" s="4">
        <v>0</v>
      </c>
      <c r="V56" s="4">
        <v>0</v>
      </c>
      <c r="W56">
        <f>UnitArms!M56</f>
        <v>-1</v>
      </c>
      <c r="X56">
        <f>UnitArms!E56</f>
        <v>3</v>
      </c>
      <c r="Y56" s="1" t="str">
        <f>UnitArms!F56</f>
        <v>00100000</v>
      </c>
      <c r="Z56" s="4">
        <v>0</v>
      </c>
      <c r="AA56" s="4">
        <v>0</v>
      </c>
      <c r="AB56">
        <f>UnitArms!AB56</f>
        <v>180</v>
      </c>
      <c r="AC56">
        <f>UnitArms!AE56</f>
        <v>0</v>
      </c>
      <c r="AD56">
        <f>UnitArms!AF56</f>
        <v>0</v>
      </c>
      <c r="AE56">
        <f>UnitArms!AG56</f>
        <v>0</v>
      </c>
      <c r="AF56">
        <f>UnitArms!AH56</f>
        <v>0</v>
      </c>
      <c r="AG56">
        <f>UnitArms!Y56</f>
        <v>99</v>
      </c>
      <c r="AH56">
        <f>UnitArms!AC56</f>
        <v>0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">
        <v>0</v>
      </c>
      <c r="AO56">
        <f>UnitArms!L56</f>
        <v>100</v>
      </c>
      <c r="AP56">
        <f>UnitArms!N56</f>
        <v>2</v>
      </c>
      <c r="AQ56">
        <f>UnitArms!P56</f>
        <v>-1</v>
      </c>
      <c r="AR56">
        <f>UnitArms!O56</f>
        <v>100</v>
      </c>
      <c r="AS56">
        <f>UnitArms!Q56</f>
        <v>-1</v>
      </c>
      <c r="AT56" s="4">
        <v>0</v>
      </c>
      <c r="AU56" s="4">
        <v>0</v>
      </c>
      <c r="AV56">
        <f>UnitArms!AL56</f>
        <v>1</v>
      </c>
      <c r="AW56">
        <f>UnitArms!AZ56</f>
        <v>-1</v>
      </c>
      <c r="AX56">
        <f>UnitArms!BA56</f>
        <v>2</v>
      </c>
      <c r="AY56">
        <f>UnitArms!T56</f>
        <v>0</v>
      </c>
      <c r="AZ56">
        <f>UnitArms!U56</f>
        <v>1700</v>
      </c>
      <c r="BA56">
        <f>UnitArms!H56</f>
        <v>1</v>
      </c>
      <c r="BB56">
        <f>UnitArms!W56</f>
        <v>200</v>
      </c>
      <c r="BC56">
        <f>UnitArms!X56</f>
        <v>300</v>
      </c>
      <c r="BD56">
        <f>UnitArms!G56</f>
        <v>3</v>
      </c>
      <c r="BE56">
        <f>UnitArms!I56</f>
        <v>1</v>
      </c>
      <c r="BF56">
        <f>UnitArms!AP56</f>
        <v>1</v>
      </c>
      <c r="BG56" s="4">
        <v>0</v>
      </c>
    </row>
    <row r="57" spans="1:59" x14ac:dyDescent="0.3">
      <c r="A57" t="str">
        <f>UnitArms!A57</f>
        <v>unar055</v>
      </c>
      <c r="B57" t="str">
        <f>UnitArms!D57</f>
        <v>NotUsed</v>
      </c>
      <c r="C57" s="1" t="str">
        <f>UnitArms!B57</f>
        <v>20436</v>
      </c>
      <c r="D57">
        <f>UnitArms!C57</f>
        <v>100</v>
      </c>
      <c r="E57" s="4" t="s">
        <v>262</v>
      </c>
      <c r="F57" s="4">
        <v>40</v>
      </c>
      <c r="G57">
        <f>UnitArms!AI57</f>
        <v>0</v>
      </c>
      <c r="H57" s="4">
        <v>0</v>
      </c>
      <c r="I57">
        <f>UnitArms!AJ57</f>
        <v>0</v>
      </c>
      <c r="J57">
        <f>UnitArms!AK57</f>
        <v>1</v>
      </c>
      <c r="K57" s="4">
        <v>0</v>
      </c>
      <c r="L57" s="4">
        <v>0</v>
      </c>
      <c r="M57" s="4">
        <v>0</v>
      </c>
      <c r="N57" s="4">
        <v>0</v>
      </c>
      <c r="O57" s="4">
        <v>0</v>
      </c>
      <c r="P57" s="4">
        <v>0</v>
      </c>
      <c r="Q57" s="4">
        <v>0</v>
      </c>
      <c r="R57" s="4">
        <v>0</v>
      </c>
      <c r="S57" s="4">
        <v>-1</v>
      </c>
      <c r="T57" s="4">
        <v>0</v>
      </c>
      <c r="U57" s="4">
        <v>0</v>
      </c>
      <c r="V57" s="4">
        <v>0</v>
      </c>
      <c r="W57">
        <f>UnitArms!M57</f>
        <v>-1</v>
      </c>
      <c r="X57">
        <f>UnitArms!E57</f>
        <v>3</v>
      </c>
      <c r="Y57" s="1" t="str">
        <f>UnitArms!F57</f>
        <v>00100000</v>
      </c>
      <c r="Z57" s="4">
        <v>0</v>
      </c>
      <c r="AA57" s="4">
        <v>0</v>
      </c>
      <c r="AB57">
        <f>UnitArms!AB57</f>
        <v>180</v>
      </c>
      <c r="AC57">
        <f>UnitArms!AE57</f>
        <v>0</v>
      </c>
      <c r="AD57">
        <f>UnitArms!AF57</f>
        <v>0</v>
      </c>
      <c r="AE57">
        <f>UnitArms!AG57</f>
        <v>0</v>
      </c>
      <c r="AF57">
        <f>UnitArms!AH57</f>
        <v>0</v>
      </c>
      <c r="AG57">
        <f>UnitArms!Y57</f>
        <v>99</v>
      </c>
      <c r="AH57">
        <f>UnitArms!AC57</f>
        <v>0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">
        <v>0</v>
      </c>
      <c r="AO57">
        <f>UnitArms!L57</f>
        <v>100</v>
      </c>
      <c r="AP57">
        <f>UnitArms!N57</f>
        <v>2</v>
      </c>
      <c r="AQ57">
        <f>UnitArms!P57</f>
        <v>-1</v>
      </c>
      <c r="AR57">
        <f>UnitArms!O57</f>
        <v>100</v>
      </c>
      <c r="AS57">
        <f>UnitArms!Q57</f>
        <v>-1</v>
      </c>
      <c r="AT57" s="4">
        <v>0</v>
      </c>
      <c r="AU57" s="4">
        <v>0</v>
      </c>
      <c r="AV57">
        <f>UnitArms!AL57</f>
        <v>1</v>
      </c>
      <c r="AW57">
        <f>UnitArms!AZ57</f>
        <v>-1</v>
      </c>
      <c r="AX57">
        <f>UnitArms!BA57</f>
        <v>2</v>
      </c>
      <c r="AY57">
        <f>UnitArms!T57</f>
        <v>0</v>
      </c>
      <c r="AZ57">
        <f>UnitArms!U57</f>
        <v>1700</v>
      </c>
      <c r="BA57">
        <f>UnitArms!H57</f>
        <v>1</v>
      </c>
      <c r="BB57">
        <f>UnitArms!W57</f>
        <v>100</v>
      </c>
      <c r="BC57">
        <f>UnitArms!X57</f>
        <v>200</v>
      </c>
      <c r="BD57">
        <f>UnitArms!G57</f>
        <v>3</v>
      </c>
      <c r="BE57">
        <f>UnitArms!I57</f>
        <v>1</v>
      </c>
      <c r="BF57">
        <f>UnitArms!AP57</f>
        <v>1</v>
      </c>
      <c r="BG57" s="4">
        <v>0</v>
      </c>
    </row>
    <row r="58" spans="1:59" x14ac:dyDescent="0.3">
      <c r="A58" t="str">
        <f>UnitArms!A58</f>
        <v>unar056</v>
      </c>
      <c r="B58" t="str">
        <f>UnitArms!D58</f>
        <v>NotUsed</v>
      </c>
      <c r="C58" s="1" t="str">
        <f>UnitArms!B58</f>
        <v>20437</v>
      </c>
      <c r="D58">
        <f>UnitArms!C58</f>
        <v>100</v>
      </c>
      <c r="E58" s="4" t="s">
        <v>262</v>
      </c>
      <c r="F58" s="4">
        <v>40</v>
      </c>
      <c r="G58">
        <f>UnitArms!AI58</f>
        <v>0</v>
      </c>
      <c r="H58" s="4">
        <v>0</v>
      </c>
      <c r="I58">
        <f>UnitArms!AJ58</f>
        <v>0</v>
      </c>
      <c r="J58">
        <f>UnitArms!AK58</f>
        <v>1</v>
      </c>
      <c r="K58" s="4">
        <v>0</v>
      </c>
      <c r="L58" s="4">
        <v>0</v>
      </c>
      <c r="M58" s="4">
        <v>0</v>
      </c>
      <c r="N58" s="4">
        <v>0</v>
      </c>
      <c r="O58" s="4">
        <v>0</v>
      </c>
      <c r="P58" s="4">
        <v>0</v>
      </c>
      <c r="Q58" s="4">
        <v>0</v>
      </c>
      <c r="R58" s="4">
        <v>0</v>
      </c>
      <c r="S58" s="4">
        <v>-1</v>
      </c>
      <c r="T58" s="4">
        <v>0</v>
      </c>
      <c r="U58" s="4">
        <v>0</v>
      </c>
      <c r="V58" s="4">
        <v>0</v>
      </c>
      <c r="W58">
        <f>UnitArms!M58</f>
        <v>-1</v>
      </c>
      <c r="X58">
        <f>UnitArms!E58</f>
        <v>3</v>
      </c>
      <c r="Y58" s="1" t="str">
        <f>UnitArms!F58</f>
        <v>00100000</v>
      </c>
      <c r="Z58" s="4">
        <v>0</v>
      </c>
      <c r="AA58" s="4">
        <v>0</v>
      </c>
      <c r="AB58">
        <f>UnitArms!AB58</f>
        <v>180</v>
      </c>
      <c r="AC58">
        <f>UnitArms!AE58</f>
        <v>0</v>
      </c>
      <c r="AD58">
        <f>UnitArms!AF58</f>
        <v>0</v>
      </c>
      <c r="AE58">
        <f>UnitArms!AG58</f>
        <v>0</v>
      </c>
      <c r="AF58">
        <f>UnitArms!AH58</f>
        <v>0</v>
      </c>
      <c r="AG58">
        <f>UnitArms!Y58</f>
        <v>99</v>
      </c>
      <c r="AH58">
        <f>UnitArms!AC58</f>
        <v>0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">
        <v>0</v>
      </c>
      <c r="AO58">
        <f>UnitArms!L58</f>
        <v>100</v>
      </c>
      <c r="AP58">
        <f>UnitArms!N58</f>
        <v>2</v>
      </c>
      <c r="AQ58">
        <f>UnitArms!P58</f>
        <v>-1</v>
      </c>
      <c r="AR58">
        <f>UnitArms!O58</f>
        <v>100</v>
      </c>
      <c r="AS58">
        <f>UnitArms!Q58</f>
        <v>-1</v>
      </c>
      <c r="AT58" s="4">
        <v>0</v>
      </c>
      <c r="AU58" s="4">
        <v>0</v>
      </c>
      <c r="AV58">
        <f>UnitArms!AL58</f>
        <v>1</v>
      </c>
      <c r="AW58">
        <f>UnitArms!AZ58</f>
        <v>-1</v>
      </c>
      <c r="AX58">
        <f>UnitArms!BA58</f>
        <v>2</v>
      </c>
      <c r="AY58">
        <f>UnitArms!T58</f>
        <v>0</v>
      </c>
      <c r="AZ58">
        <f>UnitArms!U58</f>
        <v>1700</v>
      </c>
      <c r="BA58">
        <f>UnitArms!H58</f>
        <v>1</v>
      </c>
      <c r="BB58">
        <f>UnitArms!W58</f>
        <v>200</v>
      </c>
      <c r="BC58">
        <f>UnitArms!X58</f>
        <v>300</v>
      </c>
      <c r="BD58">
        <f>UnitArms!G58</f>
        <v>3</v>
      </c>
      <c r="BE58">
        <f>UnitArms!I58</f>
        <v>1</v>
      </c>
      <c r="BF58">
        <f>UnitArms!AP58</f>
        <v>1</v>
      </c>
      <c r="BG58" s="4">
        <v>0</v>
      </c>
    </row>
    <row r="59" spans="1:59" x14ac:dyDescent="0.3">
      <c r="A59" t="str">
        <f>UnitArms!A59</f>
        <v>unar057</v>
      </c>
      <c r="B59" t="str">
        <f>UnitArms!D59</f>
        <v>NotUsed</v>
      </c>
      <c r="C59" s="1" t="str">
        <f>UnitArms!B59</f>
        <v>20438</v>
      </c>
      <c r="D59">
        <f>UnitArms!C59</f>
        <v>100</v>
      </c>
      <c r="E59" s="4" t="s">
        <v>262</v>
      </c>
      <c r="F59" s="4">
        <v>40</v>
      </c>
      <c r="G59">
        <f>UnitArms!AI59</f>
        <v>0</v>
      </c>
      <c r="H59" s="4">
        <v>0</v>
      </c>
      <c r="I59">
        <f>UnitArms!AJ59</f>
        <v>0</v>
      </c>
      <c r="J59">
        <f>UnitArms!AK59</f>
        <v>1</v>
      </c>
      <c r="K59" s="4">
        <v>0</v>
      </c>
      <c r="L59" s="4">
        <v>0</v>
      </c>
      <c r="M59" s="4">
        <v>0</v>
      </c>
      <c r="N59" s="4">
        <v>0</v>
      </c>
      <c r="O59" s="4">
        <v>0</v>
      </c>
      <c r="P59" s="4">
        <v>0</v>
      </c>
      <c r="Q59" s="4">
        <v>0</v>
      </c>
      <c r="R59" s="4">
        <v>0</v>
      </c>
      <c r="S59" s="4">
        <v>-1</v>
      </c>
      <c r="T59" s="4">
        <v>0</v>
      </c>
      <c r="U59" s="4">
        <v>0</v>
      </c>
      <c r="V59" s="4">
        <v>0</v>
      </c>
      <c r="W59">
        <f>UnitArms!M59</f>
        <v>-1</v>
      </c>
      <c r="X59">
        <f>UnitArms!E59</f>
        <v>3</v>
      </c>
      <c r="Y59" s="1" t="str">
        <f>UnitArms!F59</f>
        <v>00100000</v>
      </c>
      <c r="Z59" s="4">
        <v>0</v>
      </c>
      <c r="AA59" s="4">
        <v>0</v>
      </c>
      <c r="AB59">
        <f>UnitArms!AB59</f>
        <v>180</v>
      </c>
      <c r="AC59">
        <f>UnitArms!AE59</f>
        <v>0</v>
      </c>
      <c r="AD59">
        <f>UnitArms!AF59</f>
        <v>0</v>
      </c>
      <c r="AE59">
        <f>UnitArms!AG59</f>
        <v>0</v>
      </c>
      <c r="AF59">
        <f>UnitArms!AH59</f>
        <v>0</v>
      </c>
      <c r="AG59">
        <f>UnitArms!Y59</f>
        <v>99</v>
      </c>
      <c r="AH59">
        <f>UnitArms!AC59</f>
        <v>0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">
        <v>0</v>
      </c>
      <c r="AO59">
        <f>UnitArms!L59</f>
        <v>100</v>
      </c>
      <c r="AP59">
        <f>UnitArms!N59</f>
        <v>2</v>
      </c>
      <c r="AQ59">
        <f>UnitArms!P59</f>
        <v>-1</v>
      </c>
      <c r="AR59">
        <f>UnitArms!O59</f>
        <v>100</v>
      </c>
      <c r="AS59">
        <f>UnitArms!Q59</f>
        <v>-1</v>
      </c>
      <c r="AT59" s="4">
        <v>0</v>
      </c>
      <c r="AU59" s="4">
        <v>0</v>
      </c>
      <c r="AV59">
        <f>UnitArms!AL59</f>
        <v>1</v>
      </c>
      <c r="AW59">
        <f>UnitArms!AZ59</f>
        <v>-1</v>
      </c>
      <c r="AX59">
        <f>UnitArms!BA59</f>
        <v>2</v>
      </c>
      <c r="AY59">
        <f>UnitArms!T59</f>
        <v>0</v>
      </c>
      <c r="AZ59">
        <f>UnitArms!U59</f>
        <v>1700</v>
      </c>
      <c r="BA59">
        <f>UnitArms!H59</f>
        <v>1</v>
      </c>
      <c r="BB59">
        <f>UnitArms!W59</f>
        <v>100</v>
      </c>
      <c r="BC59">
        <f>UnitArms!X59</f>
        <v>200</v>
      </c>
      <c r="BD59">
        <f>UnitArms!G59</f>
        <v>3</v>
      </c>
      <c r="BE59">
        <f>UnitArms!I59</f>
        <v>1</v>
      </c>
      <c r="BF59">
        <f>UnitArms!AP59</f>
        <v>1</v>
      </c>
      <c r="BG59" s="4">
        <v>0</v>
      </c>
    </row>
    <row r="60" spans="1:59" x14ac:dyDescent="0.3">
      <c r="A60" t="str">
        <f>UnitArms!A60</f>
        <v>unar058</v>
      </c>
      <c r="B60" t="str">
        <f>UnitArms!D60</f>
        <v>NotUsed</v>
      </c>
      <c r="C60" s="1" t="str">
        <f>UnitArms!B60</f>
        <v>20439</v>
      </c>
      <c r="D60">
        <f>UnitArms!C60</f>
        <v>100</v>
      </c>
      <c r="E60" s="4" t="s">
        <v>262</v>
      </c>
      <c r="F60" s="4">
        <v>40</v>
      </c>
      <c r="G60">
        <f>UnitArms!AI60</f>
        <v>0</v>
      </c>
      <c r="H60" s="4">
        <v>0</v>
      </c>
      <c r="I60">
        <f>UnitArms!AJ60</f>
        <v>0</v>
      </c>
      <c r="J60">
        <f>UnitArms!AK60</f>
        <v>1</v>
      </c>
      <c r="K60" s="4">
        <v>0</v>
      </c>
      <c r="L60" s="4">
        <v>0</v>
      </c>
      <c r="M60" s="4">
        <v>0</v>
      </c>
      <c r="N60" s="4">
        <v>0</v>
      </c>
      <c r="O60" s="4">
        <v>0</v>
      </c>
      <c r="P60" s="4">
        <v>0</v>
      </c>
      <c r="Q60" s="4">
        <v>0</v>
      </c>
      <c r="R60" s="4">
        <v>0</v>
      </c>
      <c r="S60" s="4">
        <v>-1</v>
      </c>
      <c r="T60" s="4">
        <v>0</v>
      </c>
      <c r="U60" s="4">
        <v>0</v>
      </c>
      <c r="V60" s="4">
        <v>0</v>
      </c>
      <c r="W60">
        <f>UnitArms!M60</f>
        <v>-1</v>
      </c>
      <c r="X60">
        <f>UnitArms!E60</f>
        <v>3</v>
      </c>
      <c r="Y60" s="1" t="str">
        <f>UnitArms!F60</f>
        <v>00100000</v>
      </c>
      <c r="Z60" s="4">
        <v>0</v>
      </c>
      <c r="AA60" s="4">
        <v>0</v>
      </c>
      <c r="AB60">
        <f>UnitArms!AB60</f>
        <v>180</v>
      </c>
      <c r="AC60">
        <f>UnitArms!AE60</f>
        <v>0</v>
      </c>
      <c r="AD60">
        <f>UnitArms!AF60</f>
        <v>0</v>
      </c>
      <c r="AE60">
        <f>UnitArms!AG60</f>
        <v>0</v>
      </c>
      <c r="AF60">
        <f>UnitArms!AH60</f>
        <v>0</v>
      </c>
      <c r="AG60">
        <f>UnitArms!Y60</f>
        <v>99</v>
      </c>
      <c r="AH60">
        <f>UnitArms!AC60</f>
        <v>0</v>
      </c>
      <c r="AI60" s="4">
        <v>0</v>
      </c>
      <c r="AJ60" s="4">
        <v>0</v>
      </c>
      <c r="AK60" s="4">
        <v>0</v>
      </c>
      <c r="AL60" s="4">
        <v>0</v>
      </c>
      <c r="AM60" s="4">
        <v>0</v>
      </c>
      <c r="AN60" s="4">
        <v>0</v>
      </c>
      <c r="AO60">
        <f>UnitArms!L60</f>
        <v>100</v>
      </c>
      <c r="AP60">
        <f>UnitArms!N60</f>
        <v>2</v>
      </c>
      <c r="AQ60">
        <f>UnitArms!P60</f>
        <v>-1</v>
      </c>
      <c r="AR60">
        <f>UnitArms!O60</f>
        <v>100</v>
      </c>
      <c r="AS60">
        <f>UnitArms!Q60</f>
        <v>-1</v>
      </c>
      <c r="AT60" s="4">
        <v>0</v>
      </c>
      <c r="AU60" s="4">
        <v>0</v>
      </c>
      <c r="AV60">
        <f>UnitArms!AL60</f>
        <v>1</v>
      </c>
      <c r="AW60">
        <f>UnitArms!AZ60</f>
        <v>-1</v>
      </c>
      <c r="AX60">
        <f>UnitArms!BA60</f>
        <v>2</v>
      </c>
      <c r="AY60">
        <f>UnitArms!T60</f>
        <v>0</v>
      </c>
      <c r="AZ60">
        <f>UnitArms!U60</f>
        <v>1700</v>
      </c>
      <c r="BA60">
        <f>UnitArms!H60</f>
        <v>1</v>
      </c>
      <c r="BB60">
        <f>UnitArms!W60</f>
        <v>200</v>
      </c>
      <c r="BC60">
        <f>UnitArms!X60</f>
        <v>300</v>
      </c>
      <c r="BD60">
        <f>UnitArms!G60</f>
        <v>3</v>
      </c>
      <c r="BE60">
        <f>UnitArms!I60</f>
        <v>1</v>
      </c>
      <c r="BF60">
        <f>UnitArms!AP60</f>
        <v>1</v>
      </c>
      <c r="BG60" s="4">
        <v>0</v>
      </c>
    </row>
    <row r="61" spans="1:59" x14ac:dyDescent="0.3">
      <c r="A61" t="str">
        <f>UnitArms!A61</f>
        <v>unar059</v>
      </c>
      <c r="B61" t="str">
        <f>UnitArms!D61</f>
        <v>NotUsed</v>
      </c>
      <c r="C61" s="1" t="str">
        <f>UnitArms!B61</f>
        <v>2043A</v>
      </c>
      <c r="D61">
        <f>UnitArms!C61</f>
        <v>100</v>
      </c>
      <c r="E61" s="4" t="s">
        <v>262</v>
      </c>
      <c r="F61" s="4">
        <v>40</v>
      </c>
      <c r="G61">
        <f>UnitArms!AI61</f>
        <v>0</v>
      </c>
      <c r="H61" s="4">
        <v>0</v>
      </c>
      <c r="I61">
        <f>UnitArms!AJ61</f>
        <v>0</v>
      </c>
      <c r="J61">
        <f>UnitArms!AK61</f>
        <v>1</v>
      </c>
      <c r="K61" s="4">
        <v>0</v>
      </c>
      <c r="L61" s="4">
        <v>0</v>
      </c>
      <c r="M61" s="4">
        <v>0</v>
      </c>
      <c r="N61" s="4">
        <v>0</v>
      </c>
      <c r="O61" s="4">
        <v>0</v>
      </c>
      <c r="P61" s="4">
        <v>0</v>
      </c>
      <c r="Q61" s="4">
        <v>0</v>
      </c>
      <c r="R61" s="4">
        <v>0</v>
      </c>
      <c r="S61" s="4">
        <v>-1</v>
      </c>
      <c r="T61" s="4">
        <v>0</v>
      </c>
      <c r="U61" s="4">
        <v>0</v>
      </c>
      <c r="V61" s="4">
        <v>0</v>
      </c>
      <c r="W61">
        <f>UnitArms!M61</f>
        <v>-1</v>
      </c>
      <c r="X61">
        <f>UnitArms!E61</f>
        <v>3</v>
      </c>
      <c r="Y61" s="1" t="str">
        <f>UnitArms!F61</f>
        <v>00100000</v>
      </c>
      <c r="Z61" s="4">
        <v>0</v>
      </c>
      <c r="AA61" s="4">
        <v>0</v>
      </c>
      <c r="AB61">
        <f>UnitArms!AB61</f>
        <v>180</v>
      </c>
      <c r="AC61">
        <f>UnitArms!AE61</f>
        <v>0</v>
      </c>
      <c r="AD61">
        <f>UnitArms!AF61</f>
        <v>0</v>
      </c>
      <c r="AE61">
        <f>UnitArms!AG61</f>
        <v>0</v>
      </c>
      <c r="AF61">
        <f>UnitArms!AH61</f>
        <v>0</v>
      </c>
      <c r="AG61">
        <f>UnitArms!Y61</f>
        <v>99</v>
      </c>
      <c r="AH61">
        <f>UnitArms!AC61</f>
        <v>0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">
        <v>0</v>
      </c>
      <c r="AO61">
        <f>UnitArms!L61</f>
        <v>100</v>
      </c>
      <c r="AP61">
        <f>UnitArms!N61</f>
        <v>2</v>
      </c>
      <c r="AQ61">
        <f>UnitArms!P61</f>
        <v>-1</v>
      </c>
      <c r="AR61">
        <f>UnitArms!O61</f>
        <v>100</v>
      </c>
      <c r="AS61">
        <f>UnitArms!Q61</f>
        <v>-1</v>
      </c>
      <c r="AT61" s="4">
        <v>0</v>
      </c>
      <c r="AU61" s="4">
        <v>0</v>
      </c>
      <c r="AV61">
        <f>UnitArms!AL61</f>
        <v>1</v>
      </c>
      <c r="AW61">
        <f>UnitArms!AZ61</f>
        <v>-1</v>
      </c>
      <c r="AX61">
        <f>UnitArms!BA61</f>
        <v>2</v>
      </c>
      <c r="AY61">
        <f>UnitArms!T61</f>
        <v>0</v>
      </c>
      <c r="AZ61">
        <f>UnitArms!U61</f>
        <v>1700</v>
      </c>
      <c r="BA61">
        <f>UnitArms!H61</f>
        <v>1</v>
      </c>
      <c r="BB61">
        <f>UnitArms!W61</f>
        <v>100</v>
      </c>
      <c r="BC61">
        <f>UnitArms!X61</f>
        <v>200</v>
      </c>
      <c r="BD61">
        <f>UnitArms!G61</f>
        <v>3</v>
      </c>
      <c r="BE61">
        <f>UnitArms!I61</f>
        <v>1</v>
      </c>
      <c r="BF61">
        <f>UnitArms!AP61</f>
        <v>1</v>
      </c>
      <c r="BG61" s="4">
        <v>0</v>
      </c>
    </row>
    <row r="62" spans="1:59" x14ac:dyDescent="0.3">
      <c r="A62" t="str">
        <f>UnitArms!A62</f>
        <v>unar060</v>
      </c>
      <c r="B62" t="str">
        <f>UnitArms!D62</f>
        <v>NotUsed</v>
      </c>
      <c r="C62" s="1" t="str">
        <f>UnitArms!B62</f>
        <v>2043B</v>
      </c>
      <c r="D62">
        <f>UnitArms!C62</f>
        <v>100</v>
      </c>
      <c r="E62" s="4" t="s">
        <v>262</v>
      </c>
      <c r="F62" s="4">
        <v>40</v>
      </c>
      <c r="G62">
        <f>UnitArms!AI62</f>
        <v>0</v>
      </c>
      <c r="H62" s="4">
        <v>0</v>
      </c>
      <c r="I62">
        <f>UnitArms!AJ62</f>
        <v>0</v>
      </c>
      <c r="J62">
        <f>UnitArms!AK62</f>
        <v>1</v>
      </c>
      <c r="K62" s="4">
        <v>0</v>
      </c>
      <c r="L62" s="4">
        <v>0</v>
      </c>
      <c r="M62" s="4">
        <v>0</v>
      </c>
      <c r="N62" s="4">
        <v>0</v>
      </c>
      <c r="O62" s="4">
        <v>0</v>
      </c>
      <c r="P62" s="4">
        <v>0</v>
      </c>
      <c r="Q62" s="4">
        <v>0</v>
      </c>
      <c r="R62" s="4">
        <v>0</v>
      </c>
      <c r="S62" s="4">
        <v>-1</v>
      </c>
      <c r="T62" s="4">
        <v>0</v>
      </c>
      <c r="U62" s="4">
        <v>0</v>
      </c>
      <c r="V62" s="4">
        <v>0</v>
      </c>
      <c r="W62">
        <f>UnitArms!M62</f>
        <v>-1</v>
      </c>
      <c r="X62">
        <f>UnitArms!E62</f>
        <v>3</v>
      </c>
      <c r="Y62" s="1" t="str">
        <f>UnitArms!F62</f>
        <v>00100000</v>
      </c>
      <c r="Z62" s="4">
        <v>0</v>
      </c>
      <c r="AA62" s="4">
        <v>0</v>
      </c>
      <c r="AB62">
        <f>UnitArms!AB62</f>
        <v>180</v>
      </c>
      <c r="AC62">
        <f>UnitArms!AE62</f>
        <v>0</v>
      </c>
      <c r="AD62">
        <f>UnitArms!AF62</f>
        <v>0</v>
      </c>
      <c r="AE62">
        <f>UnitArms!AG62</f>
        <v>0</v>
      </c>
      <c r="AF62">
        <f>UnitArms!AH62</f>
        <v>0</v>
      </c>
      <c r="AG62">
        <f>UnitArms!Y62</f>
        <v>99</v>
      </c>
      <c r="AH62">
        <f>UnitArms!AC62</f>
        <v>0</v>
      </c>
      <c r="AI62" s="4">
        <v>0</v>
      </c>
      <c r="AJ62" s="4">
        <v>0</v>
      </c>
      <c r="AK62" s="4">
        <v>0</v>
      </c>
      <c r="AL62" s="4">
        <v>0</v>
      </c>
      <c r="AM62" s="4">
        <v>0</v>
      </c>
      <c r="AN62" s="4">
        <v>0</v>
      </c>
      <c r="AO62">
        <f>UnitArms!L62</f>
        <v>100</v>
      </c>
      <c r="AP62">
        <f>UnitArms!N62</f>
        <v>2</v>
      </c>
      <c r="AQ62">
        <f>UnitArms!P62</f>
        <v>-1</v>
      </c>
      <c r="AR62">
        <f>UnitArms!O62</f>
        <v>100</v>
      </c>
      <c r="AS62">
        <f>UnitArms!Q62</f>
        <v>-1</v>
      </c>
      <c r="AT62" s="4">
        <v>0</v>
      </c>
      <c r="AU62" s="4">
        <v>0</v>
      </c>
      <c r="AV62">
        <f>UnitArms!AL62</f>
        <v>1</v>
      </c>
      <c r="AW62">
        <f>UnitArms!AZ62</f>
        <v>-1</v>
      </c>
      <c r="AX62">
        <f>UnitArms!BA62</f>
        <v>2</v>
      </c>
      <c r="AY62">
        <f>UnitArms!T62</f>
        <v>0</v>
      </c>
      <c r="AZ62">
        <f>UnitArms!U62</f>
        <v>1700</v>
      </c>
      <c r="BA62">
        <f>UnitArms!H62</f>
        <v>1</v>
      </c>
      <c r="BB62">
        <f>UnitArms!W62</f>
        <v>200</v>
      </c>
      <c r="BC62">
        <f>UnitArms!X62</f>
        <v>300</v>
      </c>
      <c r="BD62">
        <f>UnitArms!G62</f>
        <v>3</v>
      </c>
      <c r="BE62">
        <f>UnitArms!I62</f>
        <v>1</v>
      </c>
      <c r="BF62">
        <f>UnitArms!AP62</f>
        <v>1</v>
      </c>
      <c r="BG62" s="4">
        <v>0</v>
      </c>
    </row>
    <row r="63" spans="1:59" x14ac:dyDescent="0.3">
      <c r="A63" t="str">
        <f>UnitArms!A63</f>
        <v>unar061</v>
      </c>
      <c r="B63" t="str">
        <f>UnitArms!D63</f>
        <v>NotUsed</v>
      </c>
      <c r="C63" s="1" t="str">
        <f>UnitArms!B63</f>
        <v>3043C</v>
      </c>
      <c r="D63">
        <f>UnitArms!C63</f>
        <v>100</v>
      </c>
      <c r="E63" s="4" t="s">
        <v>262</v>
      </c>
      <c r="F63" s="4">
        <v>40</v>
      </c>
      <c r="G63">
        <f>UnitArms!AI63</f>
        <v>0</v>
      </c>
      <c r="H63" s="4">
        <v>0</v>
      </c>
      <c r="I63">
        <f>UnitArms!AJ63</f>
        <v>0</v>
      </c>
      <c r="J63">
        <f>UnitArms!AK63</f>
        <v>1</v>
      </c>
      <c r="K63" s="4">
        <v>0</v>
      </c>
      <c r="L63" s="4">
        <v>0</v>
      </c>
      <c r="M63" s="4">
        <v>0</v>
      </c>
      <c r="N63" s="4">
        <v>0</v>
      </c>
      <c r="O63" s="4">
        <v>0</v>
      </c>
      <c r="P63" s="4">
        <v>0</v>
      </c>
      <c r="Q63" s="4">
        <v>0</v>
      </c>
      <c r="R63" s="4">
        <v>0</v>
      </c>
      <c r="S63" s="4">
        <v>-1</v>
      </c>
      <c r="T63" s="4">
        <v>0</v>
      </c>
      <c r="U63" s="4">
        <v>0</v>
      </c>
      <c r="V63" s="4">
        <v>0</v>
      </c>
      <c r="W63">
        <f>UnitArms!M63</f>
        <v>-1</v>
      </c>
      <c r="X63">
        <f>UnitArms!E63</f>
        <v>3</v>
      </c>
      <c r="Y63" s="1" t="str">
        <f>UnitArms!F63</f>
        <v>00010000</v>
      </c>
      <c r="Z63" s="4">
        <v>0</v>
      </c>
      <c r="AA63" s="4">
        <v>0</v>
      </c>
      <c r="AB63">
        <f>UnitArms!AB63</f>
        <v>180</v>
      </c>
      <c r="AC63">
        <f>UnitArms!AE63</f>
        <v>0</v>
      </c>
      <c r="AD63">
        <f>UnitArms!AF63</f>
        <v>0</v>
      </c>
      <c r="AE63">
        <f>UnitArms!AG63</f>
        <v>0</v>
      </c>
      <c r="AF63">
        <f>UnitArms!AH63</f>
        <v>0</v>
      </c>
      <c r="AG63">
        <f>UnitArms!Y63</f>
        <v>49</v>
      </c>
      <c r="AH63">
        <f>UnitArms!AC63</f>
        <v>0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">
        <v>0</v>
      </c>
      <c r="AO63">
        <f>UnitArms!L63</f>
        <v>100</v>
      </c>
      <c r="AP63">
        <f>UnitArms!N63</f>
        <v>2</v>
      </c>
      <c r="AQ63">
        <f>UnitArms!P63</f>
        <v>-1</v>
      </c>
      <c r="AR63">
        <f>UnitArms!O63</f>
        <v>100</v>
      </c>
      <c r="AS63">
        <f>UnitArms!Q63</f>
        <v>-1</v>
      </c>
      <c r="AT63" s="4">
        <v>0</v>
      </c>
      <c r="AU63" s="4">
        <v>0</v>
      </c>
      <c r="AV63">
        <f>UnitArms!AL63</f>
        <v>1</v>
      </c>
      <c r="AW63">
        <f>UnitArms!AZ63</f>
        <v>-1</v>
      </c>
      <c r="AX63">
        <f>UnitArms!BA63</f>
        <v>2</v>
      </c>
      <c r="AY63">
        <f>UnitArms!T63</f>
        <v>0</v>
      </c>
      <c r="AZ63">
        <f>UnitArms!U63</f>
        <v>1700</v>
      </c>
      <c r="BA63">
        <f>UnitArms!H63</f>
        <v>1</v>
      </c>
      <c r="BB63">
        <f>UnitArms!W63</f>
        <v>916</v>
      </c>
      <c r="BC63">
        <f>UnitArms!X63</f>
        <v>996</v>
      </c>
      <c r="BD63">
        <f>UnitArms!G63</f>
        <v>4</v>
      </c>
      <c r="BE63">
        <f>UnitArms!I63</f>
        <v>1</v>
      </c>
      <c r="BF63">
        <f>UnitArms!AP63</f>
        <v>1</v>
      </c>
      <c r="BG63" s="4">
        <v>0</v>
      </c>
    </row>
    <row r="64" spans="1:59" x14ac:dyDescent="0.3">
      <c r="A64" t="str">
        <f>UnitArms!A64</f>
        <v>unar062</v>
      </c>
      <c r="B64" t="str">
        <f>UnitArms!D64</f>
        <v>NotUsed</v>
      </c>
      <c r="C64" s="1" t="str">
        <f>UnitArms!B64</f>
        <v>3043D</v>
      </c>
      <c r="D64">
        <f>UnitArms!C64</f>
        <v>100</v>
      </c>
      <c r="E64" s="4" t="s">
        <v>262</v>
      </c>
      <c r="F64" s="4">
        <v>40</v>
      </c>
      <c r="G64">
        <f>UnitArms!AI64</f>
        <v>0</v>
      </c>
      <c r="H64" s="4">
        <v>0</v>
      </c>
      <c r="I64">
        <f>UnitArms!AJ64</f>
        <v>0</v>
      </c>
      <c r="J64">
        <f>UnitArms!AK64</f>
        <v>1</v>
      </c>
      <c r="K64" s="4">
        <v>0</v>
      </c>
      <c r="L64" s="4">
        <v>0</v>
      </c>
      <c r="M64" s="4">
        <v>0</v>
      </c>
      <c r="N64" s="4">
        <v>0</v>
      </c>
      <c r="O64" s="4">
        <v>0</v>
      </c>
      <c r="P64" s="4">
        <v>0</v>
      </c>
      <c r="Q64" s="4">
        <v>0</v>
      </c>
      <c r="R64" s="4">
        <v>0</v>
      </c>
      <c r="S64" s="4">
        <v>-1</v>
      </c>
      <c r="T64" s="4">
        <v>0</v>
      </c>
      <c r="U64" s="4">
        <v>0</v>
      </c>
      <c r="V64" s="4">
        <v>0</v>
      </c>
      <c r="W64">
        <f>UnitArms!M64</f>
        <v>-1</v>
      </c>
      <c r="X64">
        <f>UnitArms!E64</f>
        <v>3</v>
      </c>
      <c r="Y64" s="1" t="str">
        <f>UnitArms!F64</f>
        <v>00010000</v>
      </c>
      <c r="Z64" s="4">
        <v>0</v>
      </c>
      <c r="AA64" s="4">
        <v>0</v>
      </c>
      <c r="AB64">
        <f>UnitArms!AB64</f>
        <v>180</v>
      </c>
      <c r="AC64">
        <f>UnitArms!AE64</f>
        <v>0</v>
      </c>
      <c r="AD64">
        <f>UnitArms!AF64</f>
        <v>0</v>
      </c>
      <c r="AE64">
        <f>UnitArms!AG64</f>
        <v>0</v>
      </c>
      <c r="AF64">
        <f>UnitArms!AH64</f>
        <v>0</v>
      </c>
      <c r="AG64">
        <f>UnitArms!Y64</f>
        <v>99</v>
      </c>
      <c r="AH64">
        <f>UnitArms!AC64</f>
        <v>0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">
        <v>0</v>
      </c>
      <c r="AO64">
        <f>UnitArms!L64</f>
        <v>100</v>
      </c>
      <c r="AP64">
        <f>UnitArms!N64</f>
        <v>2</v>
      </c>
      <c r="AQ64">
        <f>UnitArms!P64</f>
        <v>-1</v>
      </c>
      <c r="AR64">
        <f>UnitArms!O64</f>
        <v>100</v>
      </c>
      <c r="AS64">
        <f>UnitArms!Q64</f>
        <v>-1</v>
      </c>
      <c r="AT64" s="4">
        <v>0</v>
      </c>
      <c r="AU64" s="4">
        <v>0</v>
      </c>
      <c r="AV64">
        <f>UnitArms!AL64</f>
        <v>1</v>
      </c>
      <c r="AW64">
        <f>UnitArms!AZ64</f>
        <v>-1</v>
      </c>
      <c r="AX64">
        <f>UnitArms!BA64</f>
        <v>2</v>
      </c>
      <c r="AY64">
        <f>UnitArms!T64</f>
        <v>0</v>
      </c>
      <c r="AZ64">
        <f>UnitArms!U64</f>
        <v>1700</v>
      </c>
      <c r="BA64">
        <f>UnitArms!H64</f>
        <v>1</v>
      </c>
      <c r="BB64">
        <f>UnitArms!W64</f>
        <v>200</v>
      </c>
      <c r="BC64">
        <f>UnitArms!X64</f>
        <v>300</v>
      </c>
      <c r="BD64">
        <f>UnitArms!G64</f>
        <v>4</v>
      </c>
      <c r="BE64">
        <f>UnitArms!I64</f>
        <v>1</v>
      </c>
      <c r="BF64">
        <f>UnitArms!AP64</f>
        <v>1</v>
      </c>
      <c r="BG64" s="4">
        <v>0</v>
      </c>
    </row>
    <row r="65" spans="1:59" x14ac:dyDescent="0.3">
      <c r="A65" t="str">
        <f>UnitArms!A65</f>
        <v>unar063</v>
      </c>
      <c r="B65" t="str">
        <f>UnitArms!D65</f>
        <v>NotUsed</v>
      </c>
      <c r="C65" s="1" t="str">
        <f>UnitArms!B65</f>
        <v>3043E</v>
      </c>
      <c r="D65">
        <f>UnitArms!C65</f>
        <v>100</v>
      </c>
      <c r="E65" s="4" t="s">
        <v>262</v>
      </c>
      <c r="F65" s="4">
        <v>40</v>
      </c>
      <c r="G65">
        <f>UnitArms!AI65</f>
        <v>0</v>
      </c>
      <c r="H65" s="4">
        <v>0</v>
      </c>
      <c r="I65">
        <f>UnitArms!AJ65</f>
        <v>0</v>
      </c>
      <c r="J65">
        <f>UnitArms!AK65</f>
        <v>1</v>
      </c>
      <c r="K65" s="4">
        <v>0</v>
      </c>
      <c r="L65" s="4">
        <v>0</v>
      </c>
      <c r="M65" s="4">
        <v>0</v>
      </c>
      <c r="N65" s="4">
        <v>0</v>
      </c>
      <c r="O65" s="4">
        <v>0</v>
      </c>
      <c r="P65" s="4">
        <v>0</v>
      </c>
      <c r="Q65" s="4">
        <v>0</v>
      </c>
      <c r="R65" s="4">
        <v>0</v>
      </c>
      <c r="S65" s="4">
        <v>-1</v>
      </c>
      <c r="T65" s="4">
        <v>0</v>
      </c>
      <c r="U65" s="4">
        <v>0</v>
      </c>
      <c r="V65" s="4">
        <v>0</v>
      </c>
      <c r="W65">
        <f>UnitArms!M65</f>
        <v>-1</v>
      </c>
      <c r="X65">
        <f>UnitArms!E65</f>
        <v>3</v>
      </c>
      <c r="Y65" s="1" t="str">
        <f>UnitArms!F65</f>
        <v>00010000</v>
      </c>
      <c r="Z65" s="4">
        <v>0</v>
      </c>
      <c r="AA65" s="4">
        <v>0</v>
      </c>
      <c r="AB65">
        <f>UnitArms!AB65</f>
        <v>180</v>
      </c>
      <c r="AC65">
        <f>UnitArms!AE65</f>
        <v>0</v>
      </c>
      <c r="AD65">
        <f>UnitArms!AF65</f>
        <v>0</v>
      </c>
      <c r="AE65">
        <f>UnitArms!AG65</f>
        <v>0</v>
      </c>
      <c r="AF65">
        <f>UnitArms!AH65</f>
        <v>0</v>
      </c>
      <c r="AG65">
        <f>UnitArms!Y65</f>
        <v>99</v>
      </c>
      <c r="AH65">
        <f>UnitArms!AC65</f>
        <v>0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">
        <v>0</v>
      </c>
      <c r="AO65">
        <f>UnitArms!L65</f>
        <v>100</v>
      </c>
      <c r="AP65">
        <f>UnitArms!N65</f>
        <v>2</v>
      </c>
      <c r="AQ65">
        <f>UnitArms!P65</f>
        <v>-1</v>
      </c>
      <c r="AR65">
        <f>UnitArms!O65</f>
        <v>100</v>
      </c>
      <c r="AS65">
        <f>UnitArms!Q65</f>
        <v>-1</v>
      </c>
      <c r="AT65" s="4">
        <v>0</v>
      </c>
      <c r="AU65" s="4">
        <v>0</v>
      </c>
      <c r="AV65">
        <f>UnitArms!AL65</f>
        <v>1</v>
      </c>
      <c r="AW65">
        <f>UnitArms!AZ65</f>
        <v>-1</v>
      </c>
      <c r="AX65">
        <f>UnitArms!BA65</f>
        <v>2</v>
      </c>
      <c r="AY65">
        <f>UnitArms!T65</f>
        <v>0</v>
      </c>
      <c r="AZ65">
        <f>UnitArms!U65</f>
        <v>1700</v>
      </c>
      <c r="BA65">
        <f>UnitArms!H65</f>
        <v>1</v>
      </c>
      <c r="BB65">
        <f>UnitArms!W65</f>
        <v>100</v>
      </c>
      <c r="BC65">
        <f>UnitArms!X65</f>
        <v>200</v>
      </c>
      <c r="BD65">
        <f>UnitArms!G65</f>
        <v>4</v>
      </c>
      <c r="BE65">
        <f>UnitArms!I65</f>
        <v>1</v>
      </c>
      <c r="BF65">
        <f>UnitArms!AP65</f>
        <v>1</v>
      </c>
      <c r="BG65" s="4">
        <v>0</v>
      </c>
    </row>
    <row r="66" spans="1:59" x14ac:dyDescent="0.3">
      <c r="A66" t="str">
        <f>UnitArms!A66</f>
        <v>unar064</v>
      </c>
      <c r="B66" t="str">
        <f>UnitArms!D66</f>
        <v>NotUsed</v>
      </c>
      <c r="C66" s="1" t="str">
        <f>UnitArms!B66</f>
        <v>3043F</v>
      </c>
      <c r="D66">
        <f>UnitArms!C66</f>
        <v>100</v>
      </c>
      <c r="E66" s="4" t="s">
        <v>262</v>
      </c>
      <c r="F66" s="4">
        <v>40</v>
      </c>
      <c r="G66">
        <f>UnitArms!AI66</f>
        <v>0</v>
      </c>
      <c r="H66" s="4">
        <v>0</v>
      </c>
      <c r="I66">
        <f>UnitArms!AJ66</f>
        <v>0</v>
      </c>
      <c r="J66">
        <f>UnitArms!AK66</f>
        <v>1</v>
      </c>
      <c r="K66" s="4">
        <v>0</v>
      </c>
      <c r="L66" s="4">
        <v>0</v>
      </c>
      <c r="M66" s="4">
        <v>0</v>
      </c>
      <c r="N66" s="4">
        <v>0</v>
      </c>
      <c r="O66" s="4">
        <v>0</v>
      </c>
      <c r="P66" s="4">
        <v>0</v>
      </c>
      <c r="Q66" s="4">
        <v>0</v>
      </c>
      <c r="R66" s="4">
        <v>0</v>
      </c>
      <c r="S66" s="4">
        <v>-1</v>
      </c>
      <c r="T66" s="4">
        <v>0</v>
      </c>
      <c r="U66" s="4">
        <v>0</v>
      </c>
      <c r="V66" s="4">
        <v>0</v>
      </c>
      <c r="W66">
        <f>UnitArms!M66</f>
        <v>-1</v>
      </c>
      <c r="X66">
        <f>UnitArms!E66</f>
        <v>3</v>
      </c>
      <c r="Y66" s="1" t="str">
        <f>UnitArms!F66</f>
        <v>00010000</v>
      </c>
      <c r="Z66" s="4">
        <v>0</v>
      </c>
      <c r="AA66" s="4">
        <v>0</v>
      </c>
      <c r="AB66">
        <f>UnitArms!AB66</f>
        <v>180</v>
      </c>
      <c r="AC66">
        <f>UnitArms!AE66</f>
        <v>0</v>
      </c>
      <c r="AD66">
        <f>UnitArms!AF66</f>
        <v>0</v>
      </c>
      <c r="AE66">
        <f>UnitArms!AG66</f>
        <v>0</v>
      </c>
      <c r="AF66">
        <f>UnitArms!AH66</f>
        <v>0</v>
      </c>
      <c r="AG66">
        <f>UnitArms!Y66</f>
        <v>99</v>
      </c>
      <c r="AH66">
        <f>UnitArms!AC66</f>
        <v>0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">
        <v>0</v>
      </c>
      <c r="AO66">
        <f>UnitArms!L66</f>
        <v>100</v>
      </c>
      <c r="AP66">
        <f>UnitArms!N66</f>
        <v>2</v>
      </c>
      <c r="AQ66">
        <f>UnitArms!P66</f>
        <v>-1</v>
      </c>
      <c r="AR66">
        <f>UnitArms!O66</f>
        <v>100</v>
      </c>
      <c r="AS66">
        <f>UnitArms!Q66</f>
        <v>-1</v>
      </c>
      <c r="AT66" s="4">
        <v>0</v>
      </c>
      <c r="AU66" s="4">
        <v>0</v>
      </c>
      <c r="AV66">
        <f>UnitArms!AL66</f>
        <v>1</v>
      </c>
      <c r="AW66">
        <f>UnitArms!AZ66</f>
        <v>-1</v>
      </c>
      <c r="AX66">
        <f>UnitArms!BA66</f>
        <v>2</v>
      </c>
      <c r="AY66">
        <f>UnitArms!T66</f>
        <v>0</v>
      </c>
      <c r="AZ66">
        <f>UnitArms!U66</f>
        <v>1700</v>
      </c>
      <c r="BA66">
        <f>UnitArms!H66</f>
        <v>1</v>
      </c>
      <c r="BB66">
        <f>UnitArms!W66</f>
        <v>200</v>
      </c>
      <c r="BC66">
        <f>UnitArms!X66</f>
        <v>300</v>
      </c>
      <c r="BD66">
        <f>UnitArms!G66</f>
        <v>4</v>
      </c>
      <c r="BE66">
        <f>UnitArms!I66</f>
        <v>1</v>
      </c>
      <c r="BF66">
        <f>UnitArms!AP66</f>
        <v>1</v>
      </c>
      <c r="BG66" s="4">
        <v>0</v>
      </c>
    </row>
    <row r="67" spans="1:59" x14ac:dyDescent="0.3">
      <c r="A67" t="str">
        <f>UnitArms!A67</f>
        <v>unar065</v>
      </c>
      <c r="B67" t="str">
        <f>UnitArms!D67</f>
        <v>NotUsed</v>
      </c>
      <c r="C67" s="1" t="str">
        <f>UnitArms!B67</f>
        <v>30440</v>
      </c>
      <c r="D67">
        <f>UnitArms!C67</f>
        <v>100</v>
      </c>
      <c r="E67" s="4" t="s">
        <v>262</v>
      </c>
      <c r="F67" s="4">
        <v>40</v>
      </c>
      <c r="G67">
        <f>UnitArms!AI67</f>
        <v>0</v>
      </c>
      <c r="H67" s="4">
        <v>0</v>
      </c>
      <c r="I67">
        <f>UnitArms!AJ67</f>
        <v>0</v>
      </c>
      <c r="J67">
        <f>UnitArms!AK67</f>
        <v>1</v>
      </c>
      <c r="K67" s="4">
        <v>0</v>
      </c>
      <c r="L67" s="4">
        <v>0</v>
      </c>
      <c r="M67" s="4">
        <v>0</v>
      </c>
      <c r="N67" s="4">
        <v>0</v>
      </c>
      <c r="O67" s="4">
        <v>0</v>
      </c>
      <c r="P67" s="4">
        <v>0</v>
      </c>
      <c r="Q67" s="4">
        <v>0</v>
      </c>
      <c r="R67" s="4">
        <v>0</v>
      </c>
      <c r="S67" s="4">
        <v>-1</v>
      </c>
      <c r="T67" s="4">
        <v>0</v>
      </c>
      <c r="U67" s="4">
        <v>0</v>
      </c>
      <c r="V67" s="4">
        <v>0</v>
      </c>
      <c r="W67">
        <f>UnitArms!M67</f>
        <v>-1</v>
      </c>
      <c r="X67">
        <f>UnitArms!E67</f>
        <v>3</v>
      </c>
      <c r="Y67" s="1" t="str">
        <f>UnitArms!F67</f>
        <v>00010000</v>
      </c>
      <c r="Z67" s="4">
        <v>0</v>
      </c>
      <c r="AA67" s="4">
        <v>0</v>
      </c>
      <c r="AB67">
        <f>UnitArms!AB67</f>
        <v>180</v>
      </c>
      <c r="AC67">
        <f>UnitArms!AE67</f>
        <v>0</v>
      </c>
      <c r="AD67">
        <f>UnitArms!AF67</f>
        <v>0</v>
      </c>
      <c r="AE67">
        <f>UnitArms!AG67</f>
        <v>0</v>
      </c>
      <c r="AF67">
        <f>UnitArms!AH67</f>
        <v>0</v>
      </c>
      <c r="AG67">
        <f>UnitArms!Y67</f>
        <v>99</v>
      </c>
      <c r="AH67">
        <f>UnitArms!AC67</f>
        <v>0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">
        <v>0</v>
      </c>
      <c r="AO67">
        <f>UnitArms!L67</f>
        <v>100</v>
      </c>
      <c r="AP67">
        <f>UnitArms!N67</f>
        <v>2</v>
      </c>
      <c r="AQ67">
        <f>UnitArms!P67</f>
        <v>-1</v>
      </c>
      <c r="AR67">
        <f>UnitArms!O67</f>
        <v>100</v>
      </c>
      <c r="AS67">
        <f>UnitArms!Q67</f>
        <v>-1</v>
      </c>
      <c r="AT67" s="4">
        <v>0</v>
      </c>
      <c r="AU67" s="4">
        <v>0</v>
      </c>
      <c r="AV67">
        <f>UnitArms!AL67</f>
        <v>1</v>
      </c>
      <c r="AW67">
        <f>UnitArms!AZ67</f>
        <v>-1</v>
      </c>
      <c r="AX67">
        <f>UnitArms!BA67</f>
        <v>2</v>
      </c>
      <c r="AY67">
        <f>UnitArms!T67</f>
        <v>0</v>
      </c>
      <c r="AZ67">
        <f>UnitArms!U67</f>
        <v>1700</v>
      </c>
      <c r="BA67">
        <f>UnitArms!H67</f>
        <v>1</v>
      </c>
      <c r="BB67">
        <f>UnitArms!W67</f>
        <v>100</v>
      </c>
      <c r="BC67">
        <f>UnitArms!X67</f>
        <v>200</v>
      </c>
      <c r="BD67">
        <f>UnitArms!G67</f>
        <v>4</v>
      </c>
      <c r="BE67">
        <f>UnitArms!I67</f>
        <v>1</v>
      </c>
      <c r="BF67">
        <f>UnitArms!AP67</f>
        <v>1</v>
      </c>
      <c r="BG67" s="4">
        <v>0</v>
      </c>
    </row>
    <row r="68" spans="1:59" x14ac:dyDescent="0.3">
      <c r="A68" t="str">
        <f>UnitArms!A68</f>
        <v>unar066</v>
      </c>
      <c r="B68" t="str">
        <f>UnitArms!D68</f>
        <v>NotUsed</v>
      </c>
      <c r="C68" s="1" t="str">
        <f>UnitArms!B68</f>
        <v>30441</v>
      </c>
      <c r="D68">
        <f>UnitArms!C68</f>
        <v>100</v>
      </c>
      <c r="E68" s="4" t="s">
        <v>262</v>
      </c>
      <c r="F68" s="4">
        <v>40</v>
      </c>
      <c r="G68">
        <f>UnitArms!AI68</f>
        <v>0</v>
      </c>
      <c r="H68" s="4">
        <v>0</v>
      </c>
      <c r="I68">
        <f>UnitArms!AJ68</f>
        <v>0</v>
      </c>
      <c r="J68">
        <f>UnitArms!AK68</f>
        <v>1</v>
      </c>
      <c r="K68" s="4">
        <v>0</v>
      </c>
      <c r="L68" s="4">
        <v>0</v>
      </c>
      <c r="M68" s="4">
        <v>0</v>
      </c>
      <c r="N68" s="4">
        <v>0</v>
      </c>
      <c r="O68" s="4">
        <v>0</v>
      </c>
      <c r="P68" s="4">
        <v>0</v>
      </c>
      <c r="Q68" s="4">
        <v>0</v>
      </c>
      <c r="R68" s="4">
        <v>0</v>
      </c>
      <c r="S68" s="4">
        <v>-1</v>
      </c>
      <c r="T68" s="4">
        <v>0</v>
      </c>
      <c r="U68" s="4">
        <v>0</v>
      </c>
      <c r="V68" s="4">
        <v>0</v>
      </c>
      <c r="W68">
        <f>UnitArms!M68</f>
        <v>-1</v>
      </c>
      <c r="X68">
        <f>UnitArms!E68</f>
        <v>3</v>
      </c>
      <c r="Y68" s="1" t="str">
        <f>UnitArms!F68</f>
        <v>00010000</v>
      </c>
      <c r="Z68" s="4">
        <v>0</v>
      </c>
      <c r="AA68" s="4">
        <v>0</v>
      </c>
      <c r="AB68">
        <f>UnitArms!AB68</f>
        <v>180</v>
      </c>
      <c r="AC68">
        <f>UnitArms!AE68</f>
        <v>0</v>
      </c>
      <c r="AD68">
        <f>UnitArms!AF68</f>
        <v>0</v>
      </c>
      <c r="AE68">
        <f>UnitArms!AG68</f>
        <v>0</v>
      </c>
      <c r="AF68">
        <f>UnitArms!AH68</f>
        <v>0</v>
      </c>
      <c r="AG68">
        <f>UnitArms!Y68</f>
        <v>99</v>
      </c>
      <c r="AH68">
        <f>UnitArms!AC68</f>
        <v>0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">
        <v>0</v>
      </c>
      <c r="AO68">
        <f>UnitArms!L68</f>
        <v>100</v>
      </c>
      <c r="AP68">
        <f>UnitArms!N68</f>
        <v>2</v>
      </c>
      <c r="AQ68">
        <f>UnitArms!P68</f>
        <v>-1</v>
      </c>
      <c r="AR68">
        <f>UnitArms!O68</f>
        <v>100</v>
      </c>
      <c r="AS68">
        <f>UnitArms!Q68</f>
        <v>-1</v>
      </c>
      <c r="AT68" s="4">
        <v>0</v>
      </c>
      <c r="AU68" s="4">
        <v>0</v>
      </c>
      <c r="AV68">
        <f>UnitArms!AL68</f>
        <v>1</v>
      </c>
      <c r="AW68">
        <f>UnitArms!AZ68</f>
        <v>-1</v>
      </c>
      <c r="AX68">
        <f>UnitArms!BA68</f>
        <v>2</v>
      </c>
      <c r="AY68">
        <f>UnitArms!T68</f>
        <v>0</v>
      </c>
      <c r="AZ68">
        <f>UnitArms!U68</f>
        <v>1700</v>
      </c>
      <c r="BA68">
        <f>UnitArms!H68</f>
        <v>1</v>
      </c>
      <c r="BB68">
        <f>UnitArms!W68</f>
        <v>200</v>
      </c>
      <c r="BC68">
        <f>UnitArms!X68</f>
        <v>300</v>
      </c>
      <c r="BD68">
        <f>UnitArms!G68</f>
        <v>4</v>
      </c>
      <c r="BE68">
        <f>UnitArms!I68</f>
        <v>1</v>
      </c>
      <c r="BF68">
        <f>UnitArms!AP68</f>
        <v>1</v>
      </c>
      <c r="BG68" s="4">
        <v>0</v>
      </c>
    </row>
    <row r="69" spans="1:59" x14ac:dyDescent="0.3">
      <c r="A69" t="str">
        <f>UnitArms!A69</f>
        <v>unar067</v>
      </c>
      <c r="B69" t="str">
        <f>UnitArms!D69</f>
        <v>NotUsed</v>
      </c>
      <c r="C69" s="1" t="str">
        <f>UnitArms!B69</f>
        <v>30442</v>
      </c>
      <c r="D69">
        <f>UnitArms!C69</f>
        <v>100</v>
      </c>
      <c r="E69" s="4" t="s">
        <v>262</v>
      </c>
      <c r="F69" s="4">
        <v>40</v>
      </c>
      <c r="G69">
        <f>UnitArms!AI69</f>
        <v>0</v>
      </c>
      <c r="H69" s="4">
        <v>0</v>
      </c>
      <c r="I69">
        <f>UnitArms!AJ69</f>
        <v>0</v>
      </c>
      <c r="J69">
        <f>UnitArms!AK69</f>
        <v>1</v>
      </c>
      <c r="K69" s="4">
        <v>0</v>
      </c>
      <c r="L69" s="4">
        <v>0</v>
      </c>
      <c r="M69" s="4">
        <v>0</v>
      </c>
      <c r="N69" s="4">
        <v>0</v>
      </c>
      <c r="O69" s="4">
        <v>0</v>
      </c>
      <c r="P69" s="4">
        <v>0</v>
      </c>
      <c r="Q69" s="4">
        <v>0</v>
      </c>
      <c r="R69" s="4">
        <v>0</v>
      </c>
      <c r="S69" s="4">
        <v>-1</v>
      </c>
      <c r="T69" s="4">
        <v>0</v>
      </c>
      <c r="U69" s="4">
        <v>0</v>
      </c>
      <c r="V69" s="4">
        <v>0</v>
      </c>
      <c r="W69">
        <f>UnitArms!M69</f>
        <v>-1</v>
      </c>
      <c r="X69">
        <f>UnitArms!E69</f>
        <v>3</v>
      </c>
      <c r="Y69" s="1" t="str">
        <f>UnitArms!F69</f>
        <v>00010000</v>
      </c>
      <c r="Z69" s="4">
        <v>0</v>
      </c>
      <c r="AA69" s="4">
        <v>0</v>
      </c>
      <c r="AB69">
        <f>UnitArms!AB69</f>
        <v>180</v>
      </c>
      <c r="AC69">
        <f>UnitArms!AE69</f>
        <v>0</v>
      </c>
      <c r="AD69">
        <f>UnitArms!AF69</f>
        <v>0</v>
      </c>
      <c r="AE69">
        <f>UnitArms!AG69</f>
        <v>0</v>
      </c>
      <c r="AF69">
        <f>UnitArms!AH69</f>
        <v>0</v>
      </c>
      <c r="AG69">
        <f>UnitArms!Y69</f>
        <v>99</v>
      </c>
      <c r="AH69">
        <f>UnitArms!AC69</f>
        <v>0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">
        <v>0</v>
      </c>
      <c r="AO69">
        <f>UnitArms!L69</f>
        <v>100</v>
      </c>
      <c r="AP69">
        <f>UnitArms!N69</f>
        <v>2</v>
      </c>
      <c r="AQ69">
        <f>UnitArms!P69</f>
        <v>-1</v>
      </c>
      <c r="AR69">
        <f>UnitArms!O69</f>
        <v>100</v>
      </c>
      <c r="AS69">
        <f>UnitArms!Q69</f>
        <v>-1</v>
      </c>
      <c r="AT69" s="4">
        <v>0</v>
      </c>
      <c r="AU69" s="4">
        <v>0</v>
      </c>
      <c r="AV69">
        <f>UnitArms!AL69</f>
        <v>1</v>
      </c>
      <c r="AW69">
        <f>UnitArms!AZ69</f>
        <v>-1</v>
      </c>
      <c r="AX69">
        <f>UnitArms!BA69</f>
        <v>2</v>
      </c>
      <c r="AY69">
        <f>UnitArms!T69</f>
        <v>0</v>
      </c>
      <c r="AZ69">
        <f>UnitArms!U69</f>
        <v>1700</v>
      </c>
      <c r="BA69">
        <f>UnitArms!H69</f>
        <v>1</v>
      </c>
      <c r="BB69">
        <f>UnitArms!W69</f>
        <v>100</v>
      </c>
      <c r="BC69">
        <f>UnitArms!X69</f>
        <v>200</v>
      </c>
      <c r="BD69">
        <f>UnitArms!G69</f>
        <v>4</v>
      </c>
      <c r="BE69">
        <f>UnitArms!I69</f>
        <v>1</v>
      </c>
      <c r="BF69">
        <f>UnitArms!AP69</f>
        <v>1</v>
      </c>
      <c r="BG69" s="4">
        <v>0</v>
      </c>
    </row>
    <row r="70" spans="1:59" x14ac:dyDescent="0.3">
      <c r="A70" t="str">
        <f>UnitArms!A70</f>
        <v>unar068</v>
      </c>
      <c r="B70" t="str">
        <f>UnitArms!D70</f>
        <v>NotUsed</v>
      </c>
      <c r="C70" s="1" t="str">
        <f>UnitArms!B70</f>
        <v>30443</v>
      </c>
      <c r="D70">
        <f>UnitArms!C70</f>
        <v>100</v>
      </c>
      <c r="E70" s="4" t="s">
        <v>262</v>
      </c>
      <c r="F70" s="4">
        <v>40</v>
      </c>
      <c r="G70">
        <f>UnitArms!AI70</f>
        <v>0</v>
      </c>
      <c r="H70" s="4">
        <v>0</v>
      </c>
      <c r="I70">
        <f>UnitArms!AJ70</f>
        <v>0</v>
      </c>
      <c r="J70">
        <f>UnitArms!AK70</f>
        <v>1</v>
      </c>
      <c r="K70" s="4">
        <v>0</v>
      </c>
      <c r="L70" s="4">
        <v>0</v>
      </c>
      <c r="M70" s="4">
        <v>0</v>
      </c>
      <c r="N70" s="4">
        <v>0</v>
      </c>
      <c r="O70" s="4">
        <v>0</v>
      </c>
      <c r="P70" s="4">
        <v>0</v>
      </c>
      <c r="Q70" s="4">
        <v>0</v>
      </c>
      <c r="R70" s="4">
        <v>0</v>
      </c>
      <c r="S70" s="4">
        <v>-1</v>
      </c>
      <c r="T70" s="4">
        <v>0</v>
      </c>
      <c r="U70" s="4">
        <v>0</v>
      </c>
      <c r="V70" s="4">
        <v>0</v>
      </c>
      <c r="W70">
        <f>UnitArms!M70</f>
        <v>-1</v>
      </c>
      <c r="X70">
        <f>UnitArms!E70</f>
        <v>3</v>
      </c>
      <c r="Y70" s="1" t="str">
        <f>UnitArms!F70</f>
        <v>00010000</v>
      </c>
      <c r="Z70" s="4">
        <v>0</v>
      </c>
      <c r="AA70" s="4">
        <v>0</v>
      </c>
      <c r="AB70">
        <f>UnitArms!AB70</f>
        <v>180</v>
      </c>
      <c r="AC70">
        <f>UnitArms!AE70</f>
        <v>0</v>
      </c>
      <c r="AD70">
        <f>UnitArms!AF70</f>
        <v>0</v>
      </c>
      <c r="AE70">
        <f>UnitArms!AG70</f>
        <v>0</v>
      </c>
      <c r="AF70">
        <f>UnitArms!AH70</f>
        <v>0</v>
      </c>
      <c r="AG70">
        <f>UnitArms!Y70</f>
        <v>99</v>
      </c>
      <c r="AH70">
        <f>UnitArms!AC70</f>
        <v>0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">
        <v>0</v>
      </c>
      <c r="AO70">
        <f>UnitArms!L70</f>
        <v>100</v>
      </c>
      <c r="AP70">
        <f>UnitArms!N70</f>
        <v>2</v>
      </c>
      <c r="AQ70">
        <f>UnitArms!P70</f>
        <v>-1</v>
      </c>
      <c r="AR70">
        <f>UnitArms!O70</f>
        <v>100</v>
      </c>
      <c r="AS70">
        <f>UnitArms!Q70</f>
        <v>-1</v>
      </c>
      <c r="AT70" s="4">
        <v>0</v>
      </c>
      <c r="AU70" s="4">
        <v>0</v>
      </c>
      <c r="AV70">
        <f>UnitArms!AL70</f>
        <v>1</v>
      </c>
      <c r="AW70">
        <f>UnitArms!AZ70</f>
        <v>-1</v>
      </c>
      <c r="AX70">
        <f>UnitArms!BA70</f>
        <v>2</v>
      </c>
      <c r="AY70">
        <f>UnitArms!T70</f>
        <v>0</v>
      </c>
      <c r="AZ70">
        <f>UnitArms!U70</f>
        <v>1700</v>
      </c>
      <c r="BA70">
        <f>UnitArms!H70</f>
        <v>1</v>
      </c>
      <c r="BB70">
        <f>UnitArms!W70</f>
        <v>200</v>
      </c>
      <c r="BC70">
        <f>UnitArms!X70</f>
        <v>300</v>
      </c>
      <c r="BD70">
        <f>UnitArms!G70</f>
        <v>4</v>
      </c>
      <c r="BE70">
        <f>UnitArms!I70</f>
        <v>1</v>
      </c>
      <c r="BF70">
        <f>UnitArms!AP70</f>
        <v>1</v>
      </c>
      <c r="BG70" s="4">
        <v>0</v>
      </c>
    </row>
    <row r="71" spans="1:59" x14ac:dyDescent="0.3">
      <c r="A71" t="str">
        <f>UnitArms!A71</f>
        <v>unar069</v>
      </c>
      <c r="B71" t="str">
        <f>UnitArms!D71</f>
        <v>NotUsed</v>
      </c>
      <c r="C71" s="1" t="str">
        <f>UnitArms!B71</f>
        <v>30444</v>
      </c>
      <c r="D71">
        <f>UnitArms!C71</f>
        <v>100</v>
      </c>
      <c r="E71" s="4" t="s">
        <v>262</v>
      </c>
      <c r="F71" s="4">
        <v>40</v>
      </c>
      <c r="G71">
        <f>UnitArms!AI71</f>
        <v>0</v>
      </c>
      <c r="H71" s="4">
        <v>0</v>
      </c>
      <c r="I71">
        <f>UnitArms!AJ71</f>
        <v>0</v>
      </c>
      <c r="J71">
        <f>UnitArms!AK71</f>
        <v>1</v>
      </c>
      <c r="K71" s="4">
        <v>0</v>
      </c>
      <c r="L71" s="4">
        <v>0</v>
      </c>
      <c r="M71" s="4">
        <v>0</v>
      </c>
      <c r="N71" s="4">
        <v>0</v>
      </c>
      <c r="O71" s="4">
        <v>0</v>
      </c>
      <c r="P71" s="4">
        <v>0</v>
      </c>
      <c r="Q71" s="4">
        <v>0</v>
      </c>
      <c r="R71" s="4">
        <v>0</v>
      </c>
      <c r="S71" s="4">
        <v>-1</v>
      </c>
      <c r="T71" s="4">
        <v>0</v>
      </c>
      <c r="U71" s="4">
        <v>0</v>
      </c>
      <c r="V71" s="4">
        <v>0</v>
      </c>
      <c r="W71">
        <f>UnitArms!M71</f>
        <v>-1</v>
      </c>
      <c r="X71">
        <f>UnitArms!E71</f>
        <v>3</v>
      </c>
      <c r="Y71" s="1" t="str">
        <f>UnitArms!F71</f>
        <v>00010000</v>
      </c>
      <c r="Z71" s="4">
        <v>0</v>
      </c>
      <c r="AA71" s="4">
        <v>0</v>
      </c>
      <c r="AB71">
        <f>UnitArms!AB71</f>
        <v>180</v>
      </c>
      <c r="AC71">
        <f>UnitArms!AE71</f>
        <v>0</v>
      </c>
      <c r="AD71">
        <f>UnitArms!AF71</f>
        <v>0</v>
      </c>
      <c r="AE71">
        <f>UnitArms!AG71</f>
        <v>0</v>
      </c>
      <c r="AF71">
        <f>UnitArms!AH71</f>
        <v>0</v>
      </c>
      <c r="AG71">
        <f>UnitArms!Y71</f>
        <v>99</v>
      </c>
      <c r="AH71">
        <f>UnitArms!AC71</f>
        <v>0</v>
      </c>
      <c r="AI71" s="4">
        <v>0</v>
      </c>
      <c r="AJ71" s="4">
        <v>0</v>
      </c>
      <c r="AK71" s="4">
        <v>0</v>
      </c>
      <c r="AL71" s="4">
        <v>0</v>
      </c>
      <c r="AM71" s="4">
        <v>0</v>
      </c>
      <c r="AN71" s="4">
        <v>0</v>
      </c>
      <c r="AO71">
        <f>UnitArms!L71</f>
        <v>100</v>
      </c>
      <c r="AP71">
        <f>UnitArms!N71</f>
        <v>2</v>
      </c>
      <c r="AQ71">
        <f>UnitArms!P71</f>
        <v>-1</v>
      </c>
      <c r="AR71">
        <f>UnitArms!O71</f>
        <v>100</v>
      </c>
      <c r="AS71">
        <f>UnitArms!Q71</f>
        <v>-1</v>
      </c>
      <c r="AT71" s="4">
        <v>0</v>
      </c>
      <c r="AU71" s="4">
        <v>0</v>
      </c>
      <c r="AV71">
        <f>UnitArms!AL71</f>
        <v>1</v>
      </c>
      <c r="AW71">
        <f>UnitArms!AZ71</f>
        <v>-1</v>
      </c>
      <c r="AX71">
        <f>UnitArms!BA71</f>
        <v>2</v>
      </c>
      <c r="AY71">
        <f>UnitArms!T71</f>
        <v>0</v>
      </c>
      <c r="AZ71">
        <f>UnitArms!U71</f>
        <v>1700</v>
      </c>
      <c r="BA71">
        <f>UnitArms!H71</f>
        <v>1</v>
      </c>
      <c r="BB71">
        <f>UnitArms!W71</f>
        <v>100</v>
      </c>
      <c r="BC71">
        <f>UnitArms!X71</f>
        <v>200</v>
      </c>
      <c r="BD71">
        <f>UnitArms!G71</f>
        <v>4</v>
      </c>
      <c r="BE71">
        <f>UnitArms!I71</f>
        <v>1</v>
      </c>
      <c r="BF71">
        <f>UnitArms!AP71</f>
        <v>1</v>
      </c>
      <c r="BG71" s="4">
        <v>0</v>
      </c>
    </row>
    <row r="72" spans="1:59" x14ac:dyDescent="0.3">
      <c r="A72" t="str">
        <f>UnitArms!A72</f>
        <v>unar070</v>
      </c>
      <c r="B72" t="str">
        <f>UnitArms!D72</f>
        <v>NotUsed</v>
      </c>
      <c r="C72" s="1" t="str">
        <f>UnitArms!B72</f>
        <v>30445</v>
      </c>
      <c r="D72">
        <f>UnitArms!C72</f>
        <v>100</v>
      </c>
      <c r="E72" s="4" t="s">
        <v>262</v>
      </c>
      <c r="F72" s="4">
        <v>40</v>
      </c>
      <c r="G72">
        <f>UnitArms!AI72</f>
        <v>0</v>
      </c>
      <c r="H72" s="4">
        <v>0</v>
      </c>
      <c r="I72">
        <f>UnitArms!AJ72</f>
        <v>0</v>
      </c>
      <c r="J72">
        <f>UnitArms!AK72</f>
        <v>1</v>
      </c>
      <c r="K72" s="4">
        <v>0</v>
      </c>
      <c r="L72" s="4">
        <v>0</v>
      </c>
      <c r="M72" s="4">
        <v>0</v>
      </c>
      <c r="N72" s="4">
        <v>0</v>
      </c>
      <c r="O72" s="4">
        <v>0</v>
      </c>
      <c r="P72" s="4">
        <v>0</v>
      </c>
      <c r="Q72" s="4">
        <v>0</v>
      </c>
      <c r="R72" s="4">
        <v>0</v>
      </c>
      <c r="S72" s="4">
        <v>-1</v>
      </c>
      <c r="T72" s="4">
        <v>0</v>
      </c>
      <c r="U72" s="4">
        <v>0</v>
      </c>
      <c r="V72" s="4">
        <v>0</v>
      </c>
      <c r="W72">
        <f>UnitArms!M72</f>
        <v>-1</v>
      </c>
      <c r="X72">
        <f>UnitArms!E72</f>
        <v>3</v>
      </c>
      <c r="Y72" s="1" t="str">
        <f>UnitArms!F72</f>
        <v>00010000</v>
      </c>
      <c r="Z72" s="4">
        <v>0</v>
      </c>
      <c r="AA72" s="4">
        <v>0</v>
      </c>
      <c r="AB72">
        <f>UnitArms!AB72</f>
        <v>180</v>
      </c>
      <c r="AC72">
        <f>UnitArms!AE72</f>
        <v>0</v>
      </c>
      <c r="AD72">
        <f>UnitArms!AF72</f>
        <v>0</v>
      </c>
      <c r="AE72">
        <f>UnitArms!AG72</f>
        <v>0</v>
      </c>
      <c r="AF72">
        <f>UnitArms!AH72</f>
        <v>0</v>
      </c>
      <c r="AG72">
        <f>UnitArms!Y72</f>
        <v>99</v>
      </c>
      <c r="AH72">
        <f>UnitArms!AC72</f>
        <v>0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">
        <v>0</v>
      </c>
      <c r="AO72">
        <f>UnitArms!L72</f>
        <v>100</v>
      </c>
      <c r="AP72">
        <f>UnitArms!N72</f>
        <v>2</v>
      </c>
      <c r="AQ72">
        <f>UnitArms!P72</f>
        <v>-1</v>
      </c>
      <c r="AR72">
        <f>UnitArms!O72</f>
        <v>100</v>
      </c>
      <c r="AS72">
        <f>UnitArms!Q72</f>
        <v>-1</v>
      </c>
      <c r="AT72" s="4">
        <v>0</v>
      </c>
      <c r="AU72" s="4">
        <v>0</v>
      </c>
      <c r="AV72">
        <f>UnitArms!AL72</f>
        <v>1</v>
      </c>
      <c r="AW72">
        <f>UnitArms!AZ72</f>
        <v>-1</v>
      </c>
      <c r="AX72">
        <f>UnitArms!BA72</f>
        <v>2</v>
      </c>
      <c r="AY72">
        <f>UnitArms!T72</f>
        <v>0</v>
      </c>
      <c r="AZ72">
        <f>UnitArms!U72</f>
        <v>1700</v>
      </c>
      <c r="BA72">
        <f>UnitArms!H72</f>
        <v>1</v>
      </c>
      <c r="BB72">
        <f>UnitArms!W72</f>
        <v>200</v>
      </c>
      <c r="BC72">
        <f>UnitArms!X72</f>
        <v>300</v>
      </c>
      <c r="BD72">
        <f>UnitArms!G72</f>
        <v>4</v>
      </c>
      <c r="BE72">
        <f>UnitArms!I72</f>
        <v>1</v>
      </c>
      <c r="BF72">
        <f>UnitArms!AP72</f>
        <v>1</v>
      </c>
      <c r="BG72" s="4">
        <v>0</v>
      </c>
    </row>
    <row r="73" spans="1:59" x14ac:dyDescent="0.3">
      <c r="A73" t="str">
        <f>UnitArms!A73</f>
        <v>unar071</v>
      </c>
      <c r="B73" t="str">
        <f>UnitArms!D73</f>
        <v>NotUsed</v>
      </c>
      <c r="C73" s="1" t="str">
        <f>UnitArms!B73</f>
        <v>30446</v>
      </c>
      <c r="D73">
        <f>UnitArms!C73</f>
        <v>100</v>
      </c>
      <c r="E73" s="4" t="s">
        <v>262</v>
      </c>
      <c r="F73" s="4">
        <v>40</v>
      </c>
      <c r="G73">
        <f>UnitArms!AI73</f>
        <v>0</v>
      </c>
      <c r="H73" s="4">
        <v>0</v>
      </c>
      <c r="I73">
        <f>UnitArms!AJ73</f>
        <v>0</v>
      </c>
      <c r="J73">
        <f>UnitArms!AK73</f>
        <v>1</v>
      </c>
      <c r="K73" s="4">
        <v>0</v>
      </c>
      <c r="L73" s="4">
        <v>0</v>
      </c>
      <c r="M73" s="4">
        <v>0</v>
      </c>
      <c r="N73" s="4">
        <v>0</v>
      </c>
      <c r="O73" s="4">
        <v>0</v>
      </c>
      <c r="P73" s="4">
        <v>0</v>
      </c>
      <c r="Q73" s="4">
        <v>0</v>
      </c>
      <c r="R73" s="4">
        <v>0</v>
      </c>
      <c r="S73" s="4">
        <v>-1</v>
      </c>
      <c r="T73" s="4">
        <v>0</v>
      </c>
      <c r="U73" s="4">
        <v>0</v>
      </c>
      <c r="V73" s="4">
        <v>0</v>
      </c>
      <c r="W73">
        <f>UnitArms!M73</f>
        <v>-1</v>
      </c>
      <c r="X73">
        <f>UnitArms!E73</f>
        <v>3</v>
      </c>
      <c r="Y73" s="1" t="str">
        <f>UnitArms!F73</f>
        <v>00010000</v>
      </c>
      <c r="Z73" s="4">
        <v>0</v>
      </c>
      <c r="AA73" s="4">
        <v>0</v>
      </c>
      <c r="AB73">
        <f>UnitArms!AB73</f>
        <v>180</v>
      </c>
      <c r="AC73">
        <f>UnitArms!AE73</f>
        <v>0</v>
      </c>
      <c r="AD73">
        <f>UnitArms!AF73</f>
        <v>0</v>
      </c>
      <c r="AE73">
        <f>UnitArms!AG73</f>
        <v>0</v>
      </c>
      <c r="AF73">
        <f>UnitArms!AH73</f>
        <v>0</v>
      </c>
      <c r="AG73">
        <f>UnitArms!Y73</f>
        <v>49</v>
      </c>
      <c r="AH73">
        <f>UnitArms!AC73</f>
        <v>0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">
        <v>0</v>
      </c>
      <c r="AO73">
        <f>UnitArms!L73</f>
        <v>100</v>
      </c>
      <c r="AP73">
        <f>UnitArms!N73</f>
        <v>2</v>
      </c>
      <c r="AQ73">
        <f>UnitArms!P73</f>
        <v>-1</v>
      </c>
      <c r="AR73">
        <f>UnitArms!O73</f>
        <v>100</v>
      </c>
      <c r="AS73">
        <f>UnitArms!Q73</f>
        <v>-1</v>
      </c>
      <c r="AT73" s="4">
        <v>0</v>
      </c>
      <c r="AU73" s="4">
        <v>0</v>
      </c>
      <c r="AV73">
        <f>UnitArms!AL73</f>
        <v>1</v>
      </c>
      <c r="AW73">
        <f>UnitArms!AZ73</f>
        <v>-1</v>
      </c>
      <c r="AX73">
        <f>UnitArms!BA73</f>
        <v>2</v>
      </c>
      <c r="AY73">
        <f>UnitArms!T73</f>
        <v>0</v>
      </c>
      <c r="AZ73">
        <f>UnitArms!U73</f>
        <v>1700</v>
      </c>
      <c r="BA73">
        <f>UnitArms!H73</f>
        <v>1</v>
      </c>
      <c r="BB73">
        <f>UnitArms!W73</f>
        <v>916</v>
      </c>
      <c r="BC73">
        <f>UnitArms!X73</f>
        <v>996</v>
      </c>
      <c r="BD73">
        <f>UnitArms!G73</f>
        <v>4</v>
      </c>
      <c r="BE73">
        <f>UnitArms!I73</f>
        <v>1</v>
      </c>
      <c r="BF73">
        <f>UnitArms!AP73</f>
        <v>1</v>
      </c>
      <c r="BG73" s="4">
        <v>0</v>
      </c>
    </row>
    <row r="74" spans="1:59" x14ac:dyDescent="0.3">
      <c r="A74" t="str">
        <f>UnitArms!A74</f>
        <v>unar072</v>
      </c>
      <c r="B74" t="str">
        <f>UnitArms!D74</f>
        <v>NotUsed</v>
      </c>
      <c r="C74" s="1" t="str">
        <f>UnitArms!B74</f>
        <v>30447</v>
      </c>
      <c r="D74">
        <f>UnitArms!C74</f>
        <v>100</v>
      </c>
      <c r="E74" s="4" t="s">
        <v>262</v>
      </c>
      <c r="F74" s="4">
        <v>40</v>
      </c>
      <c r="G74">
        <f>UnitArms!AI74</f>
        <v>0</v>
      </c>
      <c r="H74" s="4">
        <v>0</v>
      </c>
      <c r="I74">
        <f>UnitArms!AJ74</f>
        <v>0</v>
      </c>
      <c r="J74">
        <f>UnitArms!AK74</f>
        <v>1</v>
      </c>
      <c r="K74" s="4">
        <v>0</v>
      </c>
      <c r="L74" s="4">
        <v>0</v>
      </c>
      <c r="M74" s="4">
        <v>0</v>
      </c>
      <c r="N74" s="4">
        <v>0</v>
      </c>
      <c r="O74" s="4">
        <v>0</v>
      </c>
      <c r="P74" s="4">
        <v>0</v>
      </c>
      <c r="Q74" s="4">
        <v>0</v>
      </c>
      <c r="R74" s="4">
        <v>0</v>
      </c>
      <c r="S74" s="4">
        <v>-1</v>
      </c>
      <c r="T74" s="4">
        <v>0</v>
      </c>
      <c r="U74" s="4">
        <v>0</v>
      </c>
      <c r="V74" s="4">
        <v>0</v>
      </c>
      <c r="W74">
        <f>UnitArms!M74</f>
        <v>-1</v>
      </c>
      <c r="X74">
        <f>UnitArms!E74</f>
        <v>3</v>
      </c>
      <c r="Y74" s="1" t="str">
        <f>UnitArms!F74</f>
        <v>00010000</v>
      </c>
      <c r="Z74" s="4">
        <v>0</v>
      </c>
      <c r="AA74" s="4">
        <v>0</v>
      </c>
      <c r="AB74">
        <f>UnitArms!AB74</f>
        <v>180</v>
      </c>
      <c r="AC74">
        <f>UnitArms!AE74</f>
        <v>0</v>
      </c>
      <c r="AD74">
        <f>UnitArms!AF74</f>
        <v>0</v>
      </c>
      <c r="AE74">
        <f>UnitArms!AG74</f>
        <v>0</v>
      </c>
      <c r="AF74">
        <f>UnitArms!AH74</f>
        <v>0</v>
      </c>
      <c r="AG74">
        <f>UnitArms!Y74</f>
        <v>99</v>
      </c>
      <c r="AH74">
        <f>UnitArms!AC74</f>
        <v>0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">
        <v>0</v>
      </c>
      <c r="AO74">
        <f>UnitArms!L74</f>
        <v>100</v>
      </c>
      <c r="AP74">
        <f>UnitArms!N74</f>
        <v>2</v>
      </c>
      <c r="AQ74">
        <f>UnitArms!P74</f>
        <v>-1</v>
      </c>
      <c r="AR74">
        <f>UnitArms!O74</f>
        <v>100</v>
      </c>
      <c r="AS74">
        <f>UnitArms!Q74</f>
        <v>-1</v>
      </c>
      <c r="AT74" s="4">
        <v>0</v>
      </c>
      <c r="AU74" s="4">
        <v>0</v>
      </c>
      <c r="AV74">
        <f>UnitArms!AL74</f>
        <v>1</v>
      </c>
      <c r="AW74">
        <f>UnitArms!AZ74</f>
        <v>-1</v>
      </c>
      <c r="AX74">
        <f>UnitArms!BA74</f>
        <v>2</v>
      </c>
      <c r="AY74">
        <f>UnitArms!T74</f>
        <v>0</v>
      </c>
      <c r="AZ74">
        <f>UnitArms!U74</f>
        <v>1700</v>
      </c>
      <c r="BA74">
        <f>UnitArms!H74</f>
        <v>1</v>
      </c>
      <c r="BB74">
        <f>UnitArms!W74</f>
        <v>200</v>
      </c>
      <c r="BC74">
        <f>UnitArms!X74</f>
        <v>300</v>
      </c>
      <c r="BD74">
        <f>UnitArms!G74</f>
        <v>4</v>
      </c>
      <c r="BE74">
        <f>UnitArms!I74</f>
        <v>1</v>
      </c>
      <c r="BF74">
        <f>UnitArms!AP74</f>
        <v>1</v>
      </c>
      <c r="BG74" s="4">
        <v>0</v>
      </c>
    </row>
    <row r="75" spans="1:59" x14ac:dyDescent="0.3">
      <c r="A75" t="str">
        <f>UnitArms!A75</f>
        <v>unar073</v>
      </c>
      <c r="B75" t="str">
        <f>UnitArms!D75</f>
        <v>NotUsed</v>
      </c>
      <c r="C75" s="1" t="str">
        <f>UnitArms!B75</f>
        <v>30448</v>
      </c>
      <c r="D75">
        <f>UnitArms!C75</f>
        <v>100</v>
      </c>
      <c r="E75" s="4" t="s">
        <v>262</v>
      </c>
      <c r="F75" s="4">
        <v>40</v>
      </c>
      <c r="G75">
        <f>UnitArms!AI75</f>
        <v>0</v>
      </c>
      <c r="H75" s="4">
        <v>0</v>
      </c>
      <c r="I75">
        <f>UnitArms!AJ75</f>
        <v>0</v>
      </c>
      <c r="J75">
        <f>UnitArms!AK75</f>
        <v>1</v>
      </c>
      <c r="K75" s="4">
        <v>0</v>
      </c>
      <c r="L75" s="4">
        <v>0</v>
      </c>
      <c r="M75" s="4">
        <v>0</v>
      </c>
      <c r="N75" s="4">
        <v>0</v>
      </c>
      <c r="O75" s="4">
        <v>0</v>
      </c>
      <c r="P75" s="4">
        <v>0</v>
      </c>
      <c r="Q75" s="4">
        <v>0</v>
      </c>
      <c r="R75" s="4">
        <v>0</v>
      </c>
      <c r="S75" s="4">
        <v>-1</v>
      </c>
      <c r="T75" s="4">
        <v>0</v>
      </c>
      <c r="U75" s="4">
        <v>0</v>
      </c>
      <c r="V75" s="4">
        <v>0</v>
      </c>
      <c r="W75">
        <f>UnitArms!M75</f>
        <v>-1</v>
      </c>
      <c r="X75">
        <f>UnitArms!E75</f>
        <v>3</v>
      </c>
      <c r="Y75" s="1" t="str">
        <f>UnitArms!F75</f>
        <v>00010000</v>
      </c>
      <c r="Z75" s="4">
        <v>0</v>
      </c>
      <c r="AA75" s="4">
        <v>0</v>
      </c>
      <c r="AB75">
        <f>UnitArms!AB75</f>
        <v>180</v>
      </c>
      <c r="AC75">
        <f>UnitArms!AE75</f>
        <v>0</v>
      </c>
      <c r="AD75">
        <f>UnitArms!AF75</f>
        <v>0</v>
      </c>
      <c r="AE75">
        <f>UnitArms!AG75</f>
        <v>0</v>
      </c>
      <c r="AF75">
        <f>UnitArms!AH75</f>
        <v>0</v>
      </c>
      <c r="AG75">
        <f>UnitArms!Y75</f>
        <v>99</v>
      </c>
      <c r="AH75">
        <f>UnitArms!AC75</f>
        <v>0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">
        <v>0</v>
      </c>
      <c r="AO75">
        <f>UnitArms!L75</f>
        <v>100</v>
      </c>
      <c r="AP75">
        <f>UnitArms!N75</f>
        <v>2</v>
      </c>
      <c r="AQ75">
        <f>UnitArms!P75</f>
        <v>-1</v>
      </c>
      <c r="AR75">
        <f>UnitArms!O75</f>
        <v>100</v>
      </c>
      <c r="AS75">
        <f>UnitArms!Q75</f>
        <v>-1</v>
      </c>
      <c r="AT75" s="4">
        <v>0</v>
      </c>
      <c r="AU75" s="4">
        <v>0</v>
      </c>
      <c r="AV75">
        <f>UnitArms!AL75</f>
        <v>1</v>
      </c>
      <c r="AW75">
        <f>UnitArms!AZ75</f>
        <v>-1</v>
      </c>
      <c r="AX75">
        <f>UnitArms!BA75</f>
        <v>2</v>
      </c>
      <c r="AY75">
        <f>UnitArms!T75</f>
        <v>0</v>
      </c>
      <c r="AZ75">
        <f>UnitArms!U75</f>
        <v>1700</v>
      </c>
      <c r="BA75">
        <f>UnitArms!H75</f>
        <v>1</v>
      </c>
      <c r="BB75">
        <f>UnitArms!W75</f>
        <v>100</v>
      </c>
      <c r="BC75">
        <f>UnitArms!X75</f>
        <v>200</v>
      </c>
      <c r="BD75">
        <f>UnitArms!G75</f>
        <v>4</v>
      </c>
      <c r="BE75">
        <f>UnitArms!I75</f>
        <v>1</v>
      </c>
      <c r="BF75">
        <f>UnitArms!AP75</f>
        <v>1</v>
      </c>
      <c r="BG75" s="4">
        <v>0</v>
      </c>
    </row>
    <row r="76" spans="1:59" x14ac:dyDescent="0.3">
      <c r="A76" t="str">
        <f>UnitArms!A76</f>
        <v>unar074</v>
      </c>
      <c r="B76" t="str">
        <f>UnitArms!D76</f>
        <v>NotUsed</v>
      </c>
      <c r="C76" s="1" t="str">
        <f>UnitArms!B76</f>
        <v>30449</v>
      </c>
      <c r="D76">
        <f>UnitArms!C76</f>
        <v>100</v>
      </c>
      <c r="E76" s="4" t="s">
        <v>262</v>
      </c>
      <c r="F76" s="4">
        <v>40</v>
      </c>
      <c r="G76">
        <f>UnitArms!AI76</f>
        <v>0</v>
      </c>
      <c r="H76" s="4">
        <v>0</v>
      </c>
      <c r="I76">
        <f>UnitArms!AJ76</f>
        <v>0</v>
      </c>
      <c r="J76">
        <f>UnitArms!AK76</f>
        <v>1</v>
      </c>
      <c r="K76" s="4">
        <v>0</v>
      </c>
      <c r="L76" s="4">
        <v>0</v>
      </c>
      <c r="M76" s="4">
        <v>0</v>
      </c>
      <c r="N76" s="4">
        <v>0</v>
      </c>
      <c r="O76" s="4">
        <v>0</v>
      </c>
      <c r="P76" s="4">
        <v>0</v>
      </c>
      <c r="Q76" s="4">
        <v>0</v>
      </c>
      <c r="R76" s="4">
        <v>0</v>
      </c>
      <c r="S76" s="4">
        <v>-1</v>
      </c>
      <c r="T76" s="4">
        <v>0</v>
      </c>
      <c r="U76" s="4">
        <v>0</v>
      </c>
      <c r="V76" s="4">
        <v>0</v>
      </c>
      <c r="W76">
        <f>UnitArms!M76</f>
        <v>-1</v>
      </c>
      <c r="X76">
        <f>UnitArms!E76</f>
        <v>3</v>
      </c>
      <c r="Y76" s="1" t="str">
        <f>UnitArms!F76</f>
        <v>00010000</v>
      </c>
      <c r="Z76" s="4">
        <v>0</v>
      </c>
      <c r="AA76" s="4">
        <v>0</v>
      </c>
      <c r="AB76">
        <f>UnitArms!AB76</f>
        <v>180</v>
      </c>
      <c r="AC76">
        <f>UnitArms!AE76</f>
        <v>0</v>
      </c>
      <c r="AD76">
        <f>UnitArms!AF76</f>
        <v>0</v>
      </c>
      <c r="AE76">
        <f>UnitArms!AG76</f>
        <v>0</v>
      </c>
      <c r="AF76">
        <f>UnitArms!AH76</f>
        <v>0</v>
      </c>
      <c r="AG76">
        <f>UnitArms!Y76</f>
        <v>99</v>
      </c>
      <c r="AH76">
        <f>UnitArms!AC76</f>
        <v>0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">
        <v>0</v>
      </c>
      <c r="AO76">
        <f>UnitArms!L76</f>
        <v>100</v>
      </c>
      <c r="AP76">
        <f>UnitArms!N76</f>
        <v>2</v>
      </c>
      <c r="AQ76">
        <f>UnitArms!P76</f>
        <v>-1</v>
      </c>
      <c r="AR76">
        <f>UnitArms!O76</f>
        <v>100</v>
      </c>
      <c r="AS76">
        <f>UnitArms!Q76</f>
        <v>-1</v>
      </c>
      <c r="AT76" s="4">
        <v>0</v>
      </c>
      <c r="AU76" s="4">
        <v>0</v>
      </c>
      <c r="AV76">
        <f>UnitArms!AL76</f>
        <v>1</v>
      </c>
      <c r="AW76">
        <f>UnitArms!AZ76</f>
        <v>-1</v>
      </c>
      <c r="AX76">
        <f>UnitArms!BA76</f>
        <v>2</v>
      </c>
      <c r="AY76">
        <f>UnitArms!T76</f>
        <v>0</v>
      </c>
      <c r="AZ76">
        <f>UnitArms!U76</f>
        <v>1700</v>
      </c>
      <c r="BA76">
        <f>UnitArms!H76</f>
        <v>1</v>
      </c>
      <c r="BB76">
        <f>UnitArms!W76</f>
        <v>200</v>
      </c>
      <c r="BC76">
        <f>UnitArms!X76</f>
        <v>300</v>
      </c>
      <c r="BD76">
        <f>UnitArms!G76</f>
        <v>4</v>
      </c>
      <c r="BE76">
        <f>UnitArms!I76</f>
        <v>1</v>
      </c>
      <c r="BF76">
        <f>UnitArms!AP76</f>
        <v>1</v>
      </c>
      <c r="BG76" s="4">
        <v>0</v>
      </c>
    </row>
    <row r="77" spans="1:59" x14ac:dyDescent="0.3">
      <c r="A77" t="str">
        <f>UnitArms!A77</f>
        <v>unar075</v>
      </c>
      <c r="B77" t="str">
        <f>UnitArms!D77</f>
        <v>NotUsed</v>
      </c>
      <c r="C77" s="1" t="str">
        <f>UnitArms!B77</f>
        <v>3044A</v>
      </c>
      <c r="D77">
        <f>UnitArms!C77</f>
        <v>100</v>
      </c>
      <c r="E77" s="4" t="s">
        <v>262</v>
      </c>
      <c r="F77" s="4">
        <v>40</v>
      </c>
      <c r="G77">
        <f>UnitArms!AI77</f>
        <v>0</v>
      </c>
      <c r="H77" s="4">
        <v>0</v>
      </c>
      <c r="I77">
        <f>UnitArms!AJ77</f>
        <v>0</v>
      </c>
      <c r="J77">
        <f>UnitArms!AK77</f>
        <v>1</v>
      </c>
      <c r="K77" s="4">
        <v>0</v>
      </c>
      <c r="L77" s="4">
        <v>0</v>
      </c>
      <c r="M77" s="4">
        <v>0</v>
      </c>
      <c r="N77" s="4">
        <v>0</v>
      </c>
      <c r="O77" s="4">
        <v>0</v>
      </c>
      <c r="P77" s="4">
        <v>0</v>
      </c>
      <c r="Q77" s="4">
        <v>0</v>
      </c>
      <c r="R77" s="4">
        <v>0</v>
      </c>
      <c r="S77" s="4">
        <v>-1</v>
      </c>
      <c r="T77" s="4">
        <v>0</v>
      </c>
      <c r="U77" s="4">
        <v>0</v>
      </c>
      <c r="V77" s="4">
        <v>0</v>
      </c>
      <c r="W77">
        <f>UnitArms!M77</f>
        <v>-1</v>
      </c>
      <c r="X77">
        <f>UnitArms!E77</f>
        <v>3</v>
      </c>
      <c r="Y77" s="1" t="str">
        <f>UnitArms!F77</f>
        <v>00010000</v>
      </c>
      <c r="Z77" s="4">
        <v>0</v>
      </c>
      <c r="AA77" s="4">
        <v>0</v>
      </c>
      <c r="AB77">
        <f>UnitArms!AB77</f>
        <v>180</v>
      </c>
      <c r="AC77">
        <f>UnitArms!AE77</f>
        <v>0</v>
      </c>
      <c r="AD77">
        <f>UnitArms!AF77</f>
        <v>0</v>
      </c>
      <c r="AE77">
        <f>UnitArms!AG77</f>
        <v>0</v>
      </c>
      <c r="AF77">
        <f>UnitArms!AH77</f>
        <v>0</v>
      </c>
      <c r="AG77">
        <f>UnitArms!Y77</f>
        <v>99</v>
      </c>
      <c r="AH77">
        <f>UnitArms!AC77</f>
        <v>0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">
        <v>0</v>
      </c>
      <c r="AO77">
        <f>UnitArms!L77</f>
        <v>100</v>
      </c>
      <c r="AP77">
        <f>UnitArms!N77</f>
        <v>2</v>
      </c>
      <c r="AQ77">
        <f>UnitArms!P77</f>
        <v>-1</v>
      </c>
      <c r="AR77">
        <f>UnitArms!O77</f>
        <v>100</v>
      </c>
      <c r="AS77">
        <f>UnitArms!Q77</f>
        <v>-1</v>
      </c>
      <c r="AT77" s="4">
        <v>0</v>
      </c>
      <c r="AU77" s="4">
        <v>0</v>
      </c>
      <c r="AV77">
        <f>UnitArms!AL77</f>
        <v>1</v>
      </c>
      <c r="AW77">
        <f>UnitArms!AZ77</f>
        <v>-1</v>
      </c>
      <c r="AX77">
        <f>UnitArms!BA77</f>
        <v>2</v>
      </c>
      <c r="AY77">
        <f>UnitArms!T77</f>
        <v>0</v>
      </c>
      <c r="AZ77">
        <f>UnitArms!U77</f>
        <v>1700</v>
      </c>
      <c r="BA77">
        <f>UnitArms!H77</f>
        <v>1</v>
      </c>
      <c r="BB77">
        <f>UnitArms!W77</f>
        <v>100</v>
      </c>
      <c r="BC77">
        <f>UnitArms!X77</f>
        <v>200</v>
      </c>
      <c r="BD77">
        <f>UnitArms!G77</f>
        <v>4</v>
      </c>
      <c r="BE77">
        <f>UnitArms!I77</f>
        <v>1</v>
      </c>
      <c r="BF77">
        <f>UnitArms!AP77</f>
        <v>1</v>
      </c>
      <c r="BG77" s="4">
        <v>0</v>
      </c>
    </row>
    <row r="78" spans="1:59" x14ac:dyDescent="0.3">
      <c r="A78" t="str">
        <f>UnitArms!A78</f>
        <v>unar076</v>
      </c>
      <c r="B78" t="str">
        <f>UnitArms!D78</f>
        <v>NotUsed</v>
      </c>
      <c r="C78" s="1" t="str">
        <f>UnitArms!B78</f>
        <v>3044B</v>
      </c>
      <c r="D78">
        <f>UnitArms!C78</f>
        <v>100</v>
      </c>
      <c r="E78" s="4" t="s">
        <v>262</v>
      </c>
      <c r="F78" s="4">
        <v>40</v>
      </c>
      <c r="G78">
        <f>UnitArms!AI78</f>
        <v>0</v>
      </c>
      <c r="H78" s="4">
        <v>0</v>
      </c>
      <c r="I78">
        <f>UnitArms!AJ78</f>
        <v>0</v>
      </c>
      <c r="J78">
        <f>UnitArms!AK78</f>
        <v>1</v>
      </c>
      <c r="K78" s="4">
        <v>0</v>
      </c>
      <c r="L78" s="4">
        <v>0</v>
      </c>
      <c r="M78" s="4">
        <v>0</v>
      </c>
      <c r="N78" s="4">
        <v>0</v>
      </c>
      <c r="O78" s="4">
        <v>0</v>
      </c>
      <c r="P78" s="4">
        <v>0</v>
      </c>
      <c r="Q78" s="4">
        <v>0</v>
      </c>
      <c r="R78" s="4">
        <v>0</v>
      </c>
      <c r="S78" s="4">
        <v>-1</v>
      </c>
      <c r="T78" s="4">
        <v>0</v>
      </c>
      <c r="U78" s="4">
        <v>0</v>
      </c>
      <c r="V78" s="4">
        <v>0</v>
      </c>
      <c r="W78">
        <f>UnitArms!M78</f>
        <v>-1</v>
      </c>
      <c r="X78">
        <f>UnitArms!E78</f>
        <v>3</v>
      </c>
      <c r="Y78" s="1" t="str">
        <f>UnitArms!F78</f>
        <v>00010000</v>
      </c>
      <c r="Z78" s="4">
        <v>0</v>
      </c>
      <c r="AA78" s="4">
        <v>0</v>
      </c>
      <c r="AB78">
        <f>UnitArms!AB78</f>
        <v>180</v>
      </c>
      <c r="AC78">
        <f>UnitArms!AE78</f>
        <v>0</v>
      </c>
      <c r="AD78">
        <f>UnitArms!AF78</f>
        <v>0</v>
      </c>
      <c r="AE78">
        <f>UnitArms!AG78</f>
        <v>0</v>
      </c>
      <c r="AF78">
        <f>UnitArms!AH78</f>
        <v>0</v>
      </c>
      <c r="AG78">
        <f>UnitArms!Y78</f>
        <v>99</v>
      </c>
      <c r="AH78">
        <f>UnitArms!AC78</f>
        <v>0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">
        <v>0</v>
      </c>
      <c r="AO78">
        <f>UnitArms!L78</f>
        <v>100</v>
      </c>
      <c r="AP78">
        <f>UnitArms!N78</f>
        <v>2</v>
      </c>
      <c r="AQ78">
        <f>UnitArms!P78</f>
        <v>-1</v>
      </c>
      <c r="AR78">
        <f>UnitArms!O78</f>
        <v>100</v>
      </c>
      <c r="AS78">
        <f>UnitArms!Q78</f>
        <v>-1</v>
      </c>
      <c r="AT78" s="4">
        <v>0</v>
      </c>
      <c r="AU78" s="4">
        <v>0</v>
      </c>
      <c r="AV78">
        <f>UnitArms!AL78</f>
        <v>1</v>
      </c>
      <c r="AW78">
        <f>UnitArms!AZ78</f>
        <v>-1</v>
      </c>
      <c r="AX78">
        <f>UnitArms!BA78</f>
        <v>2</v>
      </c>
      <c r="AY78">
        <f>UnitArms!T78</f>
        <v>0</v>
      </c>
      <c r="AZ78">
        <f>UnitArms!U78</f>
        <v>1700</v>
      </c>
      <c r="BA78">
        <f>UnitArms!H78</f>
        <v>1</v>
      </c>
      <c r="BB78">
        <f>UnitArms!W78</f>
        <v>200</v>
      </c>
      <c r="BC78">
        <f>UnitArms!X78</f>
        <v>300</v>
      </c>
      <c r="BD78">
        <f>UnitArms!G78</f>
        <v>4</v>
      </c>
      <c r="BE78">
        <f>UnitArms!I78</f>
        <v>1</v>
      </c>
      <c r="BF78">
        <f>UnitArms!AP78</f>
        <v>1</v>
      </c>
      <c r="BG78" s="4">
        <v>0</v>
      </c>
    </row>
    <row r="79" spans="1:59" x14ac:dyDescent="0.3">
      <c r="A79" t="str">
        <f>UnitArms!A79</f>
        <v>unar077</v>
      </c>
      <c r="B79" t="str">
        <f>UnitArms!D79</f>
        <v>NotUsed</v>
      </c>
      <c r="C79" s="1" t="str">
        <f>UnitArms!B79</f>
        <v>3044C</v>
      </c>
      <c r="D79">
        <f>UnitArms!C79</f>
        <v>100</v>
      </c>
      <c r="E79" s="4" t="s">
        <v>262</v>
      </c>
      <c r="F79" s="4">
        <v>40</v>
      </c>
      <c r="G79">
        <f>UnitArms!AI79</f>
        <v>0</v>
      </c>
      <c r="H79" s="4">
        <v>0</v>
      </c>
      <c r="I79">
        <f>UnitArms!AJ79</f>
        <v>0</v>
      </c>
      <c r="J79">
        <f>UnitArms!AK79</f>
        <v>1</v>
      </c>
      <c r="K79" s="4">
        <v>0</v>
      </c>
      <c r="L79" s="4">
        <v>0</v>
      </c>
      <c r="M79" s="4">
        <v>0</v>
      </c>
      <c r="N79" s="4">
        <v>0</v>
      </c>
      <c r="O79" s="4">
        <v>0</v>
      </c>
      <c r="P79" s="4">
        <v>0</v>
      </c>
      <c r="Q79" s="4">
        <v>0</v>
      </c>
      <c r="R79" s="4">
        <v>0</v>
      </c>
      <c r="S79" s="4">
        <v>-1</v>
      </c>
      <c r="T79" s="4">
        <v>0</v>
      </c>
      <c r="U79" s="4">
        <v>0</v>
      </c>
      <c r="V79" s="4">
        <v>0</v>
      </c>
      <c r="W79">
        <f>UnitArms!M79</f>
        <v>-1</v>
      </c>
      <c r="X79">
        <f>UnitArms!E79</f>
        <v>3</v>
      </c>
      <c r="Y79" s="1" t="str">
        <f>UnitArms!F79</f>
        <v>00010000</v>
      </c>
      <c r="Z79" s="4">
        <v>0</v>
      </c>
      <c r="AA79" s="4">
        <v>0</v>
      </c>
      <c r="AB79">
        <f>UnitArms!AB79</f>
        <v>180</v>
      </c>
      <c r="AC79">
        <f>UnitArms!AE79</f>
        <v>0</v>
      </c>
      <c r="AD79">
        <f>UnitArms!AF79</f>
        <v>0</v>
      </c>
      <c r="AE79">
        <f>UnitArms!AG79</f>
        <v>0</v>
      </c>
      <c r="AF79">
        <f>UnitArms!AH79</f>
        <v>0</v>
      </c>
      <c r="AG79">
        <f>UnitArms!Y79</f>
        <v>99</v>
      </c>
      <c r="AH79">
        <f>UnitArms!AC79</f>
        <v>0</v>
      </c>
      <c r="AI79" s="4">
        <v>0</v>
      </c>
      <c r="AJ79" s="4">
        <v>0</v>
      </c>
      <c r="AK79" s="4">
        <v>0</v>
      </c>
      <c r="AL79" s="4">
        <v>0</v>
      </c>
      <c r="AM79" s="4">
        <v>0</v>
      </c>
      <c r="AN79" s="4">
        <v>0</v>
      </c>
      <c r="AO79">
        <f>UnitArms!L79</f>
        <v>100</v>
      </c>
      <c r="AP79">
        <f>UnitArms!N79</f>
        <v>2</v>
      </c>
      <c r="AQ79">
        <f>UnitArms!P79</f>
        <v>-1</v>
      </c>
      <c r="AR79">
        <f>UnitArms!O79</f>
        <v>100</v>
      </c>
      <c r="AS79">
        <f>UnitArms!Q79</f>
        <v>-1</v>
      </c>
      <c r="AT79" s="4">
        <v>0</v>
      </c>
      <c r="AU79" s="4">
        <v>0</v>
      </c>
      <c r="AV79">
        <f>UnitArms!AL79</f>
        <v>1</v>
      </c>
      <c r="AW79">
        <f>UnitArms!AZ79</f>
        <v>-1</v>
      </c>
      <c r="AX79">
        <f>UnitArms!BA79</f>
        <v>2</v>
      </c>
      <c r="AY79">
        <f>UnitArms!T79</f>
        <v>0</v>
      </c>
      <c r="AZ79">
        <f>UnitArms!U79</f>
        <v>1700</v>
      </c>
      <c r="BA79">
        <f>UnitArms!H79</f>
        <v>1</v>
      </c>
      <c r="BB79">
        <f>UnitArms!W79</f>
        <v>100</v>
      </c>
      <c r="BC79">
        <f>UnitArms!X79</f>
        <v>200</v>
      </c>
      <c r="BD79">
        <f>UnitArms!G79</f>
        <v>4</v>
      </c>
      <c r="BE79">
        <f>UnitArms!I79</f>
        <v>1</v>
      </c>
      <c r="BF79">
        <f>UnitArms!AP79</f>
        <v>1</v>
      </c>
      <c r="BG79" s="4">
        <v>0</v>
      </c>
    </row>
    <row r="80" spans="1:59" x14ac:dyDescent="0.3">
      <c r="A80" t="str">
        <f>UnitArms!A80</f>
        <v>unar078</v>
      </c>
      <c r="B80" t="str">
        <f>UnitArms!D80</f>
        <v>NotUsed</v>
      </c>
      <c r="C80" s="1" t="str">
        <f>UnitArms!B80</f>
        <v>3044D</v>
      </c>
      <c r="D80">
        <f>UnitArms!C80</f>
        <v>100</v>
      </c>
      <c r="E80" s="4" t="s">
        <v>262</v>
      </c>
      <c r="F80" s="4">
        <v>40</v>
      </c>
      <c r="G80">
        <f>UnitArms!AI80</f>
        <v>0</v>
      </c>
      <c r="H80" s="4">
        <v>0</v>
      </c>
      <c r="I80">
        <f>UnitArms!AJ80</f>
        <v>0</v>
      </c>
      <c r="J80">
        <f>UnitArms!AK80</f>
        <v>1</v>
      </c>
      <c r="K80" s="4">
        <v>0</v>
      </c>
      <c r="L80" s="4">
        <v>0</v>
      </c>
      <c r="M80" s="4">
        <v>0</v>
      </c>
      <c r="N80" s="4">
        <v>0</v>
      </c>
      <c r="O80" s="4">
        <v>0</v>
      </c>
      <c r="P80" s="4">
        <v>0</v>
      </c>
      <c r="Q80" s="4">
        <v>0</v>
      </c>
      <c r="R80" s="4">
        <v>0</v>
      </c>
      <c r="S80" s="4">
        <v>-1</v>
      </c>
      <c r="T80" s="4">
        <v>0</v>
      </c>
      <c r="U80" s="4">
        <v>0</v>
      </c>
      <c r="V80" s="4">
        <v>0</v>
      </c>
      <c r="W80">
        <f>UnitArms!M80</f>
        <v>-1</v>
      </c>
      <c r="X80">
        <f>UnitArms!E80</f>
        <v>3</v>
      </c>
      <c r="Y80" s="1" t="str">
        <f>UnitArms!F80</f>
        <v>00010000</v>
      </c>
      <c r="Z80" s="4">
        <v>0</v>
      </c>
      <c r="AA80" s="4">
        <v>0</v>
      </c>
      <c r="AB80">
        <f>UnitArms!AB80</f>
        <v>180</v>
      </c>
      <c r="AC80">
        <f>UnitArms!AE80</f>
        <v>0</v>
      </c>
      <c r="AD80">
        <f>UnitArms!AF80</f>
        <v>0</v>
      </c>
      <c r="AE80">
        <f>UnitArms!AG80</f>
        <v>0</v>
      </c>
      <c r="AF80">
        <f>UnitArms!AH80</f>
        <v>0</v>
      </c>
      <c r="AG80">
        <f>UnitArms!Y80</f>
        <v>99</v>
      </c>
      <c r="AH80">
        <f>UnitArms!AC80</f>
        <v>0</v>
      </c>
      <c r="AI80" s="4">
        <v>0</v>
      </c>
      <c r="AJ80" s="4">
        <v>0</v>
      </c>
      <c r="AK80" s="4">
        <v>0</v>
      </c>
      <c r="AL80" s="4">
        <v>0</v>
      </c>
      <c r="AM80" s="4">
        <v>0</v>
      </c>
      <c r="AN80" s="4">
        <v>0</v>
      </c>
      <c r="AO80">
        <f>UnitArms!L80</f>
        <v>100</v>
      </c>
      <c r="AP80">
        <f>UnitArms!N80</f>
        <v>2</v>
      </c>
      <c r="AQ80">
        <f>UnitArms!P80</f>
        <v>-1</v>
      </c>
      <c r="AR80">
        <f>UnitArms!O80</f>
        <v>100</v>
      </c>
      <c r="AS80">
        <f>UnitArms!Q80</f>
        <v>-1</v>
      </c>
      <c r="AT80" s="4">
        <v>0</v>
      </c>
      <c r="AU80" s="4">
        <v>0</v>
      </c>
      <c r="AV80">
        <f>UnitArms!AL80</f>
        <v>1</v>
      </c>
      <c r="AW80">
        <f>UnitArms!AZ80</f>
        <v>-1</v>
      </c>
      <c r="AX80">
        <f>UnitArms!BA80</f>
        <v>2</v>
      </c>
      <c r="AY80">
        <f>UnitArms!T80</f>
        <v>0</v>
      </c>
      <c r="AZ80">
        <f>UnitArms!U80</f>
        <v>1700</v>
      </c>
      <c r="BA80">
        <f>UnitArms!H80</f>
        <v>1</v>
      </c>
      <c r="BB80">
        <f>UnitArms!W80</f>
        <v>200</v>
      </c>
      <c r="BC80">
        <f>UnitArms!X80</f>
        <v>300</v>
      </c>
      <c r="BD80">
        <f>UnitArms!G80</f>
        <v>4</v>
      </c>
      <c r="BE80">
        <f>UnitArms!I80</f>
        <v>1</v>
      </c>
      <c r="BF80">
        <f>UnitArms!AP80</f>
        <v>1</v>
      </c>
      <c r="BG80" s="4">
        <v>0</v>
      </c>
    </row>
    <row r="81" spans="1:59" x14ac:dyDescent="0.3">
      <c r="A81" t="str">
        <f>UnitArms!A81</f>
        <v>unar079</v>
      </c>
      <c r="B81" t="str">
        <f>UnitArms!D81</f>
        <v>NotUsed</v>
      </c>
      <c r="C81" s="1" t="str">
        <f>UnitArms!B81</f>
        <v>3044E</v>
      </c>
      <c r="D81">
        <f>UnitArms!C81</f>
        <v>100</v>
      </c>
      <c r="E81" s="4" t="s">
        <v>262</v>
      </c>
      <c r="F81" s="4">
        <v>40</v>
      </c>
      <c r="G81">
        <f>UnitArms!AI81</f>
        <v>0</v>
      </c>
      <c r="H81" s="4">
        <v>0</v>
      </c>
      <c r="I81">
        <f>UnitArms!AJ81</f>
        <v>0</v>
      </c>
      <c r="J81">
        <f>UnitArms!AK81</f>
        <v>1</v>
      </c>
      <c r="K81" s="4">
        <v>0</v>
      </c>
      <c r="L81" s="4">
        <v>0</v>
      </c>
      <c r="M81" s="4">
        <v>0</v>
      </c>
      <c r="N81" s="4">
        <v>0</v>
      </c>
      <c r="O81" s="4">
        <v>0</v>
      </c>
      <c r="P81" s="4">
        <v>0</v>
      </c>
      <c r="Q81" s="4">
        <v>0</v>
      </c>
      <c r="R81" s="4">
        <v>0</v>
      </c>
      <c r="S81" s="4">
        <v>-1</v>
      </c>
      <c r="T81" s="4">
        <v>0</v>
      </c>
      <c r="U81" s="4">
        <v>0</v>
      </c>
      <c r="V81" s="4">
        <v>0</v>
      </c>
      <c r="W81">
        <f>UnitArms!M81</f>
        <v>-1</v>
      </c>
      <c r="X81">
        <f>UnitArms!E81</f>
        <v>3</v>
      </c>
      <c r="Y81" s="1" t="str">
        <f>UnitArms!F81</f>
        <v>00010000</v>
      </c>
      <c r="Z81" s="4">
        <v>0</v>
      </c>
      <c r="AA81" s="4">
        <v>0</v>
      </c>
      <c r="AB81">
        <f>UnitArms!AB81</f>
        <v>180</v>
      </c>
      <c r="AC81">
        <f>UnitArms!AE81</f>
        <v>0</v>
      </c>
      <c r="AD81">
        <f>UnitArms!AF81</f>
        <v>0</v>
      </c>
      <c r="AE81">
        <f>UnitArms!AG81</f>
        <v>0</v>
      </c>
      <c r="AF81">
        <f>UnitArms!AH81</f>
        <v>0</v>
      </c>
      <c r="AG81">
        <f>UnitArms!Y81</f>
        <v>99</v>
      </c>
      <c r="AH81">
        <f>UnitArms!AC81</f>
        <v>0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">
        <v>0</v>
      </c>
      <c r="AO81">
        <f>UnitArms!L81</f>
        <v>100</v>
      </c>
      <c r="AP81">
        <f>UnitArms!N81</f>
        <v>2</v>
      </c>
      <c r="AQ81">
        <f>UnitArms!P81</f>
        <v>-1</v>
      </c>
      <c r="AR81">
        <f>UnitArms!O81</f>
        <v>100</v>
      </c>
      <c r="AS81">
        <f>UnitArms!Q81</f>
        <v>-1</v>
      </c>
      <c r="AT81" s="4">
        <v>0</v>
      </c>
      <c r="AU81" s="4">
        <v>0</v>
      </c>
      <c r="AV81">
        <f>UnitArms!AL81</f>
        <v>1</v>
      </c>
      <c r="AW81">
        <f>UnitArms!AZ81</f>
        <v>-1</v>
      </c>
      <c r="AX81">
        <f>UnitArms!BA81</f>
        <v>2</v>
      </c>
      <c r="AY81">
        <f>UnitArms!T81</f>
        <v>0</v>
      </c>
      <c r="AZ81">
        <f>UnitArms!U81</f>
        <v>1700</v>
      </c>
      <c r="BA81">
        <f>UnitArms!H81</f>
        <v>1</v>
      </c>
      <c r="BB81">
        <f>UnitArms!W81</f>
        <v>100</v>
      </c>
      <c r="BC81">
        <f>UnitArms!X81</f>
        <v>200</v>
      </c>
      <c r="BD81">
        <f>UnitArms!G81</f>
        <v>4</v>
      </c>
      <c r="BE81">
        <f>UnitArms!I81</f>
        <v>1</v>
      </c>
      <c r="BF81">
        <f>UnitArms!AP81</f>
        <v>1</v>
      </c>
      <c r="BG81" s="4">
        <v>0</v>
      </c>
    </row>
    <row r="82" spans="1:59" x14ac:dyDescent="0.3">
      <c r="A82" t="str">
        <f>UnitArms!A82</f>
        <v>unar080</v>
      </c>
      <c r="B82" t="str">
        <f>UnitArms!D82</f>
        <v>NotUsed</v>
      </c>
      <c r="C82" s="1" t="str">
        <f>UnitArms!B82</f>
        <v>3044F</v>
      </c>
      <c r="D82">
        <f>UnitArms!C82</f>
        <v>100</v>
      </c>
      <c r="E82" s="4" t="s">
        <v>262</v>
      </c>
      <c r="F82" s="4">
        <v>40</v>
      </c>
      <c r="G82">
        <f>UnitArms!AI82</f>
        <v>0</v>
      </c>
      <c r="H82" s="4">
        <v>0</v>
      </c>
      <c r="I82">
        <f>UnitArms!AJ82</f>
        <v>0</v>
      </c>
      <c r="J82">
        <f>UnitArms!AK82</f>
        <v>1</v>
      </c>
      <c r="K82" s="4">
        <v>0</v>
      </c>
      <c r="L82" s="4">
        <v>0</v>
      </c>
      <c r="M82" s="4">
        <v>0</v>
      </c>
      <c r="N82" s="4">
        <v>0</v>
      </c>
      <c r="O82" s="4">
        <v>0</v>
      </c>
      <c r="P82" s="4">
        <v>0</v>
      </c>
      <c r="Q82" s="4">
        <v>0</v>
      </c>
      <c r="R82" s="4">
        <v>0</v>
      </c>
      <c r="S82" s="4">
        <v>-1</v>
      </c>
      <c r="T82" s="4">
        <v>0</v>
      </c>
      <c r="U82" s="4">
        <v>0</v>
      </c>
      <c r="V82" s="4">
        <v>0</v>
      </c>
      <c r="W82">
        <f>UnitArms!M82</f>
        <v>-1</v>
      </c>
      <c r="X82">
        <f>UnitArms!E82</f>
        <v>3</v>
      </c>
      <c r="Y82" s="1" t="str">
        <f>UnitArms!F82</f>
        <v>00010000</v>
      </c>
      <c r="Z82" s="4">
        <v>0</v>
      </c>
      <c r="AA82" s="4">
        <v>0</v>
      </c>
      <c r="AB82">
        <f>UnitArms!AB82</f>
        <v>180</v>
      </c>
      <c r="AC82">
        <f>UnitArms!AE82</f>
        <v>0</v>
      </c>
      <c r="AD82">
        <f>UnitArms!AF82</f>
        <v>0</v>
      </c>
      <c r="AE82">
        <f>UnitArms!AG82</f>
        <v>0</v>
      </c>
      <c r="AF82">
        <f>UnitArms!AH82</f>
        <v>0</v>
      </c>
      <c r="AG82">
        <f>UnitArms!Y82</f>
        <v>99</v>
      </c>
      <c r="AH82">
        <f>UnitArms!AC82</f>
        <v>0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">
        <v>0</v>
      </c>
      <c r="AO82">
        <f>UnitArms!L82</f>
        <v>100</v>
      </c>
      <c r="AP82">
        <f>UnitArms!N82</f>
        <v>2</v>
      </c>
      <c r="AQ82">
        <f>UnitArms!P82</f>
        <v>-1</v>
      </c>
      <c r="AR82">
        <f>UnitArms!O82</f>
        <v>100</v>
      </c>
      <c r="AS82">
        <f>UnitArms!Q82</f>
        <v>-1</v>
      </c>
      <c r="AT82" s="4">
        <v>0</v>
      </c>
      <c r="AU82" s="4">
        <v>0</v>
      </c>
      <c r="AV82">
        <f>UnitArms!AL82</f>
        <v>1</v>
      </c>
      <c r="AW82">
        <f>UnitArms!AZ82</f>
        <v>-1</v>
      </c>
      <c r="AX82">
        <f>UnitArms!BA82</f>
        <v>2</v>
      </c>
      <c r="AY82">
        <f>UnitArms!T82</f>
        <v>0</v>
      </c>
      <c r="AZ82">
        <f>UnitArms!U82</f>
        <v>1700</v>
      </c>
      <c r="BA82">
        <f>UnitArms!H82</f>
        <v>1</v>
      </c>
      <c r="BB82">
        <f>UnitArms!W82</f>
        <v>200</v>
      </c>
      <c r="BC82">
        <f>UnitArms!X82</f>
        <v>300</v>
      </c>
      <c r="BD82">
        <f>UnitArms!G82</f>
        <v>4</v>
      </c>
      <c r="BE82">
        <f>UnitArms!I82</f>
        <v>1</v>
      </c>
      <c r="BF82">
        <f>UnitArms!AP82</f>
        <v>1</v>
      </c>
      <c r="BG82" s="4">
        <v>0</v>
      </c>
    </row>
  </sheetData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83"/>
  <sheetViews>
    <sheetView workbookViewId="0">
      <pane ySplit="2" topLeftCell="A3" activePane="bottomLeft" state="frozen"/>
      <selection pane="bottomLeft"/>
    </sheetView>
  </sheetViews>
  <sheetFormatPr defaultRowHeight="14.4" x14ac:dyDescent="0.3"/>
  <sheetData>
    <row r="1" spans="1:3" x14ac:dyDescent="0.3">
      <c r="A1" s="2" t="s">
        <v>1</v>
      </c>
      <c r="B1" s="2" t="s">
        <v>217</v>
      </c>
      <c r="C1" s="2" t="s">
        <v>3</v>
      </c>
    </row>
    <row r="2" spans="1:3" x14ac:dyDescent="0.3">
      <c r="A2" s="2" t="s">
        <v>200</v>
      </c>
      <c r="B2" s="2" t="s">
        <v>218</v>
      </c>
      <c r="C2" s="2"/>
    </row>
    <row r="3" spans="1:3" x14ac:dyDescent="0.3">
      <c r="A3" s="4">
        <v>0</v>
      </c>
      <c r="B3" s="4" t="s">
        <v>255</v>
      </c>
      <c r="C3" s="2"/>
    </row>
    <row r="4" spans="1:3" x14ac:dyDescent="0.3">
      <c r="A4" s="4">
        <v>1</v>
      </c>
      <c r="B4" s="4" t="s">
        <v>256</v>
      </c>
      <c r="C4" s="2"/>
    </row>
    <row r="5" spans="1:3" x14ac:dyDescent="0.3">
      <c r="A5" s="4">
        <v>2</v>
      </c>
      <c r="B5" s="4" t="s">
        <v>257</v>
      </c>
      <c r="C5" s="2"/>
    </row>
    <row r="6" spans="1:3" x14ac:dyDescent="0.3">
      <c r="A6" s="4">
        <v>3</v>
      </c>
      <c r="B6" s="4" t="s">
        <v>258</v>
      </c>
      <c r="C6" s="2"/>
    </row>
    <row r="7" spans="1:3" x14ac:dyDescent="0.3">
      <c r="A7" s="4">
        <v>4</v>
      </c>
      <c r="B7" s="4" t="s">
        <v>258</v>
      </c>
      <c r="C7" s="2"/>
    </row>
    <row r="8" spans="1:3" x14ac:dyDescent="0.3">
      <c r="A8" s="4">
        <v>5</v>
      </c>
      <c r="B8" s="4" t="s">
        <v>258</v>
      </c>
      <c r="C8" s="2"/>
    </row>
    <row r="9" spans="1:3" x14ac:dyDescent="0.3">
      <c r="A9" s="4">
        <v>6</v>
      </c>
      <c r="B9" s="4" t="s">
        <v>258</v>
      </c>
      <c r="C9" s="2"/>
    </row>
    <row r="10" spans="1:3" x14ac:dyDescent="0.3">
      <c r="A10" s="4">
        <v>7</v>
      </c>
      <c r="B10" s="4" t="s">
        <v>258</v>
      </c>
      <c r="C10" s="2"/>
    </row>
    <row r="11" spans="1:3" x14ac:dyDescent="0.3">
      <c r="A11" s="4">
        <v>8</v>
      </c>
      <c r="B11" s="4" t="s">
        <v>258</v>
      </c>
      <c r="C11" s="2"/>
    </row>
    <row r="12" spans="1:3" x14ac:dyDescent="0.3">
      <c r="A12" s="4">
        <v>9</v>
      </c>
      <c r="B12" s="4" t="s">
        <v>258</v>
      </c>
      <c r="C12" s="2"/>
    </row>
    <row r="13" spans="1:3" x14ac:dyDescent="0.3">
      <c r="A13" s="4">
        <v>10</v>
      </c>
      <c r="B13" s="4" t="s">
        <v>258</v>
      </c>
      <c r="C13" s="2"/>
    </row>
    <row r="14" spans="1:3" x14ac:dyDescent="0.3">
      <c r="A14" s="4">
        <v>11</v>
      </c>
      <c r="B14" s="4" t="s">
        <v>258</v>
      </c>
      <c r="C14" s="2"/>
    </row>
    <row r="15" spans="1:3" x14ac:dyDescent="0.3">
      <c r="A15" s="4">
        <v>12</v>
      </c>
      <c r="B15" s="4" t="s">
        <v>258</v>
      </c>
      <c r="C15" s="2"/>
    </row>
    <row r="16" spans="1:3" x14ac:dyDescent="0.3">
      <c r="A16" s="4">
        <v>13</v>
      </c>
      <c r="B16" s="4" t="s">
        <v>258</v>
      </c>
      <c r="C16" s="2"/>
    </row>
    <row r="17" spans="1:3" x14ac:dyDescent="0.3">
      <c r="A17" s="4">
        <v>14</v>
      </c>
      <c r="B17" s="4" t="s">
        <v>258</v>
      </c>
      <c r="C17" s="2"/>
    </row>
    <row r="18" spans="1:3" x14ac:dyDescent="0.3">
      <c r="A18" s="4">
        <v>15</v>
      </c>
      <c r="B18" s="4" t="s">
        <v>258</v>
      </c>
      <c r="C18" s="2"/>
    </row>
    <row r="19" spans="1:3" x14ac:dyDescent="0.3">
      <c r="A19" s="4">
        <v>16</v>
      </c>
      <c r="B19" s="4" t="s">
        <v>258</v>
      </c>
      <c r="C19" s="2"/>
    </row>
    <row r="20" spans="1:3" x14ac:dyDescent="0.3">
      <c r="A20" s="4">
        <v>17</v>
      </c>
      <c r="B20" s="4" t="s">
        <v>258</v>
      </c>
      <c r="C20" s="2"/>
    </row>
    <row r="21" spans="1:3" x14ac:dyDescent="0.3">
      <c r="A21" s="4">
        <v>18</v>
      </c>
      <c r="B21" s="4" t="s">
        <v>258</v>
      </c>
      <c r="C21" s="2"/>
    </row>
    <row r="22" spans="1:3" x14ac:dyDescent="0.3">
      <c r="A22" s="4">
        <v>19</v>
      </c>
      <c r="B22" s="4" t="s">
        <v>258</v>
      </c>
      <c r="C22" s="2"/>
    </row>
    <row r="23" spans="1:3" x14ac:dyDescent="0.3">
      <c r="A23" s="4">
        <v>20</v>
      </c>
      <c r="B23" s="4" t="s">
        <v>259</v>
      </c>
      <c r="C23" s="2"/>
    </row>
    <row r="24" spans="1:3" x14ac:dyDescent="0.3">
      <c r="A24" s="4">
        <v>21</v>
      </c>
      <c r="B24" s="4" t="s">
        <v>260</v>
      </c>
      <c r="C24" s="2"/>
    </row>
    <row r="25" spans="1:3" x14ac:dyDescent="0.3">
      <c r="A25" s="4">
        <v>22</v>
      </c>
      <c r="B25" s="4" t="s">
        <v>261</v>
      </c>
      <c r="C25" s="2"/>
    </row>
    <row r="26" spans="1:3" x14ac:dyDescent="0.3">
      <c r="A26" s="4">
        <v>23</v>
      </c>
      <c r="B26" s="4" t="s">
        <v>258</v>
      </c>
      <c r="C26" s="2"/>
    </row>
    <row r="27" spans="1:3" x14ac:dyDescent="0.3">
      <c r="A27" s="4">
        <v>24</v>
      </c>
      <c r="B27" s="4" t="s">
        <v>258</v>
      </c>
      <c r="C27" s="2"/>
    </row>
    <row r="28" spans="1:3" x14ac:dyDescent="0.3">
      <c r="A28" s="4">
        <v>25</v>
      </c>
      <c r="B28" s="4" t="s">
        <v>258</v>
      </c>
      <c r="C28" s="2"/>
    </row>
    <row r="29" spans="1:3" x14ac:dyDescent="0.3">
      <c r="A29" s="4">
        <v>26</v>
      </c>
      <c r="B29" s="4" t="s">
        <v>258</v>
      </c>
      <c r="C29" s="2"/>
    </row>
    <row r="30" spans="1:3" x14ac:dyDescent="0.3">
      <c r="A30" s="4">
        <v>27</v>
      </c>
      <c r="B30" s="4" t="s">
        <v>258</v>
      </c>
      <c r="C30" s="2"/>
    </row>
    <row r="31" spans="1:3" x14ac:dyDescent="0.3">
      <c r="A31" s="4">
        <v>28</v>
      </c>
      <c r="B31" s="4" t="s">
        <v>258</v>
      </c>
      <c r="C31" s="2"/>
    </row>
    <row r="32" spans="1:3" x14ac:dyDescent="0.3">
      <c r="A32" s="4">
        <v>29</v>
      </c>
      <c r="B32" s="4" t="s">
        <v>258</v>
      </c>
      <c r="C32" s="2"/>
    </row>
    <row r="33" spans="1:3" x14ac:dyDescent="0.3">
      <c r="A33" s="4">
        <v>30</v>
      </c>
      <c r="B33" s="4" t="s">
        <v>258</v>
      </c>
      <c r="C33" s="2"/>
    </row>
    <row r="34" spans="1:3" x14ac:dyDescent="0.3">
      <c r="A34" s="4">
        <v>31</v>
      </c>
      <c r="B34" s="4" t="s">
        <v>258</v>
      </c>
      <c r="C34" s="2"/>
    </row>
    <row r="35" spans="1:3" x14ac:dyDescent="0.3">
      <c r="A35" s="4">
        <v>32</v>
      </c>
      <c r="B35" s="4" t="s">
        <v>258</v>
      </c>
      <c r="C35" s="2"/>
    </row>
    <row r="36" spans="1:3" x14ac:dyDescent="0.3">
      <c r="A36" s="4">
        <v>33</v>
      </c>
      <c r="B36" s="4" t="s">
        <v>258</v>
      </c>
      <c r="C36" s="2"/>
    </row>
    <row r="37" spans="1:3" x14ac:dyDescent="0.3">
      <c r="A37" s="4">
        <v>34</v>
      </c>
      <c r="B37" s="4" t="s">
        <v>258</v>
      </c>
      <c r="C37" s="2"/>
    </row>
    <row r="38" spans="1:3" x14ac:dyDescent="0.3">
      <c r="A38" s="4">
        <v>35</v>
      </c>
      <c r="B38" s="4" t="s">
        <v>258</v>
      </c>
      <c r="C38" s="2"/>
    </row>
    <row r="39" spans="1:3" x14ac:dyDescent="0.3">
      <c r="A39" s="4">
        <v>36</v>
      </c>
      <c r="B39" s="4" t="s">
        <v>258</v>
      </c>
      <c r="C39" s="2"/>
    </row>
    <row r="40" spans="1:3" x14ac:dyDescent="0.3">
      <c r="A40" s="4">
        <v>37</v>
      </c>
      <c r="B40" s="4" t="s">
        <v>258</v>
      </c>
      <c r="C40" s="2"/>
    </row>
    <row r="41" spans="1:3" x14ac:dyDescent="0.3">
      <c r="A41" s="4">
        <v>38</v>
      </c>
      <c r="B41" s="4" t="s">
        <v>258</v>
      </c>
      <c r="C41" s="2"/>
    </row>
    <row r="42" spans="1:3" x14ac:dyDescent="0.3">
      <c r="A42" s="4">
        <v>39</v>
      </c>
      <c r="B42" s="4" t="s">
        <v>258</v>
      </c>
      <c r="C42" s="2"/>
    </row>
    <row r="43" spans="1:3" x14ac:dyDescent="0.3">
      <c r="A43" s="4">
        <v>40</v>
      </c>
      <c r="B43" s="4" t="s">
        <v>258</v>
      </c>
      <c r="C43" s="2"/>
    </row>
    <row r="44" spans="1:3" x14ac:dyDescent="0.3">
      <c r="A44" s="4">
        <v>41</v>
      </c>
      <c r="B44" s="4" t="s">
        <v>258</v>
      </c>
      <c r="C44" s="2"/>
    </row>
    <row r="45" spans="1:3" x14ac:dyDescent="0.3">
      <c r="A45" s="4">
        <v>42</v>
      </c>
      <c r="B45" s="4" t="s">
        <v>258</v>
      </c>
      <c r="C45" s="2"/>
    </row>
    <row r="46" spans="1:3" x14ac:dyDescent="0.3">
      <c r="A46" s="4">
        <v>43</v>
      </c>
      <c r="B46" s="4" t="s">
        <v>258</v>
      </c>
      <c r="C46" s="2"/>
    </row>
    <row r="47" spans="1:3" x14ac:dyDescent="0.3">
      <c r="A47" s="4">
        <v>44</v>
      </c>
      <c r="B47" s="4" t="s">
        <v>258</v>
      </c>
      <c r="C47" s="2"/>
    </row>
    <row r="48" spans="1:3" x14ac:dyDescent="0.3">
      <c r="A48" s="4">
        <v>45</v>
      </c>
      <c r="B48" s="4" t="s">
        <v>258</v>
      </c>
      <c r="C48" s="2"/>
    </row>
    <row r="49" spans="1:3" x14ac:dyDescent="0.3">
      <c r="A49" s="4">
        <v>46</v>
      </c>
      <c r="B49" s="4" t="s">
        <v>258</v>
      </c>
      <c r="C49" s="2"/>
    </row>
    <row r="50" spans="1:3" x14ac:dyDescent="0.3">
      <c r="A50" s="4">
        <v>47</v>
      </c>
      <c r="B50" s="4" t="s">
        <v>258</v>
      </c>
      <c r="C50" s="2"/>
    </row>
    <row r="51" spans="1:3" x14ac:dyDescent="0.3">
      <c r="A51" s="4">
        <v>48</v>
      </c>
      <c r="B51" s="4" t="s">
        <v>258</v>
      </c>
      <c r="C51" s="2"/>
    </row>
    <row r="52" spans="1:3" x14ac:dyDescent="0.3">
      <c r="A52" s="4">
        <v>49</v>
      </c>
      <c r="B52" s="4" t="s">
        <v>258</v>
      </c>
      <c r="C52" s="2"/>
    </row>
    <row r="53" spans="1:3" x14ac:dyDescent="0.3">
      <c r="A53" s="4">
        <v>50</v>
      </c>
      <c r="B53" s="4" t="s">
        <v>258</v>
      </c>
      <c r="C53" s="2"/>
    </row>
    <row r="54" spans="1:3" x14ac:dyDescent="0.3">
      <c r="A54" s="4">
        <v>51</v>
      </c>
      <c r="B54" s="4" t="s">
        <v>258</v>
      </c>
      <c r="C54" s="2"/>
    </row>
    <row r="55" spans="1:3" x14ac:dyDescent="0.3">
      <c r="A55" s="4">
        <v>52</v>
      </c>
      <c r="B55" s="4" t="s">
        <v>258</v>
      </c>
      <c r="C55" s="2"/>
    </row>
    <row r="56" spans="1:3" x14ac:dyDescent="0.3">
      <c r="A56" s="4">
        <v>53</v>
      </c>
      <c r="B56" s="4" t="s">
        <v>258</v>
      </c>
      <c r="C56" s="2"/>
    </row>
    <row r="57" spans="1:3" x14ac:dyDescent="0.3">
      <c r="A57" s="4">
        <v>54</v>
      </c>
      <c r="B57" s="4" t="s">
        <v>258</v>
      </c>
      <c r="C57" s="2"/>
    </row>
    <row r="58" spans="1:3" x14ac:dyDescent="0.3">
      <c r="A58" s="4">
        <v>55</v>
      </c>
      <c r="B58" s="4" t="s">
        <v>258</v>
      </c>
      <c r="C58" s="2"/>
    </row>
    <row r="59" spans="1:3" x14ac:dyDescent="0.3">
      <c r="A59" s="4">
        <v>56</v>
      </c>
      <c r="B59" s="4" t="s">
        <v>258</v>
      </c>
      <c r="C59" s="2"/>
    </row>
    <row r="60" spans="1:3" x14ac:dyDescent="0.3">
      <c r="A60" s="4">
        <v>57</v>
      </c>
      <c r="B60" s="4" t="s">
        <v>258</v>
      </c>
      <c r="C60" s="2"/>
    </row>
    <row r="61" spans="1:3" x14ac:dyDescent="0.3">
      <c r="A61" s="4">
        <v>58</v>
      </c>
      <c r="B61" s="4" t="s">
        <v>258</v>
      </c>
      <c r="C61" s="2"/>
    </row>
    <row r="62" spans="1:3" x14ac:dyDescent="0.3">
      <c r="A62" s="4">
        <v>59</v>
      </c>
      <c r="B62" s="4" t="s">
        <v>258</v>
      </c>
      <c r="C62" s="2"/>
    </row>
    <row r="63" spans="1:3" x14ac:dyDescent="0.3">
      <c r="A63" s="4">
        <v>60</v>
      </c>
      <c r="B63" s="4" t="s">
        <v>258</v>
      </c>
      <c r="C63" s="2"/>
    </row>
    <row r="64" spans="1:3" x14ac:dyDescent="0.3">
      <c r="A64" s="4">
        <v>61</v>
      </c>
      <c r="B64" s="4" t="s">
        <v>258</v>
      </c>
      <c r="C64" s="2"/>
    </row>
    <row r="65" spans="1:3" x14ac:dyDescent="0.3">
      <c r="A65" s="4">
        <v>62</v>
      </c>
      <c r="B65" s="4" t="s">
        <v>258</v>
      </c>
      <c r="C65" s="2"/>
    </row>
    <row r="66" spans="1:3" x14ac:dyDescent="0.3">
      <c r="A66" s="4">
        <v>63</v>
      </c>
      <c r="B66" s="4" t="s">
        <v>258</v>
      </c>
      <c r="C66" s="2"/>
    </row>
    <row r="67" spans="1:3" x14ac:dyDescent="0.3">
      <c r="A67" s="4">
        <v>64</v>
      </c>
      <c r="B67" s="4" t="s">
        <v>258</v>
      </c>
      <c r="C67" s="2"/>
    </row>
    <row r="68" spans="1:3" x14ac:dyDescent="0.3">
      <c r="A68" s="4">
        <v>65</v>
      </c>
      <c r="B68" s="4" t="s">
        <v>258</v>
      </c>
      <c r="C68" s="2"/>
    </row>
    <row r="69" spans="1:3" x14ac:dyDescent="0.3">
      <c r="A69" s="4">
        <v>66</v>
      </c>
      <c r="B69" s="4" t="s">
        <v>258</v>
      </c>
      <c r="C69" s="2"/>
    </row>
    <row r="70" spans="1:3" x14ac:dyDescent="0.3">
      <c r="A70" s="4">
        <v>67</v>
      </c>
      <c r="B70" s="4" t="s">
        <v>258</v>
      </c>
      <c r="C70" s="2"/>
    </row>
    <row r="71" spans="1:3" x14ac:dyDescent="0.3">
      <c r="A71" s="4">
        <v>68</v>
      </c>
      <c r="B71" s="4" t="s">
        <v>258</v>
      </c>
      <c r="C71" s="2"/>
    </row>
    <row r="72" spans="1:3" x14ac:dyDescent="0.3">
      <c r="A72" s="4">
        <v>69</v>
      </c>
      <c r="B72" s="4" t="s">
        <v>258</v>
      </c>
      <c r="C72" s="2"/>
    </row>
    <row r="73" spans="1:3" x14ac:dyDescent="0.3">
      <c r="A73" s="4">
        <v>70</v>
      </c>
      <c r="B73" s="4" t="s">
        <v>258</v>
      </c>
      <c r="C73" s="2"/>
    </row>
    <row r="74" spans="1:3" x14ac:dyDescent="0.3">
      <c r="A74" s="4">
        <v>71</v>
      </c>
      <c r="B74" s="4" t="s">
        <v>258</v>
      </c>
      <c r="C74" s="2"/>
    </row>
    <row r="75" spans="1:3" x14ac:dyDescent="0.3">
      <c r="A75" s="4">
        <v>72</v>
      </c>
      <c r="B75" s="4" t="s">
        <v>258</v>
      </c>
      <c r="C75" s="2"/>
    </row>
    <row r="76" spans="1:3" x14ac:dyDescent="0.3">
      <c r="A76" s="4">
        <v>73</v>
      </c>
      <c r="B76" s="4" t="s">
        <v>258</v>
      </c>
      <c r="C76" s="2"/>
    </row>
    <row r="77" spans="1:3" x14ac:dyDescent="0.3">
      <c r="A77" s="4">
        <v>74</v>
      </c>
      <c r="B77" s="4" t="s">
        <v>258</v>
      </c>
      <c r="C77" s="2"/>
    </row>
    <row r="78" spans="1:3" x14ac:dyDescent="0.3">
      <c r="A78" s="4">
        <v>75</v>
      </c>
      <c r="B78" s="4" t="s">
        <v>258</v>
      </c>
      <c r="C78" s="2"/>
    </row>
    <row r="79" spans="1:3" x14ac:dyDescent="0.3">
      <c r="A79" s="4">
        <v>76</v>
      </c>
      <c r="B79" s="4" t="s">
        <v>258</v>
      </c>
      <c r="C79" s="2"/>
    </row>
    <row r="80" spans="1:3" x14ac:dyDescent="0.3">
      <c r="A80" s="4">
        <v>77</v>
      </c>
      <c r="B80" s="4" t="s">
        <v>258</v>
      </c>
      <c r="C80" s="2"/>
    </row>
    <row r="81" spans="1:3" x14ac:dyDescent="0.3">
      <c r="A81" s="4">
        <v>78</v>
      </c>
      <c r="B81" s="4" t="s">
        <v>258</v>
      </c>
      <c r="C81" s="2"/>
    </row>
    <row r="82" spans="1:3" x14ac:dyDescent="0.3">
      <c r="A82" s="4">
        <v>79</v>
      </c>
      <c r="B82" s="4" t="s">
        <v>258</v>
      </c>
      <c r="C82" s="2"/>
    </row>
    <row r="83" spans="1:3" x14ac:dyDescent="0.3">
      <c r="A83" s="4">
        <v>80</v>
      </c>
      <c r="B83" s="4" t="s">
        <v>270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UnitArms</vt:lpstr>
      <vt:lpstr>40decrypt</vt:lpstr>
      <vt:lpstr>40desc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2025-10-30T22:35:31Z</dcterms:modified>
</cp:coreProperties>
</file>