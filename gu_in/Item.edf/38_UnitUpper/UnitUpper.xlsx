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BED01DE3-A94E-47AC-B363-477D003E1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tUpper" sheetId="1" r:id="rId1"/>
    <sheet name="38decrypt" sheetId="3" r:id="rId2"/>
    <sheet name="38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82" i="1" l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X82" i="3"/>
  <c r="AW82" i="3"/>
  <c r="AV82" i="3"/>
  <c r="AS82" i="3"/>
  <c r="AR82" i="3"/>
  <c r="AQ82" i="3"/>
  <c r="AP82" i="3"/>
  <c r="AO82" i="3"/>
  <c r="AH82" i="3"/>
  <c r="AG82" i="3"/>
  <c r="AF82" i="3"/>
  <c r="AE82" i="3"/>
  <c r="AD82" i="3"/>
  <c r="AC82" i="3"/>
  <c r="AB82" i="3"/>
  <c r="Y82" i="3"/>
  <c r="X82" i="3"/>
  <c r="W82" i="3"/>
  <c r="J82" i="3"/>
  <c r="I82" i="3"/>
  <c r="G82" i="3"/>
  <c r="D82" i="3"/>
  <c r="C82" i="3"/>
  <c r="B82" i="3"/>
  <c r="A82" i="3"/>
  <c r="AX81" i="3"/>
  <c r="AW81" i="3"/>
  <c r="AV81" i="3"/>
  <c r="AS81" i="3"/>
  <c r="AR81" i="3"/>
  <c r="AQ81" i="3"/>
  <c r="AP81" i="3"/>
  <c r="AO81" i="3"/>
  <c r="AH81" i="3"/>
  <c r="AG81" i="3"/>
  <c r="AF81" i="3"/>
  <c r="AE81" i="3"/>
  <c r="AD81" i="3"/>
  <c r="AC81" i="3"/>
  <c r="AB81" i="3"/>
  <c r="Y81" i="3"/>
  <c r="X81" i="3"/>
  <c r="W81" i="3"/>
  <c r="J81" i="3"/>
  <c r="I81" i="3"/>
  <c r="G81" i="3"/>
  <c r="D81" i="3"/>
  <c r="C81" i="3"/>
  <c r="B81" i="3"/>
  <c r="A81" i="3"/>
  <c r="AX80" i="3"/>
  <c r="AW80" i="3"/>
  <c r="AV80" i="3"/>
  <c r="AS80" i="3"/>
  <c r="AR80" i="3"/>
  <c r="AQ80" i="3"/>
  <c r="AP80" i="3"/>
  <c r="AO80" i="3"/>
  <c r="AH80" i="3"/>
  <c r="AG80" i="3"/>
  <c r="AF80" i="3"/>
  <c r="AE80" i="3"/>
  <c r="AD80" i="3"/>
  <c r="AC80" i="3"/>
  <c r="AB80" i="3"/>
  <c r="Y80" i="3"/>
  <c r="X80" i="3"/>
  <c r="W80" i="3"/>
  <c r="J80" i="3"/>
  <c r="I80" i="3"/>
  <c r="G80" i="3"/>
  <c r="D80" i="3"/>
  <c r="C80" i="3"/>
  <c r="B80" i="3"/>
  <c r="A80" i="3"/>
  <c r="AX79" i="3"/>
  <c r="AW79" i="3"/>
  <c r="AV79" i="3"/>
  <c r="AS79" i="3"/>
  <c r="AR79" i="3"/>
  <c r="AQ79" i="3"/>
  <c r="AP79" i="3"/>
  <c r="AO79" i="3"/>
  <c r="AH79" i="3"/>
  <c r="AG79" i="3"/>
  <c r="AF79" i="3"/>
  <c r="AE79" i="3"/>
  <c r="AD79" i="3"/>
  <c r="AC79" i="3"/>
  <c r="AB79" i="3"/>
  <c r="Y79" i="3"/>
  <c r="X79" i="3"/>
  <c r="W79" i="3"/>
  <c r="J79" i="3"/>
  <c r="I79" i="3"/>
  <c r="G79" i="3"/>
  <c r="D79" i="3"/>
  <c r="C79" i="3"/>
  <c r="B79" i="3"/>
  <c r="A79" i="3"/>
  <c r="AX78" i="3"/>
  <c r="AW78" i="3"/>
  <c r="AV78" i="3"/>
  <c r="AS78" i="3"/>
  <c r="AR78" i="3"/>
  <c r="AQ78" i="3"/>
  <c r="AP78" i="3"/>
  <c r="AO78" i="3"/>
  <c r="AH78" i="3"/>
  <c r="AG78" i="3"/>
  <c r="AF78" i="3"/>
  <c r="AE78" i="3"/>
  <c r="AD78" i="3"/>
  <c r="AC78" i="3"/>
  <c r="AB78" i="3"/>
  <c r="Y78" i="3"/>
  <c r="X78" i="3"/>
  <c r="W78" i="3"/>
  <c r="J78" i="3"/>
  <c r="I78" i="3"/>
  <c r="G78" i="3"/>
  <c r="D78" i="3"/>
  <c r="C78" i="3"/>
  <c r="B78" i="3"/>
  <c r="A78" i="3"/>
  <c r="AX77" i="3"/>
  <c r="AW77" i="3"/>
  <c r="AV77" i="3"/>
  <c r="AS77" i="3"/>
  <c r="AR77" i="3"/>
  <c r="AQ77" i="3"/>
  <c r="AP77" i="3"/>
  <c r="AO77" i="3"/>
  <c r="AH77" i="3"/>
  <c r="AG77" i="3"/>
  <c r="AF77" i="3"/>
  <c r="AE77" i="3"/>
  <c r="AD77" i="3"/>
  <c r="AC77" i="3"/>
  <c r="AB77" i="3"/>
  <c r="Y77" i="3"/>
  <c r="X77" i="3"/>
  <c r="W77" i="3"/>
  <c r="J77" i="3"/>
  <c r="I77" i="3"/>
  <c r="G77" i="3"/>
  <c r="D77" i="3"/>
  <c r="C77" i="3"/>
  <c r="B77" i="3"/>
  <c r="A77" i="3"/>
  <c r="AX76" i="3"/>
  <c r="AW76" i="3"/>
  <c r="AV76" i="3"/>
  <c r="AS76" i="3"/>
  <c r="AR76" i="3"/>
  <c r="AQ76" i="3"/>
  <c r="AP76" i="3"/>
  <c r="AO76" i="3"/>
  <c r="AH76" i="3"/>
  <c r="AG76" i="3"/>
  <c r="AF76" i="3"/>
  <c r="AE76" i="3"/>
  <c r="AD76" i="3"/>
  <c r="AC76" i="3"/>
  <c r="AB76" i="3"/>
  <c r="Y76" i="3"/>
  <c r="X76" i="3"/>
  <c r="W76" i="3"/>
  <c r="J76" i="3"/>
  <c r="I76" i="3"/>
  <c r="G76" i="3"/>
  <c r="D76" i="3"/>
  <c r="C76" i="3"/>
  <c r="B76" i="3"/>
  <c r="A76" i="3"/>
  <c r="AX75" i="3"/>
  <c r="AW75" i="3"/>
  <c r="AV75" i="3"/>
  <c r="AS75" i="3"/>
  <c r="AR75" i="3"/>
  <c r="AQ75" i="3"/>
  <c r="AP75" i="3"/>
  <c r="AO75" i="3"/>
  <c r="AH75" i="3"/>
  <c r="AG75" i="3"/>
  <c r="AF75" i="3"/>
  <c r="AE75" i="3"/>
  <c r="AD75" i="3"/>
  <c r="AC75" i="3"/>
  <c r="AB75" i="3"/>
  <c r="Y75" i="3"/>
  <c r="X75" i="3"/>
  <c r="W75" i="3"/>
  <c r="J75" i="3"/>
  <c r="I75" i="3"/>
  <c r="G75" i="3"/>
  <c r="D75" i="3"/>
  <c r="C75" i="3"/>
  <c r="B75" i="3"/>
  <c r="A75" i="3"/>
  <c r="AX74" i="3"/>
  <c r="AW74" i="3"/>
  <c r="AV74" i="3"/>
  <c r="AS74" i="3"/>
  <c r="AR74" i="3"/>
  <c r="AQ74" i="3"/>
  <c r="AP74" i="3"/>
  <c r="AO74" i="3"/>
  <c r="AH74" i="3"/>
  <c r="AG74" i="3"/>
  <c r="AF74" i="3"/>
  <c r="AE74" i="3"/>
  <c r="AD74" i="3"/>
  <c r="AC74" i="3"/>
  <c r="AB74" i="3"/>
  <c r="Y74" i="3"/>
  <c r="X74" i="3"/>
  <c r="W74" i="3"/>
  <c r="J74" i="3"/>
  <c r="I74" i="3"/>
  <c r="G74" i="3"/>
  <c r="D74" i="3"/>
  <c r="C74" i="3"/>
  <c r="B74" i="3"/>
  <c r="A74" i="3"/>
  <c r="AX73" i="3"/>
  <c r="AW73" i="3"/>
  <c r="AV73" i="3"/>
  <c r="AS73" i="3"/>
  <c r="AR73" i="3"/>
  <c r="AQ73" i="3"/>
  <c r="AP73" i="3"/>
  <c r="AO73" i="3"/>
  <c r="AH73" i="3"/>
  <c r="AG73" i="3"/>
  <c r="AF73" i="3"/>
  <c r="AE73" i="3"/>
  <c r="AD73" i="3"/>
  <c r="AC73" i="3"/>
  <c r="AB73" i="3"/>
  <c r="Y73" i="3"/>
  <c r="X73" i="3"/>
  <c r="W73" i="3"/>
  <c r="J73" i="3"/>
  <c r="I73" i="3"/>
  <c r="G73" i="3"/>
  <c r="D73" i="3"/>
  <c r="C73" i="3"/>
  <c r="B73" i="3"/>
  <c r="A73" i="3"/>
  <c r="AX72" i="3"/>
  <c r="AW72" i="3"/>
  <c r="AV72" i="3"/>
  <c r="AS72" i="3"/>
  <c r="AR72" i="3"/>
  <c r="AQ72" i="3"/>
  <c r="AP72" i="3"/>
  <c r="AO72" i="3"/>
  <c r="AH72" i="3"/>
  <c r="AG72" i="3"/>
  <c r="AF72" i="3"/>
  <c r="AE72" i="3"/>
  <c r="AD72" i="3"/>
  <c r="AC72" i="3"/>
  <c r="AB72" i="3"/>
  <c r="Y72" i="3"/>
  <c r="X72" i="3"/>
  <c r="W72" i="3"/>
  <c r="J72" i="3"/>
  <c r="I72" i="3"/>
  <c r="G72" i="3"/>
  <c r="D72" i="3"/>
  <c r="C72" i="3"/>
  <c r="B72" i="3"/>
  <c r="A72" i="3"/>
  <c r="AX71" i="3"/>
  <c r="AW71" i="3"/>
  <c r="AV71" i="3"/>
  <c r="AS71" i="3"/>
  <c r="AR71" i="3"/>
  <c r="AQ71" i="3"/>
  <c r="AP71" i="3"/>
  <c r="AO71" i="3"/>
  <c r="AH71" i="3"/>
  <c r="AG71" i="3"/>
  <c r="AF71" i="3"/>
  <c r="AE71" i="3"/>
  <c r="AD71" i="3"/>
  <c r="AC71" i="3"/>
  <c r="AB71" i="3"/>
  <c r="Y71" i="3"/>
  <c r="X71" i="3"/>
  <c r="W71" i="3"/>
  <c r="J71" i="3"/>
  <c r="I71" i="3"/>
  <c r="G71" i="3"/>
  <c r="D71" i="3"/>
  <c r="C71" i="3"/>
  <c r="B71" i="3"/>
  <c r="A71" i="3"/>
  <c r="AX70" i="3"/>
  <c r="AW70" i="3"/>
  <c r="AV70" i="3"/>
  <c r="AS70" i="3"/>
  <c r="AR70" i="3"/>
  <c r="AQ70" i="3"/>
  <c r="AP70" i="3"/>
  <c r="AO70" i="3"/>
  <c r="AH70" i="3"/>
  <c r="AG70" i="3"/>
  <c r="AF70" i="3"/>
  <c r="AE70" i="3"/>
  <c r="AD70" i="3"/>
  <c r="AC70" i="3"/>
  <c r="AB70" i="3"/>
  <c r="Y70" i="3"/>
  <c r="X70" i="3"/>
  <c r="W70" i="3"/>
  <c r="J70" i="3"/>
  <c r="I70" i="3"/>
  <c r="G70" i="3"/>
  <c r="D70" i="3"/>
  <c r="C70" i="3"/>
  <c r="B70" i="3"/>
  <c r="A70" i="3"/>
  <c r="AX69" i="3"/>
  <c r="AW69" i="3"/>
  <c r="AV69" i="3"/>
  <c r="AS69" i="3"/>
  <c r="AR69" i="3"/>
  <c r="AQ69" i="3"/>
  <c r="AP69" i="3"/>
  <c r="AO69" i="3"/>
  <c r="AH69" i="3"/>
  <c r="AG69" i="3"/>
  <c r="AF69" i="3"/>
  <c r="AE69" i="3"/>
  <c r="AD69" i="3"/>
  <c r="AC69" i="3"/>
  <c r="AB69" i="3"/>
  <c r="Y69" i="3"/>
  <c r="X69" i="3"/>
  <c r="W69" i="3"/>
  <c r="J69" i="3"/>
  <c r="I69" i="3"/>
  <c r="G69" i="3"/>
  <c r="D69" i="3"/>
  <c r="C69" i="3"/>
  <c r="B69" i="3"/>
  <c r="A69" i="3"/>
  <c r="AX68" i="3"/>
  <c r="AW68" i="3"/>
  <c r="AV68" i="3"/>
  <c r="AS68" i="3"/>
  <c r="AR68" i="3"/>
  <c r="AQ68" i="3"/>
  <c r="AP68" i="3"/>
  <c r="AO68" i="3"/>
  <c r="AH68" i="3"/>
  <c r="AG68" i="3"/>
  <c r="AF68" i="3"/>
  <c r="AE68" i="3"/>
  <c r="AD68" i="3"/>
  <c r="AC68" i="3"/>
  <c r="AB68" i="3"/>
  <c r="Y68" i="3"/>
  <c r="X68" i="3"/>
  <c r="W68" i="3"/>
  <c r="J68" i="3"/>
  <c r="I68" i="3"/>
  <c r="G68" i="3"/>
  <c r="D68" i="3"/>
  <c r="C68" i="3"/>
  <c r="B68" i="3"/>
  <c r="A68" i="3"/>
  <c r="AX67" i="3"/>
  <c r="AW67" i="3"/>
  <c r="AV67" i="3"/>
  <c r="AS67" i="3"/>
  <c r="AR67" i="3"/>
  <c r="AQ67" i="3"/>
  <c r="AP67" i="3"/>
  <c r="AO67" i="3"/>
  <c r="AH67" i="3"/>
  <c r="AG67" i="3"/>
  <c r="AF67" i="3"/>
  <c r="AE67" i="3"/>
  <c r="AD67" i="3"/>
  <c r="AC67" i="3"/>
  <c r="AB67" i="3"/>
  <c r="Y67" i="3"/>
  <c r="X67" i="3"/>
  <c r="W67" i="3"/>
  <c r="J67" i="3"/>
  <c r="I67" i="3"/>
  <c r="G67" i="3"/>
  <c r="D67" i="3"/>
  <c r="C67" i="3"/>
  <c r="B67" i="3"/>
  <c r="A67" i="3"/>
  <c r="AX66" i="3"/>
  <c r="AW66" i="3"/>
  <c r="AV66" i="3"/>
  <c r="AS66" i="3"/>
  <c r="AR66" i="3"/>
  <c r="AQ66" i="3"/>
  <c r="AP66" i="3"/>
  <c r="AO66" i="3"/>
  <c r="AH66" i="3"/>
  <c r="AG66" i="3"/>
  <c r="AF66" i="3"/>
  <c r="AE66" i="3"/>
  <c r="AD66" i="3"/>
  <c r="AC66" i="3"/>
  <c r="AB66" i="3"/>
  <c r="Y66" i="3"/>
  <c r="X66" i="3"/>
  <c r="W66" i="3"/>
  <c r="J66" i="3"/>
  <c r="I66" i="3"/>
  <c r="G66" i="3"/>
  <c r="D66" i="3"/>
  <c r="C66" i="3"/>
  <c r="B66" i="3"/>
  <c r="A66" i="3"/>
  <c r="AX65" i="3"/>
  <c r="AW65" i="3"/>
  <c r="AV65" i="3"/>
  <c r="AS65" i="3"/>
  <c r="AR65" i="3"/>
  <c r="AQ65" i="3"/>
  <c r="AP65" i="3"/>
  <c r="AO65" i="3"/>
  <c r="AH65" i="3"/>
  <c r="AG65" i="3"/>
  <c r="AF65" i="3"/>
  <c r="AE65" i="3"/>
  <c r="AD65" i="3"/>
  <c r="AC65" i="3"/>
  <c r="AB65" i="3"/>
  <c r="Y65" i="3"/>
  <c r="X65" i="3"/>
  <c r="W65" i="3"/>
  <c r="J65" i="3"/>
  <c r="I65" i="3"/>
  <c r="G65" i="3"/>
  <c r="D65" i="3"/>
  <c r="C65" i="3"/>
  <c r="B65" i="3"/>
  <c r="A65" i="3"/>
  <c r="AX64" i="3"/>
  <c r="AW64" i="3"/>
  <c r="AV64" i="3"/>
  <c r="AS64" i="3"/>
  <c r="AR64" i="3"/>
  <c r="AQ64" i="3"/>
  <c r="AP64" i="3"/>
  <c r="AO64" i="3"/>
  <c r="AH64" i="3"/>
  <c r="AG64" i="3"/>
  <c r="AF64" i="3"/>
  <c r="AE64" i="3"/>
  <c r="AD64" i="3"/>
  <c r="AC64" i="3"/>
  <c r="AB64" i="3"/>
  <c r="Y64" i="3"/>
  <c r="X64" i="3"/>
  <c r="W64" i="3"/>
  <c r="J64" i="3"/>
  <c r="I64" i="3"/>
  <c r="G64" i="3"/>
  <c r="D64" i="3"/>
  <c r="C64" i="3"/>
  <c r="B64" i="3"/>
  <c r="A64" i="3"/>
  <c r="AX63" i="3"/>
  <c r="AW63" i="3"/>
  <c r="AV63" i="3"/>
  <c r="AS63" i="3"/>
  <c r="AR63" i="3"/>
  <c r="AQ63" i="3"/>
  <c r="AP63" i="3"/>
  <c r="AO63" i="3"/>
  <c r="AH63" i="3"/>
  <c r="AG63" i="3"/>
  <c r="AF63" i="3"/>
  <c r="AE63" i="3"/>
  <c r="AD63" i="3"/>
  <c r="AC63" i="3"/>
  <c r="AB63" i="3"/>
  <c r="Y63" i="3"/>
  <c r="X63" i="3"/>
  <c r="W63" i="3"/>
  <c r="J63" i="3"/>
  <c r="I63" i="3"/>
  <c r="G63" i="3"/>
  <c r="D63" i="3"/>
  <c r="C63" i="3"/>
  <c r="B63" i="3"/>
  <c r="A63" i="3"/>
  <c r="AX62" i="3"/>
  <c r="AW62" i="3"/>
  <c r="AV62" i="3"/>
  <c r="AS62" i="3"/>
  <c r="AR62" i="3"/>
  <c r="AQ62" i="3"/>
  <c r="AP62" i="3"/>
  <c r="AO62" i="3"/>
  <c r="AH62" i="3"/>
  <c r="AG62" i="3"/>
  <c r="AF62" i="3"/>
  <c r="AE62" i="3"/>
  <c r="AD62" i="3"/>
  <c r="AC62" i="3"/>
  <c r="AB62" i="3"/>
  <c r="Y62" i="3"/>
  <c r="X62" i="3"/>
  <c r="W62" i="3"/>
  <c r="J62" i="3"/>
  <c r="I62" i="3"/>
  <c r="G62" i="3"/>
  <c r="D62" i="3"/>
  <c r="C62" i="3"/>
  <c r="B62" i="3"/>
  <c r="A62" i="3"/>
  <c r="AX61" i="3"/>
  <c r="AW61" i="3"/>
  <c r="AV61" i="3"/>
  <c r="AS61" i="3"/>
  <c r="AR61" i="3"/>
  <c r="AQ61" i="3"/>
  <c r="AP61" i="3"/>
  <c r="AO61" i="3"/>
  <c r="AH61" i="3"/>
  <c r="AG61" i="3"/>
  <c r="AF61" i="3"/>
  <c r="AE61" i="3"/>
  <c r="AD61" i="3"/>
  <c r="AC61" i="3"/>
  <c r="AB61" i="3"/>
  <c r="Y61" i="3"/>
  <c r="X61" i="3"/>
  <c r="W61" i="3"/>
  <c r="J61" i="3"/>
  <c r="I61" i="3"/>
  <c r="G61" i="3"/>
  <c r="D61" i="3"/>
  <c r="C61" i="3"/>
  <c r="B61" i="3"/>
  <c r="A61" i="3"/>
  <c r="AX60" i="3"/>
  <c r="AW60" i="3"/>
  <c r="AV60" i="3"/>
  <c r="AS60" i="3"/>
  <c r="AR60" i="3"/>
  <c r="AQ60" i="3"/>
  <c r="AP60" i="3"/>
  <c r="AO60" i="3"/>
  <c r="AH60" i="3"/>
  <c r="AG60" i="3"/>
  <c r="AF60" i="3"/>
  <c r="AE60" i="3"/>
  <c r="AD60" i="3"/>
  <c r="AC60" i="3"/>
  <c r="AB60" i="3"/>
  <c r="Y60" i="3"/>
  <c r="X60" i="3"/>
  <c r="W60" i="3"/>
  <c r="J60" i="3"/>
  <c r="I60" i="3"/>
  <c r="G60" i="3"/>
  <c r="D60" i="3"/>
  <c r="C60" i="3"/>
  <c r="B60" i="3"/>
  <c r="A60" i="3"/>
  <c r="AX59" i="3"/>
  <c r="AW59" i="3"/>
  <c r="AV59" i="3"/>
  <c r="AS59" i="3"/>
  <c r="AR59" i="3"/>
  <c r="AQ59" i="3"/>
  <c r="AP59" i="3"/>
  <c r="AO59" i="3"/>
  <c r="AH59" i="3"/>
  <c r="AG59" i="3"/>
  <c r="AF59" i="3"/>
  <c r="AE59" i="3"/>
  <c r="AD59" i="3"/>
  <c r="AC59" i="3"/>
  <c r="AB59" i="3"/>
  <c r="Y59" i="3"/>
  <c r="X59" i="3"/>
  <c r="W59" i="3"/>
  <c r="J59" i="3"/>
  <c r="I59" i="3"/>
  <c r="G59" i="3"/>
  <c r="D59" i="3"/>
  <c r="C59" i="3"/>
  <c r="B59" i="3"/>
  <c r="A59" i="3"/>
  <c r="AX58" i="3"/>
  <c r="AW58" i="3"/>
  <c r="AV58" i="3"/>
  <c r="AS58" i="3"/>
  <c r="AR58" i="3"/>
  <c r="AQ58" i="3"/>
  <c r="AP58" i="3"/>
  <c r="AO58" i="3"/>
  <c r="AH58" i="3"/>
  <c r="AG58" i="3"/>
  <c r="AF58" i="3"/>
  <c r="AE58" i="3"/>
  <c r="AD58" i="3"/>
  <c r="AC58" i="3"/>
  <c r="AB58" i="3"/>
  <c r="Y58" i="3"/>
  <c r="X58" i="3"/>
  <c r="W58" i="3"/>
  <c r="J58" i="3"/>
  <c r="I58" i="3"/>
  <c r="G58" i="3"/>
  <c r="D58" i="3"/>
  <c r="C58" i="3"/>
  <c r="B58" i="3"/>
  <c r="A58" i="3"/>
  <c r="AX57" i="3"/>
  <c r="AW57" i="3"/>
  <c r="AV57" i="3"/>
  <c r="AS57" i="3"/>
  <c r="AR57" i="3"/>
  <c r="AQ57" i="3"/>
  <c r="AP57" i="3"/>
  <c r="AO57" i="3"/>
  <c r="AH57" i="3"/>
  <c r="AG57" i="3"/>
  <c r="AF57" i="3"/>
  <c r="AE57" i="3"/>
  <c r="AD57" i="3"/>
  <c r="AC57" i="3"/>
  <c r="AB57" i="3"/>
  <c r="Y57" i="3"/>
  <c r="X57" i="3"/>
  <c r="W57" i="3"/>
  <c r="J57" i="3"/>
  <c r="I57" i="3"/>
  <c r="G57" i="3"/>
  <c r="D57" i="3"/>
  <c r="C57" i="3"/>
  <c r="B57" i="3"/>
  <c r="A57" i="3"/>
  <c r="AX56" i="3"/>
  <c r="AW56" i="3"/>
  <c r="AV56" i="3"/>
  <c r="AS56" i="3"/>
  <c r="AR56" i="3"/>
  <c r="AQ56" i="3"/>
  <c r="AP56" i="3"/>
  <c r="AO56" i="3"/>
  <c r="AH56" i="3"/>
  <c r="AG56" i="3"/>
  <c r="AF56" i="3"/>
  <c r="AE56" i="3"/>
  <c r="AD56" i="3"/>
  <c r="AC56" i="3"/>
  <c r="AB56" i="3"/>
  <c r="Y56" i="3"/>
  <c r="X56" i="3"/>
  <c r="W56" i="3"/>
  <c r="J56" i="3"/>
  <c r="I56" i="3"/>
  <c r="G56" i="3"/>
  <c r="D56" i="3"/>
  <c r="C56" i="3"/>
  <c r="B56" i="3"/>
  <c r="A56" i="3"/>
  <c r="AX55" i="3"/>
  <c r="AW55" i="3"/>
  <c r="AV55" i="3"/>
  <c r="AS55" i="3"/>
  <c r="AR55" i="3"/>
  <c r="AQ55" i="3"/>
  <c r="AP55" i="3"/>
  <c r="AO55" i="3"/>
  <c r="AH55" i="3"/>
  <c r="AG55" i="3"/>
  <c r="AF55" i="3"/>
  <c r="AE55" i="3"/>
  <c r="AD55" i="3"/>
  <c r="AC55" i="3"/>
  <c r="AB55" i="3"/>
  <c r="Y55" i="3"/>
  <c r="X55" i="3"/>
  <c r="W55" i="3"/>
  <c r="J55" i="3"/>
  <c r="I55" i="3"/>
  <c r="G55" i="3"/>
  <c r="D55" i="3"/>
  <c r="C55" i="3"/>
  <c r="B55" i="3"/>
  <c r="A55" i="3"/>
  <c r="AX54" i="3"/>
  <c r="AW54" i="3"/>
  <c r="AV54" i="3"/>
  <c r="AS54" i="3"/>
  <c r="AR54" i="3"/>
  <c r="AQ54" i="3"/>
  <c r="AP54" i="3"/>
  <c r="AO54" i="3"/>
  <c r="AH54" i="3"/>
  <c r="AG54" i="3"/>
  <c r="AF54" i="3"/>
  <c r="AE54" i="3"/>
  <c r="AD54" i="3"/>
  <c r="AC54" i="3"/>
  <c r="AB54" i="3"/>
  <c r="Y54" i="3"/>
  <c r="X54" i="3"/>
  <c r="W54" i="3"/>
  <c r="J54" i="3"/>
  <c r="I54" i="3"/>
  <c r="G54" i="3"/>
  <c r="D54" i="3"/>
  <c r="C54" i="3"/>
  <c r="B54" i="3"/>
  <c r="A54" i="3"/>
  <c r="AX53" i="3"/>
  <c r="AW53" i="3"/>
  <c r="AV53" i="3"/>
  <c r="AS53" i="3"/>
  <c r="AR53" i="3"/>
  <c r="AQ53" i="3"/>
  <c r="AP53" i="3"/>
  <c r="AO53" i="3"/>
  <c r="AH53" i="3"/>
  <c r="AG53" i="3"/>
  <c r="AF53" i="3"/>
  <c r="AE53" i="3"/>
  <c r="AD53" i="3"/>
  <c r="AC53" i="3"/>
  <c r="AB53" i="3"/>
  <c r="Y53" i="3"/>
  <c r="X53" i="3"/>
  <c r="W53" i="3"/>
  <c r="J53" i="3"/>
  <c r="I53" i="3"/>
  <c r="G53" i="3"/>
  <c r="D53" i="3"/>
  <c r="C53" i="3"/>
  <c r="B53" i="3"/>
  <c r="A53" i="3"/>
  <c r="AX52" i="3"/>
  <c r="AW52" i="3"/>
  <c r="AV52" i="3"/>
  <c r="AS52" i="3"/>
  <c r="AR52" i="3"/>
  <c r="AQ52" i="3"/>
  <c r="AP52" i="3"/>
  <c r="AO52" i="3"/>
  <c r="AH52" i="3"/>
  <c r="AG52" i="3"/>
  <c r="AF52" i="3"/>
  <c r="AE52" i="3"/>
  <c r="AD52" i="3"/>
  <c r="AC52" i="3"/>
  <c r="AB52" i="3"/>
  <c r="Y52" i="3"/>
  <c r="X52" i="3"/>
  <c r="W52" i="3"/>
  <c r="J52" i="3"/>
  <c r="I52" i="3"/>
  <c r="G52" i="3"/>
  <c r="D52" i="3"/>
  <c r="C52" i="3"/>
  <c r="B52" i="3"/>
  <c r="A52" i="3"/>
  <c r="AX51" i="3"/>
  <c r="AW51" i="3"/>
  <c r="AV51" i="3"/>
  <c r="AS51" i="3"/>
  <c r="AR51" i="3"/>
  <c r="AQ51" i="3"/>
  <c r="AP51" i="3"/>
  <c r="AO51" i="3"/>
  <c r="AH51" i="3"/>
  <c r="AG51" i="3"/>
  <c r="AF51" i="3"/>
  <c r="AE51" i="3"/>
  <c r="AD51" i="3"/>
  <c r="AC51" i="3"/>
  <c r="AB51" i="3"/>
  <c r="Y51" i="3"/>
  <c r="X51" i="3"/>
  <c r="W51" i="3"/>
  <c r="J51" i="3"/>
  <c r="I51" i="3"/>
  <c r="G51" i="3"/>
  <c r="D51" i="3"/>
  <c r="C51" i="3"/>
  <c r="B51" i="3"/>
  <c r="A51" i="3"/>
  <c r="AX50" i="3"/>
  <c r="AW50" i="3"/>
  <c r="AV50" i="3"/>
  <c r="AS50" i="3"/>
  <c r="AR50" i="3"/>
  <c r="AQ50" i="3"/>
  <c r="AP50" i="3"/>
  <c r="AO50" i="3"/>
  <c r="AH50" i="3"/>
  <c r="AG50" i="3"/>
  <c r="AF50" i="3"/>
  <c r="AE50" i="3"/>
  <c r="AD50" i="3"/>
  <c r="AC50" i="3"/>
  <c r="AB50" i="3"/>
  <c r="Y50" i="3"/>
  <c r="X50" i="3"/>
  <c r="W50" i="3"/>
  <c r="J50" i="3"/>
  <c r="I50" i="3"/>
  <c r="G50" i="3"/>
  <c r="D50" i="3"/>
  <c r="C50" i="3"/>
  <c r="B50" i="3"/>
  <c r="A50" i="3"/>
  <c r="AX49" i="3"/>
  <c r="AW49" i="3"/>
  <c r="AV49" i="3"/>
  <c r="AS49" i="3"/>
  <c r="AR49" i="3"/>
  <c r="AQ49" i="3"/>
  <c r="AP49" i="3"/>
  <c r="AO49" i="3"/>
  <c r="AH49" i="3"/>
  <c r="AG49" i="3"/>
  <c r="AF49" i="3"/>
  <c r="AE49" i="3"/>
  <c r="AD49" i="3"/>
  <c r="AC49" i="3"/>
  <c r="AB49" i="3"/>
  <c r="Y49" i="3"/>
  <c r="X49" i="3"/>
  <c r="W49" i="3"/>
  <c r="J49" i="3"/>
  <c r="I49" i="3"/>
  <c r="G49" i="3"/>
  <c r="D49" i="3"/>
  <c r="C49" i="3"/>
  <c r="B49" i="3"/>
  <c r="A49" i="3"/>
  <c r="AX48" i="3"/>
  <c r="AW48" i="3"/>
  <c r="AV48" i="3"/>
  <c r="AS48" i="3"/>
  <c r="AR48" i="3"/>
  <c r="AQ48" i="3"/>
  <c r="AP48" i="3"/>
  <c r="AO48" i="3"/>
  <c r="AH48" i="3"/>
  <c r="AG48" i="3"/>
  <c r="AF48" i="3"/>
  <c r="AE48" i="3"/>
  <c r="AD48" i="3"/>
  <c r="AC48" i="3"/>
  <c r="AB48" i="3"/>
  <c r="Y48" i="3"/>
  <c r="X48" i="3"/>
  <c r="W48" i="3"/>
  <c r="J48" i="3"/>
  <c r="I48" i="3"/>
  <c r="G48" i="3"/>
  <c r="D48" i="3"/>
  <c r="C48" i="3"/>
  <c r="B48" i="3"/>
  <c r="A48" i="3"/>
  <c r="AX47" i="3"/>
  <c r="AW47" i="3"/>
  <c r="AV47" i="3"/>
  <c r="AS47" i="3"/>
  <c r="AR47" i="3"/>
  <c r="AQ47" i="3"/>
  <c r="AP47" i="3"/>
  <c r="AO47" i="3"/>
  <c r="AH47" i="3"/>
  <c r="AG47" i="3"/>
  <c r="AF47" i="3"/>
  <c r="AE47" i="3"/>
  <c r="AD47" i="3"/>
  <c r="AC47" i="3"/>
  <c r="AB47" i="3"/>
  <c r="Y47" i="3"/>
  <c r="X47" i="3"/>
  <c r="W47" i="3"/>
  <c r="J47" i="3"/>
  <c r="I47" i="3"/>
  <c r="G47" i="3"/>
  <c r="D47" i="3"/>
  <c r="C47" i="3"/>
  <c r="B47" i="3"/>
  <c r="A47" i="3"/>
  <c r="AX46" i="3"/>
  <c r="AW46" i="3"/>
  <c r="AV46" i="3"/>
  <c r="AS46" i="3"/>
  <c r="AR46" i="3"/>
  <c r="AQ46" i="3"/>
  <c r="AP46" i="3"/>
  <c r="AO46" i="3"/>
  <c r="AH46" i="3"/>
  <c r="AG46" i="3"/>
  <c r="AF46" i="3"/>
  <c r="AE46" i="3"/>
  <c r="AD46" i="3"/>
  <c r="AC46" i="3"/>
  <c r="AB46" i="3"/>
  <c r="Y46" i="3"/>
  <c r="X46" i="3"/>
  <c r="W46" i="3"/>
  <c r="J46" i="3"/>
  <c r="I46" i="3"/>
  <c r="G46" i="3"/>
  <c r="D46" i="3"/>
  <c r="C46" i="3"/>
  <c r="B46" i="3"/>
  <c r="A46" i="3"/>
  <c r="AX45" i="3"/>
  <c r="AW45" i="3"/>
  <c r="AV45" i="3"/>
  <c r="AS45" i="3"/>
  <c r="AR45" i="3"/>
  <c r="AQ45" i="3"/>
  <c r="AP45" i="3"/>
  <c r="AO45" i="3"/>
  <c r="AH45" i="3"/>
  <c r="AG45" i="3"/>
  <c r="AF45" i="3"/>
  <c r="AE45" i="3"/>
  <c r="AD45" i="3"/>
  <c r="AC45" i="3"/>
  <c r="AB45" i="3"/>
  <c r="Y45" i="3"/>
  <c r="X45" i="3"/>
  <c r="W45" i="3"/>
  <c r="J45" i="3"/>
  <c r="I45" i="3"/>
  <c r="G45" i="3"/>
  <c r="D45" i="3"/>
  <c r="C45" i="3"/>
  <c r="B45" i="3"/>
  <c r="A45" i="3"/>
  <c r="AX44" i="3"/>
  <c r="AW44" i="3"/>
  <c r="AV44" i="3"/>
  <c r="AS44" i="3"/>
  <c r="AR44" i="3"/>
  <c r="AQ44" i="3"/>
  <c r="AP44" i="3"/>
  <c r="AO44" i="3"/>
  <c r="AH44" i="3"/>
  <c r="AG44" i="3"/>
  <c r="AF44" i="3"/>
  <c r="AE44" i="3"/>
  <c r="AD44" i="3"/>
  <c r="AC44" i="3"/>
  <c r="AB44" i="3"/>
  <c r="Y44" i="3"/>
  <c r="X44" i="3"/>
  <c r="W44" i="3"/>
  <c r="J44" i="3"/>
  <c r="I44" i="3"/>
  <c r="G44" i="3"/>
  <c r="D44" i="3"/>
  <c r="C44" i="3"/>
  <c r="B44" i="3"/>
  <c r="A44" i="3"/>
  <c r="AX43" i="3"/>
  <c r="AW43" i="3"/>
  <c r="AV43" i="3"/>
  <c r="AS43" i="3"/>
  <c r="AR43" i="3"/>
  <c r="AQ43" i="3"/>
  <c r="AP43" i="3"/>
  <c r="AO43" i="3"/>
  <c r="AH43" i="3"/>
  <c r="AG43" i="3"/>
  <c r="AF43" i="3"/>
  <c r="AE43" i="3"/>
  <c r="AD43" i="3"/>
  <c r="AC43" i="3"/>
  <c r="AB43" i="3"/>
  <c r="Y43" i="3"/>
  <c r="X43" i="3"/>
  <c r="W43" i="3"/>
  <c r="J43" i="3"/>
  <c r="I43" i="3"/>
  <c r="G43" i="3"/>
  <c r="D43" i="3"/>
  <c r="C43" i="3"/>
  <c r="B43" i="3"/>
  <c r="A43" i="3"/>
  <c r="AX42" i="3"/>
  <c r="AW42" i="3"/>
  <c r="AV42" i="3"/>
  <c r="AS42" i="3"/>
  <c r="AR42" i="3"/>
  <c r="AQ42" i="3"/>
  <c r="AP42" i="3"/>
  <c r="AO42" i="3"/>
  <c r="AH42" i="3"/>
  <c r="AG42" i="3"/>
  <c r="AF42" i="3"/>
  <c r="AE42" i="3"/>
  <c r="AD42" i="3"/>
  <c r="AC42" i="3"/>
  <c r="AB42" i="3"/>
  <c r="Y42" i="3"/>
  <c r="X42" i="3"/>
  <c r="W42" i="3"/>
  <c r="J42" i="3"/>
  <c r="I42" i="3"/>
  <c r="G42" i="3"/>
  <c r="D42" i="3"/>
  <c r="C42" i="3"/>
  <c r="B42" i="3"/>
  <c r="A42" i="3"/>
  <c r="AX41" i="3"/>
  <c r="AW41" i="3"/>
  <c r="AV41" i="3"/>
  <c r="AS41" i="3"/>
  <c r="AR41" i="3"/>
  <c r="AQ41" i="3"/>
  <c r="AP41" i="3"/>
  <c r="AO41" i="3"/>
  <c r="AH41" i="3"/>
  <c r="AG41" i="3"/>
  <c r="AF41" i="3"/>
  <c r="AE41" i="3"/>
  <c r="AD41" i="3"/>
  <c r="AC41" i="3"/>
  <c r="AB41" i="3"/>
  <c r="Y41" i="3"/>
  <c r="X41" i="3"/>
  <c r="W41" i="3"/>
  <c r="J41" i="3"/>
  <c r="I41" i="3"/>
  <c r="G41" i="3"/>
  <c r="D41" i="3"/>
  <c r="C41" i="3"/>
  <c r="B41" i="3"/>
  <c r="A41" i="3"/>
  <c r="AX40" i="3"/>
  <c r="AW40" i="3"/>
  <c r="AV40" i="3"/>
  <c r="AS40" i="3"/>
  <c r="AR40" i="3"/>
  <c r="AQ40" i="3"/>
  <c r="AP40" i="3"/>
  <c r="AO40" i="3"/>
  <c r="AH40" i="3"/>
  <c r="AG40" i="3"/>
  <c r="AF40" i="3"/>
  <c r="AE40" i="3"/>
  <c r="AD40" i="3"/>
  <c r="AC40" i="3"/>
  <c r="AB40" i="3"/>
  <c r="Y40" i="3"/>
  <c r="X40" i="3"/>
  <c r="W40" i="3"/>
  <c r="J40" i="3"/>
  <c r="I40" i="3"/>
  <c r="G40" i="3"/>
  <c r="D40" i="3"/>
  <c r="C40" i="3"/>
  <c r="B40" i="3"/>
  <c r="A40" i="3"/>
  <c r="AX39" i="3"/>
  <c r="AW39" i="3"/>
  <c r="AV39" i="3"/>
  <c r="AS39" i="3"/>
  <c r="AR39" i="3"/>
  <c r="AQ39" i="3"/>
  <c r="AP39" i="3"/>
  <c r="AO39" i="3"/>
  <c r="AH39" i="3"/>
  <c r="AG39" i="3"/>
  <c r="AF39" i="3"/>
  <c r="AE39" i="3"/>
  <c r="AD39" i="3"/>
  <c r="AC39" i="3"/>
  <c r="AB39" i="3"/>
  <c r="Y39" i="3"/>
  <c r="X39" i="3"/>
  <c r="W39" i="3"/>
  <c r="J39" i="3"/>
  <c r="I39" i="3"/>
  <c r="G39" i="3"/>
  <c r="D39" i="3"/>
  <c r="C39" i="3"/>
  <c r="B39" i="3"/>
  <c r="A39" i="3"/>
  <c r="AX38" i="3"/>
  <c r="AW38" i="3"/>
  <c r="AV38" i="3"/>
  <c r="AS38" i="3"/>
  <c r="AR38" i="3"/>
  <c r="AQ38" i="3"/>
  <c r="AP38" i="3"/>
  <c r="AO38" i="3"/>
  <c r="AH38" i="3"/>
  <c r="AG38" i="3"/>
  <c r="AF38" i="3"/>
  <c r="AE38" i="3"/>
  <c r="AD38" i="3"/>
  <c r="AC38" i="3"/>
  <c r="AB38" i="3"/>
  <c r="Y38" i="3"/>
  <c r="X38" i="3"/>
  <c r="W38" i="3"/>
  <c r="J38" i="3"/>
  <c r="I38" i="3"/>
  <c r="G38" i="3"/>
  <c r="D38" i="3"/>
  <c r="C38" i="3"/>
  <c r="B38" i="3"/>
  <c r="A38" i="3"/>
  <c r="AX37" i="3"/>
  <c r="AW37" i="3"/>
  <c r="AV37" i="3"/>
  <c r="AS37" i="3"/>
  <c r="AR37" i="3"/>
  <c r="AQ37" i="3"/>
  <c r="AP37" i="3"/>
  <c r="AO37" i="3"/>
  <c r="AH37" i="3"/>
  <c r="AG37" i="3"/>
  <c r="AF37" i="3"/>
  <c r="AE37" i="3"/>
  <c r="AD37" i="3"/>
  <c r="AC37" i="3"/>
  <c r="AB37" i="3"/>
  <c r="Y37" i="3"/>
  <c r="X37" i="3"/>
  <c r="W37" i="3"/>
  <c r="J37" i="3"/>
  <c r="I37" i="3"/>
  <c r="G37" i="3"/>
  <c r="D37" i="3"/>
  <c r="C37" i="3"/>
  <c r="B37" i="3"/>
  <c r="A37" i="3"/>
  <c r="AX36" i="3"/>
  <c r="AW36" i="3"/>
  <c r="AV36" i="3"/>
  <c r="AS36" i="3"/>
  <c r="AR36" i="3"/>
  <c r="AQ36" i="3"/>
  <c r="AP36" i="3"/>
  <c r="AO36" i="3"/>
  <c r="AH36" i="3"/>
  <c r="AG36" i="3"/>
  <c r="AF36" i="3"/>
  <c r="AE36" i="3"/>
  <c r="AD36" i="3"/>
  <c r="AC36" i="3"/>
  <c r="AB36" i="3"/>
  <c r="Y36" i="3"/>
  <c r="X36" i="3"/>
  <c r="W36" i="3"/>
  <c r="J36" i="3"/>
  <c r="I36" i="3"/>
  <c r="G36" i="3"/>
  <c r="D36" i="3"/>
  <c r="C36" i="3"/>
  <c r="B36" i="3"/>
  <c r="A36" i="3"/>
  <c r="AX35" i="3"/>
  <c r="AW35" i="3"/>
  <c r="AV35" i="3"/>
  <c r="AS35" i="3"/>
  <c r="AR35" i="3"/>
  <c r="AQ35" i="3"/>
  <c r="AP35" i="3"/>
  <c r="AO35" i="3"/>
  <c r="AH35" i="3"/>
  <c r="AG35" i="3"/>
  <c r="AF35" i="3"/>
  <c r="AE35" i="3"/>
  <c r="AD35" i="3"/>
  <c r="AC35" i="3"/>
  <c r="AB35" i="3"/>
  <c r="Y35" i="3"/>
  <c r="X35" i="3"/>
  <c r="W35" i="3"/>
  <c r="J35" i="3"/>
  <c r="I35" i="3"/>
  <c r="G35" i="3"/>
  <c r="D35" i="3"/>
  <c r="C35" i="3"/>
  <c r="B35" i="3"/>
  <c r="A35" i="3"/>
  <c r="AX34" i="3"/>
  <c r="AW34" i="3"/>
  <c r="AV34" i="3"/>
  <c r="AS34" i="3"/>
  <c r="AR34" i="3"/>
  <c r="AQ34" i="3"/>
  <c r="AP34" i="3"/>
  <c r="AO34" i="3"/>
  <c r="AH34" i="3"/>
  <c r="AG34" i="3"/>
  <c r="AF34" i="3"/>
  <c r="AE34" i="3"/>
  <c r="AD34" i="3"/>
  <c r="AC34" i="3"/>
  <c r="AB34" i="3"/>
  <c r="Y34" i="3"/>
  <c r="X34" i="3"/>
  <c r="W34" i="3"/>
  <c r="J34" i="3"/>
  <c r="I34" i="3"/>
  <c r="G34" i="3"/>
  <c r="D34" i="3"/>
  <c r="C34" i="3"/>
  <c r="B34" i="3"/>
  <c r="A34" i="3"/>
  <c r="AX33" i="3"/>
  <c r="AW33" i="3"/>
  <c r="AV33" i="3"/>
  <c r="AS33" i="3"/>
  <c r="AR33" i="3"/>
  <c r="AQ33" i="3"/>
  <c r="AP33" i="3"/>
  <c r="AO33" i="3"/>
  <c r="AH33" i="3"/>
  <c r="AG33" i="3"/>
  <c r="AF33" i="3"/>
  <c r="AE33" i="3"/>
  <c r="AD33" i="3"/>
  <c r="AC33" i="3"/>
  <c r="AB33" i="3"/>
  <c r="Y33" i="3"/>
  <c r="X33" i="3"/>
  <c r="W33" i="3"/>
  <c r="J33" i="3"/>
  <c r="I33" i="3"/>
  <c r="G33" i="3"/>
  <c r="D33" i="3"/>
  <c r="C33" i="3"/>
  <c r="B33" i="3"/>
  <c r="A33" i="3"/>
  <c r="AX32" i="3"/>
  <c r="AW32" i="3"/>
  <c r="AV32" i="3"/>
  <c r="AS32" i="3"/>
  <c r="AR32" i="3"/>
  <c r="AQ32" i="3"/>
  <c r="AP32" i="3"/>
  <c r="AO32" i="3"/>
  <c r="AH32" i="3"/>
  <c r="AG32" i="3"/>
  <c r="AF32" i="3"/>
  <c r="AE32" i="3"/>
  <c r="AD32" i="3"/>
  <c r="AC32" i="3"/>
  <c r="AB32" i="3"/>
  <c r="Y32" i="3"/>
  <c r="X32" i="3"/>
  <c r="W32" i="3"/>
  <c r="J32" i="3"/>
  <c r="I32" i="3"/>
  <c r="G32" i="3"/>
  <c r="D32" i="3"/>
  <c r="C32" i="3"/>
  <c r="B32" i="3"/>
  <c r="A32" i="3"/>
  <c r="AX31" i="3"/>
  <c r="AW31" i="3"/>
  <c r="AV31" i="3"/>
  <c r="AS31" i="3"/>
  <c r="AR31" i="3"/>
  <c r="AQ31" i="3"/>
  <c r="AP31" i="3"/>
  <c r="AO31" i="3"/>
  <c r="AH31" i="3"/>
  <c r="AG31" i="3"/>
  <c r="AF31" i="3"/>
  <c r="AE31" i="3"/>
  <c r="AD31" i="3"/>
  <c r="AC31" i="3"/>
  <c r="AB31" i="3"/>
  <c r="Y31" i="3"/>
  <c r="X31" i="3"/>
  <c r="W31" i="3"/>
  <c r="J31" i="3"/>
  <c r="I31" i="3"/>
  <c r="G31" i="3"/>
  <c r="D31" i="3"/>
  <c r="C31" i="3"/>
  <c r="B31" i="3"/>
  <c r="A31" i="3"/>
  <c r="AX30" i="3"/>
  <c r="AW30" i="3"/>
  <c r="AV30" i="3"/>
  <c r="AS30" i="3"/>
  <c r="AR30" i="3"/>
  <c r="AQ30" i="3"/>
  <c r="AP30" i="3"/>
  <c r="AO30" i="3"/>
  <c r="AH30" i="3"/>
  <c r="AG30" i="3"/>
  <c r="AF30" i="3"/>
  <c r="AE30" i="3"/>
  <c r="AD30" i="3"/>
  <c r="AC30" i="3"/>
  <c r="AB30" i="3"/>
  <c r="Y30" i="3"/>
  <c r="X30" i="3"/>
  <c r="W30" i="3"/>
  <c r="J30" i="3"/>
  <c r="I30" i="3"/>
  <c r="G30" i="3"/>
  <c r="D30" i="3"/>
  <c r="C30" i="3"/>
  <c r="B30" i="3"/>
  <c r="A30" i="3"/>
  <c r="AX29" i="3"/>
  <c r="AW29" i="3"/>
  <c r="AV29" i="3"/>
  <c r="AS29" i="3"/>
  <c r="AR29" i="3"/>
  <c r="AQ29" i="3"/>
  <c r="AP29" i="3"/>
  <c r="AO29" i="3"/>
  <c r="AH29" i="3"/>
  <c r="AG29" i="3"/>
  <c r="AF29" i="3"/>
  <c r="AE29" i="3"/>
  <c r="AD29" i="3"/>
  <c r="AC29" i="3"/>
  <c r="AB29" i="3"/>
  <c r="Y29" i="3"/>
  <c r="X29" i="3"/>
  <c r="W29" i="3"/>
  <c r="J29" i="3"/>
  <c r="I29" i="3"/>
  <c r="G29" i="3"/>
  <c r="D29" i="3"/>
  <c r="C29" i="3"/>
  <c r="B29" i="3"/>
  <c r="A29" i="3"/>
  <c r="AX28" i="3"/>
  <c r="AW28" i="3"/>
  <c r="AV28" i="3"/>
  <c r="AS28" i="3"/>
  <c r="AR28" i="3"/>
  <c r="AQ28" i="3"/>
  <c r="AP28" i="3"/>
  <c r="AO28" i="3"/>
  <c r="AH28" i="3"/>
  <c r="AG28" i="3"/>
  <c r="AF28" i="3"/>
  <c r="AE28" i="3"/>
  <c r="AD28" i="3"/>
  <c r="AC28" i="3"/>
  <c r="AB28" i="3"/>
  <c r="Y28" i="3"/>
  <c r="X28" i="3"/>
  <c r="W28" i="3"/>
  <c r="J28" i="3"/>
  <c r="I28" i="3"/>
  <c r="G28" i="3"/>
  <c r="D28" i="3"/>
  <c r="C28" i="3"/>
  <c r="B28" i="3"/>
  <c r="A28" i="3"/>
  <c r="AX27" i="3"/>
  <c r="AW27" i="3"/>
  <c r="AV27" i="3"/>
  <c r="AS27" i="3"/>
  <c r="AR27" i="3"/>
  <c r="AQ27" i="3"/>
  <c r="AP27" i="3"/>
  <c r="AO27" i="3"/>
  <c r="AH27" i="3"/>
  <c r="AG27" i="3"/>
  <c r="AF27" i="3"/>
  <c r="AE27" i="3"/>
  <c r="AD27" i="3"/>
  <c r="AC27" i="3"/>
  <c r="AB27" i="3"/>
  <c r="Y27" i="3"/>
  <c r="X27" i="3"/>
  <c r="W27" i="3"/>
  <c r="J27" i="3"/>
  <c r="I27" i="3"/>
  <c r="G27" i="3"/>
  <c r="D27" i="3"/>
  <c r="C27" i="3"/>
  <c r="B27" i="3"/>
  <c r="A27" i="3"/>
  <c r="AX26" i="3"/>
  <c r="AW26" i="3"/>
  <c r="AV26" i="3"/>
  <c r="AS26" i="3"/>
  <c r="AR26" i="3"/>
  <c r="AQ26" i="3"/>
  <c r="AP26" i="3"/>
  <c r="AO26" i="3"/>
  <c r="AH26" i="3"/>
  <c r="AG26" i="3"/>
  <c r="AF26" i="3"/>
  <c r="AE26" i="3"/>
  <c r="AD26" i="3"/>
  <c r="AC26" i="3"/>
  <c r="AB26" i="3"/>
  <c r="Y26" i="3"/>
  <c r="X26" i="3"/>
  <c r="W26" i="3"/>
  <c r="J26" i="3"/>
  <c r="I26" i="3"/>
  <c r="G26" i="3"/>
  <c r="D26" i="3"/>
  <c r="C26" i="3"/>
  <c r="B26" i="3"/>
  <c r="A26" i="3"/>
  <c r="AX25" i="3"/>
  <c r="AW25" i="3"/>
  <c r="AV25" i="3"/>
  <c r="AS25" i="3"/>
  <c r="AR25" i="3"/>
  <c r="AQ25" i="3"/>
  <c r="AP25" i="3"/>
  <c r="AO25" i="3"/>
  <c r="AH25" i="3"/>
  <c r="AG25" i="3"/>
  <c r="AF25" i="3"/>
  <c r="AE25" i="3"/>
  <c r="AD25" i="3"/>
  <c r="AC25" i="3"/>
  <c r="AB25" i="3"/>
  <c r="Y25" i="3"/>
  <c r="X25" i="3"/>
  <c r="W25" i="3"/>
  <c r="J25" i="3"/>
  <c r="I25" i="3"/>
  <c r="G25" i="3"/>
  <c r="D25" i="3"/>
  <c r="C25" i="3"/>
  <c r="B25" i="3"/>
  <c r="A25" i="3"/>
  <c r="AX24" i="3"/>
  <c r="AW24" i="3"/>
  <c r="AV24" i="3"/>
  <c r="AS24" i="3"/>
  <c r="AR24" i="3"/>
  <c r="AQ24" i="3"/>
  <c r="AP24" i="3"/>
  <c r="AO24" i="3"/>
  <c r="AH24" i="3"/>
  <c r="AG24" i="3"/>
  <c r="AF24" i="3"/>
  <c r="AE24" i="3"/>
  <c r="AD24" i="3"/>
  <c r="AC24" i="3"/>
  <c r="AB24" i="3"/>
  <c r="Y24" i="3"/>
  <c r="X24" i="3"/>
  <c r="W24" i="3"/>
  <c r="J24" i="3"/>
  <c r="I24" i="3"/>
  <c r="G24" i="3"/>
  <c r="D24" i="3"/>
  <c r="C24" i="3"/>
  <c r="B24" i="3"/>
  <c r="A24" i="3"/>
  <c r="AX23" i="3"/>
  <c r="AW23" i="3"/>
  <c r="AV23" i="3"/>
  <c r="AS23" i="3"/>
  <c r="AR23" i="3"/>
  <c r="AQ23" i="3"/>
  <c r="AP23" i="3"/>
  <c r="AO23" i="3"/>
  <c r="AH23" i="3"/>
  <c r="AG23" i="3"/>
  <c r="AF23" i="3"/>
  <c r="AE23" i="3"/>
  <c r="AD23" i="3"/>
  <c r="AC23" i="3"/>
  <c r="AB23" i="3"/>
  <c r="Y23" i="3"/>
  <c r="X23" i="3"/>
  <c r="W23" i="3"/>
  <c r="J23" i="3"/>
  <c r="I23" i="3"/>
  <c r="G23" i="3"/>
  <c r="D23" i="3"/>
  <c r="C23" i="3"/>
  <c r="B23" i="3"/>
  <c r="A23" i="3"/>
  <c r="AX22" i="3"/>
  <c r="AW22" i="3"/>
  <c r="AV22" i="3"/>
  <c r="AS22" i="3"/>
  <c r="AR22" i="3"/>
  <c r="AQ22" i="3"/>
  <c r="AP22" i="3"/>
  <c r="AO22" i="3"/>
  <c r="AH22" i="3"/>
  <c r="AG22" i="3"/>
  <c r="AF22" i="3"/>
  <c r="AE22" i="3"/>
  <c r="AD22" i="3"/>
  <c r="AC22" i="3"/>
  <c r="AB22" i="3"/>
  <c r="Y22" i="3"/>
  <c r="X22" i="3"/>
  <c r="W22" i="3"/>
  <c r="J22" i="3"/>
  <c r="I22" i="3"/>
  <c r="G22" i="3"/>
  <c r="D22" i="3"/>
  <c r="C22" i="3"/>
  <c r="B22" i="3"/>
  <c r="A22" i="3"/>
  <c r="AX21" i="3"/>
  <c r="AW21" i="3"/>
  <c r="AV21" i="3"/>
  <c r="AS21" i="3"/>
  <c r="AR21" i="3"/>
  <c r="AQ21" i="3"/>
  <c r="AP21" i="3"/>
  <c r="AO21" i="3"/>
  <c r="AH21" i="3"/>
  <c r="AG21" i="3"/>
  <c r="AF21" i="3"/>
  <c r="AE21" i="3"/>
  <c r="AD21" i="3"/>
  <c r="AC21" i="3"/>
  <c r="AB21" i="3"/>
  <c r="Y21" i="3"/>
  <c r="X21" i="3"/>
  <c r="W21" i="3"/>
  <c r="J21" i="3"/>
  <c r="I21" i="3"/>
  <c r="G21" i="3"/>
  <c r="D21" i="3"/>
  <c r="C21" i="3"/>
  <c r="B21" i="3"/>
  <c r="A21" i="3"/>
  <c r="AX20" i="3"/>
  <c r="AW20" i="3"/>
  <c r="AV20" i="3"/>
  <c r="AS20" i="3"/>
  <c r="AR20" i="3"/>
  <c r="AQ20" i="3"/>
  <c r="AP20" i="3"/>
  <c r="AO20" i="3"/>
  <c r="AH20" i="3"/>
  <c r="AG20" i="3"/>
  <c r="AF20" i="3"/>
  <c r="AE20" i="3"/>
  <c r="AD20" i="3"/>
  <c r="AC20" i="3"/>
  <c r="AB20" i="3"/>
  <c r="Y20" i="3"/>
  <c r="X20" i="3"/>
  <c r="W20" i="3"/>
  <c r="J20" i="3"/>
  <c r="I20" i="3"/>
  <c r="G20" i="3"/>
  <c r="D20" i="3"/>
  <c r="C20" i="3"/>
  <c r="B20" i="3"/>
  <c r="A20" i="3"/>
  <c r="AX19" i="3"/>
  <c r="AW19" i="3"/>
  <c r="AV19" i="3"/>
  <c r="AS19" i="3"/>
  <c r="AR19" i="3"/>
  <c r="AQ19" i="3"/>
  <c r="AP19" i="3"/>
  <c r="AO19" i="3"/>
  <c r="AH19" i="3"/>
  <c r="AG19" i="3"/>
  <c r="AF19" i="3"/>
  <c r="AE19" i="3"/>
  <c r="AD19" i="3"/>
  <c r="AC19" i="3"/>
  <c r="AB19" i="3"/>
  <c r="Y19" i="3"/>
  <c r="X19" i="3"/>
  <c r="W19" i="3"/>
  <c r="J19" i="3"/>
  <c r="I19" i="3"/>
  <c r="G19" i="3"/>
  <c r="D19" i="3"/>
  <c r="C19" i="3"/>
  <c r="B19" i="3"/>
  <c r="A19" i="3"/>
  <c r="AX18" i="3"/>
  <c r="AW18" i="3"/>
  <c r="AV18" i="3"/>
  <c r="AS18" i="3"/>
  <c r="AR18" i="3"/>
  <c r="AQ18" i="3"/>
  <c r="AP18" i="3"/>
  <c r="AO18" i="3"/>
  <c r="AH18" i="3"/>
  <c r="AG18" i="3"/>
  <c r="AF18" i="3"/>
  <c r="AE18" i="3"/>
  <c r="AD18" i="3"/>
  <c r="AC18" i="3"/>
  <c r="AB18" i="3"/>
  <c r="Y18" i="3"/>
  <c r="X18" i="3"/>
  <c r="W18" i="3"/>
  <c r="J18" i="3"/>
  <c r="I18" i="3"/>
  <c r="G18" i="3"/>
  <c r="D18" i="3"/>
  <c r="C18" i="3"/>
  <c r="B18" i="3"/>
  <c r="A18" i="3"/>
  <c r="AX17" i="3"/>
  <c r="AW17" i="3"/>
  <c r="AV17" i="3"/>
  <c r="AS17" i="3"/>
  <c r="AR17" i="3"/>
  <c r="AQ17" i="3"/>
  <c r="AP17" i="3"/>
  <c r="AO17" i="3"/>
  <c r="AH17" i="3"/>
  <c r="AG17" i="3"/>
  <c r="AF17" i="3"/>
  <c r="AE17" i="3"/>
  <c r="AD17" i="3"/>
  <c r="AC17" i="3"/>
  <c r="AB17" i="3"/>
  <c r="Y17" i="3"/>
  <c r="X17" i="3"/>
  <c r="W17" i="3"/>
  <c r="J17" i="3"/>
  <c r="I17" i="3"/>
  <c r="G17" i="3"/>
  <c r="D17" i="3"/>
  <c r="C17" i="3"/>
  <c r="B17" i="3"/>
  <c r="A17" i="3"/>
  <c r="AX16" i="3"/>
  <c r="AW16" i="3"/>
  <c r="AV16" i="3"/>
  <c r="AS16" i="3"/>
  <c r="AR16" i="3"/>
  <c r="AQ16" i="3"/>
  <c r="AP16" i="3"/>
  <c r="AO16" i="3"/>
  <c r="AH16" i="3"/>
  <c r="AG16" i="3"/>
  <c r="AF16" i="3"/>
  <c r="AE16" i="3"/>
  <c r="AD16" i="3"/>
  <c r="AC16" i="3"/>
  <c r="AB16" i="3"/>
  <c r="Y16" i="3"/>
  <c r="X16" i="3"/>
  <c r="W16" i="3"/>
  <c r="J16" i="3"/>
  <c r="I16" i="3"/>
  <c r="G16" i="3"/>
  <c r="D16" i="3"/>
  <c r="C16" i="3"/>
  <c r="B16" i="3"/>
  <c r="A16" i="3"/>
  <c r="AX15" i="3"/>
  <c r="AW15" i="3"/>
  <c r="AV15" i="3"/>
  <c r="AS15" i="3"/>
  <c r="AR15" i="3"/>
  <c r="AQ15" i="3"/>
  <c r="AP15" i="3"/>
  <c r="AO15" i="3"/>
  <c r="AH15" i="3"/>
  <c r="AG15" i="3"/>
  <c r="AF15" i="3"/>
  <c r="AE15" i="3"/>
  <c r="AD15" i="3"/>
  <c r="AC15" i="3"/>
  <c r="AB15" i="3"/>
  <c r="Y15" i="3"/>
  <c r="X15" i="3"/>
  <c r="W15" i="3"/>
  <c r="J15" i="3"/>
  <c r="I15" i="3"/>
  <c r="G15" i="3"/>
  <c r="D15" i="3"/>
  <c r="C15" i="3"/>
  <c r="B15" i="3"/>
  <c r="A15" i="3"/>
  <c r="AX14" i="3"/>
  <c r="AW14" i="3"/>
  <c r="AV14" i="3"/>
  <c r="AS14" i="3"/>
  <c r="AR14" i="3"/>
  <c r="AQ14" i="3"/>
  <c r="AP14" i="3"/>
  <c r="AO14" i="3"/>
  <c r="AH14" i="3"/>
  <c r="AG14" i="3"/>
  <c r="AF14" i="3"/>
  <c r="AE14" i="3"/>
  <c r="AD14" i="3"/>
  <c r="AC14" i="3"/>
  <c r="AB14" i="3"/>
  <c r="Y14" i="3"/>
  <c r="X14" i="3"/>
  <c r="W14" i="3"/>
  <c r="J14" i="3"/>
  <c r="I14" i="3"/>
  <c r="G14" i="3"/>
  <c r="D14" i="3"/>
  <c r="C14" i="3"/>
  <c r="B14" i="3"/>
  <c r="A14" i="3"/>
  <c r="AX13" i="3"/>
  <c r="AW13" i="3"/>
  <c r="AV13" i="3"/>
  <c r="AS13" i="3"/>
  <c r="AR13" i="3"/>
  <c r="AQ13" i="3"/>
  <c r="AP13" i="3"/>
  <c r="AO13" i="3"/>
  <c r="AH13" i="3"/>
  <c r="AG13" i="3"/>
  <c r="AF13" i="3"/>
  <c r="AE13" i="3"/>
  <c r="AD13" i="3"/>
  <c r="AC13" i="3"/>
  <c r="AB13" i="3"/>
  <c r="Y13" i="3"/>
  <c r="X13" i="3"/>
  <c r="W13" i="3"/>
  <c r="J13" i="3"/>
  <c r="I13" i="3"/>
  <c r="G13" i="3"/>
  <c r="D13" i="3"/>
  <c r="C13" i="3"/>
  <c r="B13" i="3"/>
  <c r="A13" i="3"/>
  <c r="AX12" i="3"/>
  <c r="AW12" i="3"/>
  <c r="AV12" i="3"/>
  <c r="AS12" i="3"/>
  <c r="AR12" i="3"/>
  <c r="AQ12" i="3"/>
  <c r="AP12" i="3"/>
  <c r="AO12" i="3"/>
  <c r="AH12" i="3"/>
  <c r="AG12" i="3"/>
  <c r="AF12" i="3"/>
  <c r="AE12" i="3"/>
  <c r="AD12" i="3"/>
  <c r="AC12" i="3"/>
  <c r="AB12" i="3"/>
  <c r="Y12" i="3"/>
  <c r="X12" i="3"/>
  <c r="W12" i="3"/>
  <c r="J12" i="3"/>
  <c r="I12" i="3"/>
  <c r="G12" i="3"/>
  <c r="D12" i="3"/>
  <c r="C12" i="3"/>
  <c r="B12" i="3"/>
  <c r="A12" i="3"/>
  <c r="AX11" i="3"/>
  <c r="AW11" i="3"/>
  <c r="AV11" i="3"/>
  <c r="AS11" i="3"/>
  <c r="AR11" i="3"/>
  <c r="AQ11" i="3"/>
  <c r="AP11" i="3"/>
  <c r="AO11" i="3"/>
  <c r="AH11" i="3"/>
  <c r="AG11" i="3"/>
  <c r="AF11" i="3"/>
  <c r="AE11" i="3"/>
  <c r="AD11" i="3"/>
  <c r="AC11" i="3"/>
  <c r="AB11" i="3"/>
  <c r="Y11" i="3"/>
  <c r="X11" i="3"/>
  <c r="W11" i="3"/>
  <c r="J11" i="3"/>
  <c r="I11" i="3"/>
  <c r="G11" i="3"/>
  <c r="D11" i="3"/>
  <c r="C11" i="3"/>
  <c r="B11" i="3"/>
  <c r="A11" i="3"/>
  <c r="AX10" i="3"/>
  <c r="AW10" i="3"/>
  <c r="AV10" i="3"/>
  <c r="AS10" i="3"/>
  <c r="AR10" i="3"/>
  <c r="AQ10" i="3"/>
  <c r="AP10" i="3"/>
  <c r="AO10" i="3"/>
  <c r="AH10" i="3"/>
  <c r="AG10" i="3"/>
  <c r="AF10" i="3"/>
  <c r="AE10" i="3"/>
  <c r="AD10" i="3"/>
  <c r="AC10" i="3"/>
  <c r="AB10" i="3"/>
  <c r="Y10" i="3"/>
  <c r="X10" i="3"/>
  <c r="W10" i="3"/>
  <c r="J10" i="3"/>
  <c r="I10" i="3"/>
  <c r="G10" i="3"/>
  <c r="D10" i="3"/>
  <c r="C10" i="3"/>
  <c r="B10" i="3"/>
  <c r="A10" i="3"/>
  <c r="AX9" i="3"/>
  <c r="AW9" i="3"/>
  <c r="AV9" i="3"/>
  <c r="AS9" i="3"/>
  <c r="AR9" i="3"/>
  <c r="AQ9" i="3"/>
  <c r="AP9" i="3"/>
  <c r="AO9" i="3"/>
  <c r="AH9" i="3"/>
  <c r="AG9" i="3"/>
  <c r="AF9" i="3"/>
  <c r="AE9" i="3"/>
  <c r="AD9" i="3"/>
  <c r="AC9" i="3"/>
  <c r="AB9" i="3"/>
  <c r="Y9" i="3"/>
  <c r="X9" i="3"/>
  <c r="W9" i="3"/>
  <c r="J9" i="3"/>
  <c r="I9" i="3"/>
  <c r="G9" i="3"/>
  <c r="D9" i="3"/>
  <c r="C9" i="3"/>
  <c r="B9" i="3"/>
  <c r="A9" i="3"/>
  <c r="AX8" i="3"/>
  <c r="AW8" i="3"/>
  <c r="AV8" i="3"/>
  <c r="AS8" i="3"/>
  <c r="AR8" i="3"/>
  <c r="AQ8" i="3"/>
  <c r="AP8" i="3"/>
  <c r="AO8" i="3"/>
  <c r="AH8" i="3"/>
  <c r="AG8" i="3"/>
  <c r="AF8" i="3"/>
  <c r="AE8" i="3"/>
  <c r="AD8" i="3"/>
  <c r="AC8" i="3"/>
  <c r="AB8" i="3"/>
  <c r="Y8" i="3"/>
  <c r="X8" i="3"/>
  <c r="W8" i="3"/>
  <c r="J8" i="3"/>
  <c r="I8" i="3"/>
  <c r="G8" i="3"/>
  <c r="D8" i="3"/>
  <c r="C8" i="3"/>
  <c r="B8" i="3"/>
  <c r="A8" i="3"/>
  <c r="AX7" i="3"/>
  <c r="AW7" i="3"/>
  <c r="AV7" i="3"/>
  <c r="AS7" i="3"/>
  <c r="AR7" i="3"/>
  <c r="AQ7" i="3"/>
  <c r="AP7" i="3"/>
  <c r="AO7" i="3"/>
  <c r="AH7" i="3"/>
  <c r="AG7" i="3"/>
  <c r="AF7" i="3"/>
  <c r="AE7" i="3"/>
  <c r="AD7" i="3"/>
  <c r="AC7" i="3"/>
  <c r="AB7" i="3"/>
  <c r="Y7" i="3"/>
  <c r="X7" i="3"/>
  <c r="W7" i="3"/>
  <c r="J7" i="3"/>
  <c r="I7" i="3"/>
  <c r="G7" i="3"/>
  <c r="D7" i="3"/>
  <c r="C7" i="3"/>
  <c r="B7" i="3"/>
  <c r="A7" i="3"/>
  <c r="AX6" i="3"/>
  <c r="AW6" i="3"/>
  <c r="AV6" i="3"/>
  <c r="AS6" i="3"/>
  <c r="AR6" i="3"/>
  <c r="AQ6" i="3"/>
  <c r="AP6" i="3"/>
  <c r="AO6" i="3"/>
  <c r="AH6" i="3"/>
  <c r="AG6" i="3"/>
  <c r="AF6" i="3"/>
  <c r="AE6" i="3"/>
  <c r="AD6" i="3"/>
  <c r="AC6" i="3"/>
  <c r="AB6" i="3"/>
  <c r="Y6" i="3"/>
  <c r="X6" i="3"/>
  <c r="W6" i="3"/>
  <c r="J6" i="3"/>
  <c r="I6" i="3"/>
  <c r="G6" i="3"/>
  <c r="D6" i="3"/>
  <c r="C6" i="3"/>
  <c r="B6" i="3"/>
  <c r="A6" i="3"/>
  <c r="AX5" i="3"/>
  <c r="AW5" i="3"/>
  <c r="AV5" i="3"/>
  <c r="AS5" i="3"/>
  <c r="AR5" i="3"/>
  <c r="AQ5" i="3"/>
  <c r="AP5" i="3"/>
  <c r="AO5" i="3"/>
  <c r="AH5" i="3"/>
  <c r="AG5" i="3"/>
  <c r="AF5" i="3"/>
  <c r="AE5" i="3"/>
  <c r="AD5" i="3"/>
  <c r="AC5" i="3"/>
  <c r="AB5" i="3"/>
  <c r="Y5" i="3"/>
  <c r="X5" i="3"/>
  <c r="W5" i="3"/>
  <c r="J5" i="3"/>
  <c r="I5" i="3"/>
  <c r="G5" i="3"/>
  <c r="D5" i="3"/>
  <c r="C5" i="3"/>
  <c r="B5" i="3"/>
  <c r="A5" i="3"/>
  <c r="AX4" i="3"/>
  <c r="AW4" i="3"/>
  <c r="AV4" i="3"/>
  <c r="AS4" i="3"/>
  <c r="AR4" i="3"/>
  <c r="AQ4" i="3"/>
  <c r="AP4" i="3"/>
  <c r="AO4" i="3"/>
  <c r="AH4" i="3"/>
  <c r="AG4" i="3"/>
  <c r="AF4" i="3"/>
  <c r="AE4" i="3"/>
  <c r="AD4" i="3"/>
  <c r="AC4" i="3"/>
  <c r="AB4" i="3"/>
  <c r="Y4" i="3"/>
  <c r="X4" i="3"/>
  <c r="W4" i="3"/>
  <c r="J4" i="3"/>
  <c r="I4" i="3"/>
  <c r="G4" i="3"/>
  <c r="D4" i="3"/>
  <c r="C4" i="3"/>
  <c r="B4" i="3"/>
  <c r="A4" i="3"/>
  <c r="AX3" i="3"/>
  <c r="AW3" i="3"/>
  <c r="AV3" i="3"/>
  <c r="AS3" i="3"/>
  <c r="AR3" i="3"/>
  <c r="AQ3" i="3"/>
  <c r="AP3" i="3"/>
  <c r="AO3" i="3"/>
  <c r="AH3" i="3"/>
  <c r="AG3" i="3"/>
  <c r="AF3" i="3"/>
  <c r="AE3" i="3"/>
  <c r="AD3" i="3"/>
  <c r="AC3" i="3"/>
  <c r="AB3" i="3"/>
  <c r="Y3" i="3"/>
  <c r="X3" i="3"/>
  <c r="W3" i="3"/>
  <c r="J3" i="3"/>
  <c r="I3" i="3"/>
  <c r="G3" i="3"/>
  <c r="D3" i="3"/>
  <c r="C3" i="3"/>
  <c r="B3" i="3"/>
  <c r="A3" i="3"/>
  <c r="AX2" i="3"/>
  <c r="AW2" i="3"/>
  <c r="AV2" i="3"/>
  <c r="AS2" i="3"/>
  <c r="AR2" i="3"/>
  <c r="AQ2" i="3"/>
  <c r="AP2" i="3"/>
  <c r="AO2" i="3"/>
  <c r="AH2" i="3"/>
  <c r="AG2" i="3"/>
  <c r="AF2" i="3"/>
  <c r="AE2" i="3"/>
  <c r="AD2" i="3"/>
  <c r="AC2" i="3"/>
  <c r="AB2" i="3"/>
  <c r="Y2" i="3"/>
  <c r="X2" i="3"/>
  <c r="W2" i="3"/>
  <c r="J2" i="3"/>
  <c r="I2" i="3"/>
  <c r="G2" i="3"/>
  <c r="D2" i="3"/>
  <c r="C2" i="3"/>
  <c r="B2" i="3"/>
  <c r="A2" i="3"/>
</calcChain>
</file>

<file path=xl/sharedStrings.xml><?xml version="1.0" encoding="utf-8"?>
<sst xmlns="http://schemas.openxmlformats.org/spreadsheetml/2006/main" count="670" uniqueCount="263">
  <si>
    <t>string[64]</t>
  </si>
  <si>
    <t>dword</t>
  </si>
  <si>
    <t>float</t>
  </si>
  <si>
    <t>END</t>
  </si>
  <si>
    <t>Code</t>
  </si>
  <si>
    <t>Model</t>
  </si>
  <si>
    <t>Icon</t>
  </si>
  <si>
    <t>Name</t>
  </si>
  <si>
    <t>FixPart</t>
  </si>
  <si>
    <t>DefFrame</t>
  </si>
  <si>
    <t>WPType</t>
  </si>
  <si>
    <t>EffectGroup</t>
  </si>
  <si>
    <t>NeedBullet</t>
  </si>
  <si>
    <t>IsAbr</t>
  </si>
  <si>
    <t>DurUnit</t>
  </si>
  <si>
    <t>LvLim</t>
  </si>
  <si>
    <t>UpLvLim</t>
  </si>
  <si>
    <t>ExpertID1</t>
  </si>
  <si>
    <t>ExpertLim1</t>
  </si>
  <si>
    <t>ExpertID2</t>
  </si>
  <si>
    <t>ExpertLim2</t>
  </si>
  <si>
    <t>AttGap</t>
  </si>
  <si>
    <t>Attack_DP</t>
  </si>
  <si>
    <t>AttackRange</t>
  </si>
  <si>
    <t>AttackDelay</t>
  </si>
  <si>
    <t>MoveSpdRev</t>
  </si>
  <si>
    <t>GAMinAF</t>
  </si>
  <si>
    <t>GAMaxAF</t>
  </si>
  <si>
    <t>AttMastery</t>
  </si>
  <si>
    <t>GAMinSelProb</t>
  </si>
  <si>
    <t>GAMaxSelProb</t>
  </si>
  <si>
    <t>DefFc</t>
  </si>
  <si>
    <t>DefMastery</t>
  </si>
  <si>
    <t>Property</t>
  </si>
  <si>
    <t>Fire</t>
  </si>
  <si>
    <t>Water</t>
  </si>
  <si>
    <t>Soil</t>
  </si>
  <si>
    <t>Wind</t>
  </si>
  <si>
    <t>Money</t>
  </si>
  <si>
    <t>StdPrice</t>
  </si>
  <si>
    <t>StdPoint</t>
  </si>
  <si>
    <t>RepPrice</t>
  </si>
  <si>
    <t>DesRepPrice</t>
  </si>
  <si>
    <t>BstCha</t>
  </si>
  <si>
    <t>BstSpd</t>
  </si>
  <si>
    <t>BackSlt</t>
  </si>
  <si>
    <t>EffCode1</t>
  </si>
  <si>
    <t>EffUnit1</t>
  </si>
  <si>
    <t>EffCode2</t>
  </si>
  <si>
    <t>EffUnit2</t>
  </si>
  <si>
    <t>EffCode3</t>
  </si>
  <si>
    <t>EffUnit3</t>
  </si>
  <si>
    <t>EffCode4</t>
  </si>
  <si>
    <t>EffUnit4</t>
  </si>
  <si>
    <t>ToolTip</t>
  </si>
  <si>
    <t>AttEffType</t>
  </si>
  <si>
    <t>DefEffType</t>
  </si>
  <si>
    <t>unup001</t>
  </si>
  <si>
    <t>00200</t>
  </si>
  <si>
    <t>10000000</t>
  </si>
  <si>
    <t>unup002</t>
  </si>
  <si>
    <t>unup003</t>
  </si>
  <si>
    <t>unup004</t>
  </si>
  <si>
    <t>unup005</t>
  </si>
  <si>
    <t>unup006</t>
  </si>
  <si>
    <t>unup007</t>
  </si>
  <si>
    <t>unup008</t>
  </si>
  <si>
    <t>00207</t>
  </si>
  <si>
    <t>unup009</t>
  </si>
  <si>
    <t>00208</t>
  </si>
  <si>
    <t>unup010</t>
  </si>
  <si>
    <t>00209</t>
  </si>
  <si>
    <t>unup011</t>
  </si>
  <si>
    <t>0020A</t>
  </si>
  <si>
    <t>unup012</t>
  </si>
  <si>
    <t>0020C</t>
  </si>
  <si>
    <t>unup014</t>
  </si>
  <si>
    <t>unup015</t>
  </si>
  <si>
    <t>unup016</t>
  </si>
  <si>
    <t>00212</t>
  </si>
  <si>
    <t>unup017</t>
  </si>
  <si>
    <t>unup018</t>
  </si>
  <si>
    <t>unup019</t>
  </si>
  <si>
    <t>0022D</t>
  </si>
  <si>
    <t>unup020</t>
  </si>
  <si>
    <t>unup021</t>
  </si>
  <si>
    <t>10214</t>
  </si>
  <si>
    <t>01000000</t>
  </si>
  <si>
    <t>unup022</t>
  </si>
  <si>
    <t>unup023</t>
  </si>
  <si>
    <t>unup024</t>
  </si>
  <si>
    <t>10217</t>
  </si>
  <si>
    <t>unup025</t>
  </si>
  <si>
    <t>unup026</t>
  </si>
  <si>
    <t>unup027</t>
  </si>
  <si>
    <t>unup028</t>
  </si>
  <si>
    <t>1021B</t>
  </si>
  <si>
    <t>unup029</t>
  </si>
  <si>
    <t>1021C</t>
  </si>
  <si>
    <t>unup030</t>
  </si>
  <si>
    <t>1021D</t>
  </si>
  <si>
    <t>unup031</t>
  </si>
  <si>
    <t>1021E</t>
  </si>
  <si>
    <t>unup032</t>
  </si>
  <si>
    <t>unup033</t>
  </si>
  <si>
    <t>10220</t>
  </si>
  <si>
    <t>unup034</t>
  </si>
  <si>
    <t>unup035</t>
  </si>
  <si>
    <t>unup036</t>
  </si>
  <si>
    <t>10226</t>
  </si>
  <si>
    <t>unup037</t>
  </si>
  <si>
    <t>unup038</t>
  </si>
  <si>
    <t>unup039</t>
  </si>
  <si>
    <t>1022D</t>
  </si>
  <si>
    <t>unup040</t>
  </si>
  <si>
    <t>unup041</t>
  </si>
  <si>
    <t>20228</t>
  </si>
  <si>
    <t>00100000</t>
  </si>
  <si>
    <t>unup042</t>
  </si>
  <si>
    <t>20229</t>
  </si>
  <si>
    <t>unup043</t>
  </si>
  <si>
    <t>2022A</t>
  </si>
  <si>
    <t>unup044</t>
  </si>
  <si>
    <t>2022B</t>
  </si>
  <si>
    <t>unup045</t>
  </si>
  <si>
    <t>2022C</t>
  </si>
  <si>
    <t>unup046</t>
  </si>
  <si>
    <t>2022D</t>
  </si>
  <si>
    <t>unup047</t>
  </si>
  <si>
    <t>2022E</t>
  </si>
  <si>
    <t>unup048</t>
  </si>
  <si>
    <t>2022F</t>
  </si>
  <si>
    <t>unup049</t>
  </si>
  <si>
    <t>20230</t>
  </si>
  <si>
    <t>unup050</t>
  </si>
  <si>
    <t>20231</t>
  </si>
  <si>
    <t>unup051</t>
  </si>
  <si>
    <t>20232</t>
  </si>
  <si>
    <t>unup052</t>
  </si>
  <si>
    <t>20233</t>
  </si>
  <si>
    <t>unup053</t>
  </si>
  <si>
    <t>20234</t>
  </si>
  <si>
    <t>unup054</t>
  </si>
  <si>
    <t>20235</t>
  </si>
  <si>
    <t>unup055</t>
  </si>
  <si>
    <t>20236</t>
  </si>
  <si>
    <t>unup056</t>
  </si>
  <si>
    <t>20237</t>
  </si>
  <si>
    <t>unup057</t>
  </si>
  <si>
    <t>20238</t>
  </si>
  <si>
    <t>unup058</t>
  </si>
  <si>
    <t>20239</t>
  </si>
  <si>
    <t>unup059</t>
  </si>
  <si>
    <t>2023A</t>
  </si>
  <si>
    <t>unup060</t>
  </si>
  <si>
    <t>2023B</t>
  </si>
  <si>
    <t>unup061</t>
  </si>
  <si>
    <t>3023C</t>
  </si>
  <si>
    <t>00010000</t>
  </si>
  <si>
    <t>unup062</t>
  </si>
  <si>
    <t>3023D</t>
  </si>
  <si>
    <t>unup063</t>
  </si>
  <si>
    <t>3023E</t>
  </si>
  <si>
    <t>unup064</t>
  </si>
  <si>
    <t>3023F</t>
  </si>
  <si>
    <t>unup065</t>
  </si>
  <si>
    <t>30240</t>
  </si>
  <si>
    <t>unup066</t>
  </si>
  <si>
    <t>30241</t>
  </si>
  <si>
    <t>unup067</t>
  </si>
  <si>
    <t>30242</t>
  </si>
  <si>
    <t>unup068</t>
  </si>
  <si>
    <t>30243</t>
  </si>
  <si>
    <t>unup069</t>
  </si>
  <si>
    <t>30244</t>
  </si>
  <si>
    <t>unup070</t>
  </si>
  <si>
    <t>30245</t>
  </si>
  <si>
    <t>unup071</t>
  </si>
  <si>
    <t>30246</t>
  </si>
  <si>
    <t>unup072</t>
  </si>
  <si>
    <t>30247</t>
  </si>
  <si>
    <t>unup073</t>
  </si>
  <si>
    <t>30248</t>
  </si>
  <si>
    <t>unup074</t>
  </si>
  <si>
    <t>30249</t>
  </si>
  <si>
    <t>unup075</t>
  </si>
  <si>
    <t>3024A</t>
  </si>
  <si>
    <t>unup076</t>
  </si>
  <si>
    <t>3024B</t>
  </si>
  <si>
    <t>unup077</t>
  </si>
  <si>
    <t>3024C</t>
  </si>
  <si>
    <t>unup078</t>
  </si>
  <si>
    <t>3024D</t>
  </si>
  <si>
    <t>unup079</t>
  </si>
  <si>
    <t>3024E</t>
  </si>
  <si>
    <t>unup080</t>
  </si>
  <si>
    <t>3024F</t>
  </si>
  <si>
    <t>clcode</t>
  </si>
  <si>
    <t>xeh</t>
  </si>
  <si>
    <t>stb</t>
  </si>
  <si>
    <t>byte</t>
  </si>
  <si>
    <t>word</t>
  </si>
  <si>
    <t>Count</t>
  </si>
  <si>
    <t>Civil</t>
  </si>
  <si>
    <t>ListID</t>
  </si>
  <si>
    <t>none</t>
  </si>
  <si>
    <t>GoldPoint</t>
  </si>
  <si>
    <t>ProcPoint</t>
  </si>
  <si>
    <t>KillPoint</t>
  </si>
  <si>
    <t>StorePrice</t>
  </si>
  <si>
    <t>IsExchange</t>
  </si>
  <si>
    <t>IsSell</t>
  </si>
  <si>
    <t>IsGround</t>
  </si>
  <si>
    <t>IsStore</t>
  </si>
  <si>
    <t>Descript</t>
  </si>
  <si>
    <t>IsExist</t>
  </si>
  <si>
    <t>IsCash</t>
  </si>
  <si>
    <t>IsTime</t>
  </si>
  <si>
    <t>hz</t>
  </si>
  <si>
    <t>text</t>
  </si>
  <si>
    <t>Desc</t>
  </si>
  <si>
    <t>Pressed Armor</t>
  </si>
  <si>
    <t>Advance Pressed Armor</t>
  </si>
  <si>
    <t>F.Coating Protect</t>
  </si>
  <si>
    <t>Annex Hard Armor</t>
  </si>
  <si>
    <t>Heavy Duty Armor</t>
  </si>
  <si>
    <t>F.Reflect Protect</t>
  </si>
  <si>
    <t>HA Gigant Body</t>
  </si>
  <si>
    <t>T R O S Protect</t>
  </si>
  <si>
    <t>A R E S Protect</t>
  </si>
  <si>
    <t>Peace Keeper Protect Core</t>
  </si>
  <si>
    <t>Guardian Protect Core</t>
  </si>
  <si>
    <t>AA01 Titan Core</t>
  </si>
  <si>
    <t>Venom Core</t>
  </si>
  <si>
    <t>Mirage Core</t>
  </si>
  <si>
    <t>Normal Armor</t>
  </si>
  <si>
    <t>Heavy Catapult Armor</t>
  </si>
  <si>
    <t>Slender Armor</t>
  </si>
  <si>
    <t>High Density Armor</t>
  </si>
  <si>
    <t>High Density Slender Armor</t>
  </si>
  <si>
    <t>Stock Frame Armor</t>
  </si>
  <si>
    <t>HA Siege Armor</t>
  </si>
  <si>
    <t>VR Strike Armor</t>
  </si>
  <si>
    <t>Artillary Protector</t>
  </si>
  <si>
    <t>AAA Voltage Armor</t>
  </si>
  <si>
    <t>A S Torr Core</t>
  </si>
  <si>
    <t>Judgement Core</t>
  </si>
  <si>
    <t>Alter Core</t>
  </si>
  <si>
    <t>Irregular Core</t>
  </si>
  <si>
    <t>Basic upper component for close range type MAU</t>
  </si>
  <si>
    <t>Upper Component</t>
  </si>
  <si>
    <t>Normal upper component for long range type MAU</t>
  </si>
  <si>
    <t>11000000</t>
  </si>
  <si>
    <t>0022E</t>
  </si>
  <si>
    <t>00230</t>
  </si>
  <si>
    <t>if5pt00</t>
  </si>
  <si>
    <t>1022E</t>
  </si>
  <si>
    <t>10230</t>
  </si>
  <si>
    <t>Advanced Mirage Core</t>
  </si>
  <si>
    <t>Beelzebub Goliath Core</t>
  </si>
  <si>
    <t>NotUsed</t>
  </si>
  <si>
    <t>Advanced Unique Core</t>
  </si>
  <si>
    <t>Beelzebub Catapult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</si>
</sst>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1" fillId="4" borderId="2" xfId="1" applyBorder="1"/>
    <xf numFmtId="0" fontId="2" fillId="5" borderId="2" xfId="2" applyBorder="1"/>
    <xf numFmtId="0" fontId="2" fillId="5" borderId="1" xfId="2" applyBorder="1"/>
    <xf numFmtId="0" fontId="2" fillId="5" borderId="0" xfId="2"/>
    <xf numFmtId="0" fontId="0" fillId="6" borderId="2" xfId="0" applyFill="1" applyBorder="1"/>
    <xf numFmtId="0" fontId="0" fillId="6" borderId="1" xfId="0" applyFill="1" applyBorder="1"/>
    <xf numFmtId="0" fontId="0" fillId="6" borderId="0" xfId="0" applyFill="1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2"/>
  <sheetViews>
    <sheetView tabSelected="1" workbookViewId="0">
      <pane xSplit="1" ySplit="2" topLeftCell="O6" activePane="bottomRight" state="frozen"/>
      <selection pane="topRight" activeCell="B1" sqref="B1"/>
      <selection pane="bottomLeft" activeCell="A3" sqref="A3"/>
      <selection pane="bottomRight" activeCell="AK22" sqref="AK22"/>
    </sheetView>
  </sheetViews>
  <sheetFormatPr defaultRowHeight="15" x14ac:dyDescent="0.25"/>
  <cols>
    <col min="1" max="2" width="9.42578125" bestFit="1" customWidth="1"/>
    <col min="3" max="3" width="6.7109375" bestFit="1" customWidth="1"/>
    <col min="4" max="4" width="38.85546875" bestFit="1" customWidth="1"/>
    <col min="5" max="5" width="7.140625" bestFit="1" customWidth="1"/>
    <col min="6" max="6" width="9.7109375" bestFit="1" customWidth="1"/>
    <col min="7" max="7" width="8.28515625" bestFit="1" customWidth="1"/>
    <col min="8" max="8" width="11.5703125" bestFit="1" customWidth="1"/>
    <col min="9" max="9" width="11.140625" bestFit="1" customWidth="1"/>
    <col min="10" max="10" width="6.7109375" bestFit="1" customWidth="1"/>
    <col min="11" max="11" width="7.85546875" bestFit="1" customWidth="1"/>
    <col min="12" max="12" width="6.7109375" bestFit="1" customWidth="1"/>
    <col min="13" max="13" width="8.42578125" bestFit="1" customWidth="1"/>
    <col min="14" max="14" width="9.5703125" bestFit="1" customWidth="1"/>
    <col min="15" max="15" width="10.85546875" bestFit="1" customWidth="1"/>
    <col min="16" max="16" width="9.5703125" bestFit="1" customWidth="1"/>
    <col min="17" max="17" width="10.85546875" bestFit="1" customWidth="1"/>
    <col min="18" max="18" width="7.140625" bestFit="1" customWidth="1"/>
    <col min="19" max="19" width="10" bestFit="1" customWidth="1"/>
    <col min="20" max="20" width="12" bestFit="1" customWidth="1"/>
    <col min="21" max="21" width="11.5703125" bestFit="1" customWidth="1"/>
    <col min="22" max="22" width="12.5703125" bestFit="1" customWidth="1"/>
    <col min="23" max="23" width="9.28515625" bestFit="1" customWidth="1"/>
    <col min="24" max="24" width="9.5703125" bestFit="1" customWidth="1"/>
    <col min="25" max="25" width="10.85546875" bestFit="1" customWidth="1"/>
    <col min="26" max="26" width="14" bestFit="1" customWidth="1"/>
    <col min="27" max="27" width="14.28515625" bestFit="1" customWidth="1"/>
    <col min="28" max="28" width="6.7109375" bestFit="1" customWidth="1"/>
    <col min="29" max="29" width="11.28515625" bestFit="1" customWidth="1"/>
    <col min="30" max="30" width="8.7109375" bestFit="1" customWidth="1"/>
    <col min="31" max="34" width="6.7109375" bestFit="1" customWidth="1"/>
    <col min="35" max="35" width="7.140625" bestFit="1" customWidth="1"/>
    <col min="36" max="36" width="9" bestFit="1" customWidth="1"/>
    <col min="37" max="37" width="8.5703125" bestFit="1" customWidth="1"/>
    <col min="38" max="38" width="8.85546875" bestFit="1" customWidth="1"/>
    <col min="39" max="39" width="12.140625" bestFit="1" customWidth="1"/>
    <col min="40" max="41" width="7" bestFit="1" customWidth="1"/>
    <col min="42" max="42" width="7.28515625" bestFit="1" customWidth="1"/>
    <col min="43" max="43" width="9" bestFit="1" customWidth="1"/>
    <col min="44" max="44" width="8.140625" bestFit="1" customWidth="1"/>
    <col min="45" max="45" width="9" bestFit="1" customWidth="1"/>
    <col min="46" max="46" width="8.140625" bestFit="1" customWidth="1"/>
    <col min="47" max="47" width="9" bestFit="1" customWidth="1"/>
    <col min="48" max="48" width="8.140625" bestFit="1" customWidth="1"/>
    <col min="49" max="49" width="9" bestFit="1" customWidth="1"/>
    <col min="50" max="50" width="8.140625" bestFit="1" customWidth="1"/>
    <col min="51" max="51" width="9.42578125" bestFit="1" customWidth="1"/>
    <col min="52" max="52" width="10.42578125" bestFit="1" customWidth="1"/>
    <col min="53" max="53" width="10.85546875" bestFit="1" customWidth="1"/>
    <col min="54" max="54" width="4.7109375" bestFit="1" customWidth="1"/>
  </cols>
  <sheetData>
    <row r="1" spans="1:54" x14ac:dyDescent="0.25">
      <c r="A1" s="2" t="s">
        <v>0</v>
      </c>
      <c r="B1" s="2" t="s">
        <v>0</v>
      </c>
      <c r="C1" s="2" t="s">
        <v>1</v>
      </c>
      <c r="D1" s="2" t="s">
        <v>0</v>
      </c>
      <c r="E1" s="2" t="s">
        <v>1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2</v>
      </c>
      <c r="S1" s="2" t="s">
        <v>1</v>
      </c>
      <c r="T1" s="2" t="s">
        <v>2</v>
      </c>
      <c r="U1" s="2" t="s">
        <v>1</v>
      </c>
      <c r="V1" s="2" t="s">
        <v>2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2</v>
      </c>
      <c r="AP1" s="2" t="s">
        <v>1</v>
      </c>
      <c r="AQ1" s="2" t="s">
        <v>1</v>
      </c>
      <c r="AR1" s="2" t="s">
        <v>2</v>
      </c>
      <c r="AS1" s="2" t="s">
        <v>1</v>
      </c>
      <c r="AT1" s="2" t="s">
        <v>2</v>
      </c>
      <c r="AU1" s="2" t="s">
        <v>1</v>
      </c>
      <c r="AV1" s="2" t="s">
        <v>2</v>
      </c>
      <c r="AW1" s="2" t="s">
        <v>1</v>
      </c>
      <c r="AX1" s="2" t="s">
        <v>2</v>
      </c>
      <c r="AY1" s="2" t="s">
        <v>0</v>
      </c>
      <c r="AZ1" s="2" t="s">
        <v>1</v>
      </c>
      <c r="BA1" s="2" t="s">
        <v>1</v>
      </c>
      <c r="BB1" s="2" t="s">
        <v>3</v>
      </c>
    </row>
    <row r="2" spans="1:54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/>
    </row>
    <row r="3" spans="1:54" x14ac:dyDescent="0.25">
      <c r="A3" s="3" t="s">
        <v>57</v>
      </c>
      <c r="B3" s="3" t="s">
        <v>58</v>
      </c>
      <c r="C3" s="3">
        <v>1</v>
      </c>
      <c r="D3" s="3" t="s">
        <v>221</v>
      </c>
      <c r="E3" s="3">
        <v>1</v>
      </c>
      <c r="F3" s="3" t="s">
        <v>59</v>
      </c>
      <c r="G3" s="2">
        <v>-1</v>
      </c>
      <c r="H3" s="2">
        <v>-1</v>
      </c>
      <c r="I3" s="2">
        <v>-1</v>
      </c>
      <c r="J3" s="2">
        <v>0</v>
      </c>
      <c r="K3" s="2">
        <v>0</v>
      </c>
      <c r="L3" s="3">
        <v>30</v>
      </c>
      <c r="M3" s="3">
        <v>-1</v>
      </c>
      <c r="N3" s="3">
        <v>2</v>
      </c>
      <c r="O3" s="3">
        <v>1</v>
      </c>
      <c r="P3" s="3">
        <v>-1</v>
      </c>
      <c r="Q3" s="3">
        <v>-1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-1</v>
      </c>
      <c r="X3" s="2">
        <v>-1</v>
      </c>
      <c r="Y3" s="3">
        <v>0</v>
      </c>
      <c r="Z3" s="2">
        <v>50</v>
      </c>
      <c r="AA3" s="2">
        <v>50</v>
      </c>
      <c r="AB3" s="3">
        <v>607</v>
      </c>
      <c r="AC3" s="3">
        <v>49</v>
      </c>
      <c r="AD3" s="2">
        <v>-1</v>
      </c>
      <c r="AE3" s="3">
        <v>5</v>
      </c>
      <c r="AF3" s="3">
        <v>5</v>
      </c>
      <c r="AG3" s="3">
        <v>5</v>
      </c>
      <c r="AH3" s="3">
        <v>5</v>
      </c>
      <c r="AI3" s="3">
        <v>0</v>
      </c>
      <c r="AJ3" s="3">
        <v>100000</v>
      </c>
      <c r="AK3" s="3">
        <v>1</v>
      </c>
      <c r="AL3" s="3">
        <v>1</v>
      </c>
      <c r="AM3" s="2">
        <v>2000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 t="str">
        <f>"t"&amp;A3</f>
        <v>tunup001</v>
      </c>
      <c r="AZ3" s="3">
        <v>-1</v>
      </c>
      <c r="BA3" s="3">
        <v>2</v>
      </c>
      <c r="BB3" s="2"/>
    </row>
    <row r="4" spans="1:54" x14ac:dyDescent="0.25">
      <c r="A4" s="3" t="s">
        <v>60</v>
      </c>
      <c r="B4" s="3" t="s">
        <v>253</v>
      </c>
      <c r="C4" s="3">
        <v>16</v>
      </c>
      <c r="D4" s="3" t="s">
        <v>258</v>
      </c>
      <c r="E4" s="3">
        <v>1</v>
      </c>
      <c r="F4" s="3" t="s">
        <v>59</v>
      </c>
      <c r="G4" s="2">
        <v>-1</v>
      </c>
      <c r="H4" s="2">
        <v>-1</v>
      </c>
      <c r="I4" s="2">
        <v>-1</v>
      </c>
      <c r="J4" s="2">
        <v>0</v>
      </c>
      <c r="K4" s="2">
        <v>0</v>
      </c>
      <c r="L4" s="3">
        <v>67</v>
      </c>
      <c r="M4" s="3">
        <v>-1</v>
      </c>
      <c r="N4" s="3">
        <v>2</v>
      </c>
      <c r="O4" s="3">
        <v>99</v>
      </c>
      <c r="P4" s="3">
        <v>-1</v>
      </c>
      <c r="Q4" s="3">
        <v>-1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2">
        <v>-1</v>
      </c>
      <c r="X4" s="2">
        <v>-1</v>
      </c>
      <c r="Y4" s="3">
        <v>0</v>
      </c>
      <c r="Z4" s="2">
        <v>50</v>
      </c>
      <c r="AA4" s="2">
        <v>50</v>
      </c>
      <c r="AB4" s="3">
        <v>27648</v>
      </c>
      <c r="AC4" s="3">
        <v>49</v>
      </c>
      <c r="AD4" s="2">
        <v>-1</v>
      </c>
      <c r="AE4" s="3">
        <v>38</v>
      </c>
      <c r="AF4" s="3">
        <v>38</v>
      </c>
      <c r="AG4" s="3">
        <v>38</v>
      </c>
      <c r="AH4" s="3">
        <v>38</v>
      </c>
      <c r="AI4" s="3">
        <v>0</v>
      </c>
      <c r="AJ4" s="3">
        <v>45360000</v>
      </c>
      <c r="AK4" s="3">
        <v>3</v>
      </c>
      <c r="AL4" s="3">
        <v>9</v>
      </c>
      <c r="AM4" s="2">
        <v>142000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 t="str">
        <f t="shared" ref="AY4:AY67" si="0">"t"&amp;A4</f>
        <v>tunup002</v>
      </c>
      <c r="AZ4" s="3">
        <v>-1</v>
      </c>
      <c r="BA4" s="3">
        <v>2</v>
      </c>
      <c r="BB4" s="2"/>
    </row>
    <row r="5" spans="1:54" x14ac:dyDescent="0.25">
      <c r="A5" s="3" t="s">
        <v>61</v>
      </c>
      <c r="B5" s="3" t="s">
        <v>254</v>
      </c>
      <c r="C5" s="3">
        <v>17</v>
      </c>
      <c r="D5" s="3" t="s">
        <v>259</v>
      </c>
      <c r="E5" s="3">
        <v>1</v>
      </c>
      <c r="F5" s="3" t="s">
        <v>59</v>
      </c>
      <c r="G5" s="2">
        <v>-1</v>
      </c>
      <c r="H5" s="2">
        <v>-1</v>
      </c>
      <c r="I5" s="2">
        <v>-1</v>
      </c>
      <c r="J5" s="2">
        <v>0</v>
      </c>
      <c r="K5" s="2">
        <v>0</v>
      </c>
      <c r="L5" s="3">
        <v>72</v>
      </c>
      <c r="M5" s="3">
        <v>-1</v>
      </c>
      <c r="N5" s="3">
        <v>2</v>
      </c>
      <c r="O5" s="3">
        <v>99</v>
      </c>
      <c r="P5" s="3">
        <v>-1</v>
      </c>
      <c r="Q5" s="3">
        <v>-1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-1</v>
      </c>
      <c r="X5" s="2">
        <v>-1</v>
      </c>
      <c r="Y5" s="3">
        <v>0</v>
      </c>
      <c r="Z5" s="2">
        <v>50</v>
      </c>
      <c r="AA5" s="2">
        <v>50</v>
      </c>
      <c r="AB5" s="3">
        <v>33000</v>
      </c>
      <c r="AC5" s="3">
        <v>60</v>
      </c>
      <c r="AD5" s="2">
        <v>-1</v>
      </c>
      <c r="AE5" s="3">
        <v>40</v>
      </c>
      <c r="AF5" s="3">
        <v>40</v>
      </c>
      <c r="AG5" s="3">
        <v>40</v>
      </c>
      <c r="AH5" s="3">
        <v>40</v>
      </c>
      <c r="AI5" s="3">
        <v>0</v>
      </c>
      <c r="AJ5" s="3">
        <v>75000000</v>
      </c>
      <c r="AK5" s="3">
        <v>3</v>
      </c>
      <c r="AL5" s="3">
        <v>10</v>
      </c>
      <c r="AM5" s="2">
        <v>142000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 t="str">
        <f t="shared" si="0"/>
        <v>tunup003</v>
      </c>
      <c r="AZ5" s="3">
        <v>-1</v>
      </c>
      <c r="BA5" s="3">
        <v>2</v>
      </c>
      <c r="BB5" s="2"/>
    </row>
    <row r="6" spans="1:54" x14ac:dyDescent="0.25">
      <c r="A6" s="3" t="s">
        <v>62</v>
      </c>
      <c r="B6" s="3" t="s">
        <v>58</v>
      </c>
      <c r="C6" s="3">
        <v>100</v>
      </c>
      <c r="D6" s="3" t="s">
        <v>222</v>
      </c>
      <c r="E6" s="3">
        <v>1</v>
      </c>
      <c r="F6" s="3" t="s">
        <v>59</v>
      </c>
      <c r="G6" s="2">
        <v>-1</v>
      </c>
      <c r="H6" s="2">
        <v>-1</v>
      </c>
      <c r="I6" s="2">
        <v>-1</v>
      </c>
      <c r="J6" s="2">
        <v>0</v>
      </c>
      <c r="K6" s="2">
        <v>0</v>
      </c>
      <c r="L6" s="3">
        <v>100</v>
      </c>
      <c r="M6" s="3">
        <v>-1</v>
      </c>
      <c r="N6" s="3">
        <v>2</v>
      </c>
      <c r="O6" s="3">
        <v>100</v>
      </c>
      <c r="P6" s="3">
        <v>-1</v>
      </c>
      <c r="Q6" s="3">
        <v>-1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-1</v>
      </c>
      <c r="X6" s="2">
        <v>-1</v>
      </c>
      <c r="Y6" s="3">
        <v>0</v>
      </c>
      <c r="Z6" s="2">
        <v>50</v>
      </c>
      <c r="AA6" s="2">
        <v>50</v>
      </c>
      <c r="AB6" s="3">
        <v>843</v>
      </c>
      <c r="AC6" s="3">
        <v>49</v>
      </c>
      <c r="AD6" s="2">
        <v>-1</v>
      </c>
      <c r="AE6" s="3">
        <v>75</v>
      </c>
      <c r="AF6" s="3">
        <v>75</v>
      </c>
      <c r="AG6" s="3">
        <v>75</v>
      </c>
      <c r="AH6" s="3">
        <v>75</v>
      </c>
      <c r="AI6" s="3">
        <v>0</v>
      </c>
      <c r="AJ6" s="3">
        <v>7100000</v>
      </c>
      <c r="AK6" s="3">
        <v>1</v>
      </c>
      <c r="AL6" s="3">
        <v>1</v>
      </c>
      <c r="AM6" s="2">
        <v>142000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 t="str">
        <f t="shared" si="0"/>
        <v>tunup004</v>
      </c>
      <c r="AZ6" s="3">
        <v>-1</v>
      </c>
      <c r="BA6" s="3">
        <v>2</v>
      </c>
      <c r="BB6" s="2"/>
    </row>
    <row r="7" spans="1:54" x14ac:dyDescent="0.25">
      <c r="A7" s="3" t="s">
        <v>63</v>
      </c>
      <c r="B7" s="3" t="s">
        <v>58</v>
      </c>
      <c r="C7" s="3">
        <v>100</v>
      </c>
      <c r="D7" s="3" t="s">
        <v>223</v>
      </c>
      <c r="E7" s="3">
        <v>1</v>
      </c>
      <c r="F7" s="3" t="s">
        <v>59</v>
      </c>
      <c r="G7" s="2">
        <v>-1</v>
      </c>
      <c r="H7" s="2">
        <v>-1</v>
      </c>
      <c r="I7" s="2">
        <v>-1</v>
      </c>
      <c r="J7" s="2">
        <v>0</v>
      </c>
      <c r="K7" s="2">
        <v>0</v>
      </c>
      <c r="L7" s="3">
        <v>100</v>
      </c>
      <c r="M7" s="3">
        <v>-1</v>
      </c>
      <c r="N7" s="3">
        <v>2</v>
      </c>
      <c r="O7" s="3">
        <v>100</v>
      </c>
      <c r="P7" s="3">
        <v>-1</v>
      </c>
      <c r="Q7" s="3">
        <v>-1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-1</v>
      </c>
      <c r="X7" s="2">
        <v>-1</v>
      </c>
      <c r="Y7" s="3">
        <v>0</v>
      </c>
      <c r="Z7" s="2">
        <v>50</v>
      </c>
      <c r="AA7" s="2">
        <v>50</v>
      </c>
      <c r="AB7" s="3">
        <v>843</v>
      </c>
      <c r="AC7" s="3">
        <v>49</v>
      </c>
      <c r="AD7" s="2">
        <v>-1</v>
      </c>
      <c r="AE7" s="3">
        <v>75</v>
      </c>
      <c r="AF7" s="3">
        <v>75</v>
      </c>
      <c r="AG7" s="3">
        <v>75</v>
      </c>
      <c r="AH7" s="3">
        <v>75</v>
      </c>
      <c r="AI7" s="3">
        <v>0</v>
      </c>
      <c r="AJ7" s="3">
        <v>7100000</v>
      </c>
      <c r="AK7" s="3">
        <v>1</v>
      </c>
      <c r="AL7" s="3">
        <v>1</v>
      </c>
      <c r="AM7" s="2">
        <v>142000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 t="str">
        <f t="shared" si="0"/>
        <v>tunup005</v>
      </c>
      <c r="AZ7" s="3">
        <v>-1</v>
      </c>
      <c r="BA7" s="3">
        <v>2</v>
      </c>
      <c r="BB7" s="2"/>
    </row>
    <row r="8" spans="1:54" x14ac:dyDescent="0.25">
      <c r="A8" s="3" t="s">
        <v>64</v>
      </c>
      <c r="B8" s="3" t="s">
        <v>58</v>
      </c>
      <c r="C8" s="3">
        <v>1</v>
      </c>
      <c r="D8" s="3" t="s">
        <v>224</v>
      </c>
      <c r="E8" s="3">
        <v>1</v>
      </c>
      <c r="F8" s="3" t="s">
        <v>59</v>
      </c>
      <c r="G8" s="2">
        <v>-1</v>
      </c>
      <c r="H8" s="2">
        <v>-1</v>
      </c>
      <c r="I8" s="2">
        <v>-1</v>
      </c>
      <c r="J8" s="2">
        <v>0</v>
      </c>
      <c r="K8" s="2">
        <v>0</v>
      </c>
      <c r="L8" s="3">
        <v>38</v>
      </c>
      <c r="M8" s="3">
        <v>-1</v>
      </c>
      <c r="N8" s="3">
        <v>2</v>
      </c>
      <c r="O8" s="3">
        <v>55</v>
      </c>
      <c r="P8" s="3">
        <v>-1</v>
      </c>
      <c r="Q8" s="3">
        <v>-1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-1</v>
      </c>
      <c r="X8" s="2">
        <v>-1</v>
      </c>
      <c r="Y8" s="3">
        <v>0</v>
      </c>
      <c r="Z8" s="2">
        <v>50</v>
      </c>
      <c r="AA8" s="2">
        <v>50</v>
      </c>
      <c r="AB8" s="3">
        <v>2025</v>
      </c>
      <c r="AC8" s="3">
        <v>49</v>
      </c>
      <c r="AD8" s="2">
        <v>-1</v>
      </c>
      <c r="AE8" s="3">
        <v>13</v>
      </c>
      <c r="AF8" s="3">
        <v>13</v>
      </c>
      <c r="AG8" s="3">
        <v>13</v>
      </c>
      <c r="AH8" s="3">
        <v>13</v>
      </c>
      <c r="AI8" s="3">
        <v>0</v>
      </c>
      <c r="AJ8" s="3">
        <v>900000</v>
      </c>
      <c r="AK8" s="3">
        <v>1</v>
      </c>
      <c r="AL8" s="3">
        <v>1</v>
      </c>
      <c r="AM8" s="2">
        <v>18000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 t="str">
        <f t="shared" si="0"/>
        <v>tunup006</v>
      </c>
      <c r="AZ8" s="3">
        <v>-1</v>
      </c>
      <c r="BA8" s="3">
        <v>2</v>
      </c>
      <c r="BB8" s="2"/>
    </row>
    <row r="9" spans="1:54" x14ac:dyDescent="0.25">
      <c r="A9" s="3" t="s">
        <v>65</v>
      </c>
      <c r="B9" s="3" t="s">
        <v>58</v>
      </c>
      <c r="C9" s="3">
        <v>100</v>
      </c>
      <c r="D9" s="3" t="s">
        <v>260</v>
      </c>
      <c r="E9" s="3">
        <v>1</v>
      </c>
      <c r="F9" s="3" t="s">
        <v>59</v>
      </c>
      <c r="G9" s="2">
        <v>-1</v>
      </c>
      <c r="H9" s="2">
        <v>-1</v>
      </c>
      <c r="I9" s="2">
        <v>-1</v>
      </c>
      <c r="J9" s="2">
        <v>0</v>
      </c>
      <c r="K9" s="2">
        <v>0</v>
      </c>
      <c r="L9" s="3">
        <v>100</v>
      </c>
      <c r="M9" s="3">
        <v>-1</v>
      </c>
      <c r="N9" s="3">
        <v>2</v>
      </c>
      <c r="O9" s="3">
        <v>61</v>
      </c>
      <c r="P9" s="3">
        <v>-1</v>
      </c>
      <c r="Q9" s="3">
        <v>-1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-1</v>
      </c>
      <c r="X9" s="2">
        <v>-1</v>
      </c>
      <c r="Y9" s="3">
        <v>0</v>
      </c>
      <c r="Z9" s="2">
        <v>50</v>
      </c>
      <c r="AA9" s="2">
        <v>50</v>
      </c>
      <c r="AB9" s="3">
        <v>1012</v>
      </c>
      <c r="AC9" s="3">
        <v>49</v>
      </c>
      <c r="AD9" s="2">
        <v>-1</v>
      </c>
      <c r="AE9" s="3">
        <v>75</v>
      </c>
      <c r="AF9" s="3">
        <v>75</v>
      </c>
      <c r="AG9" s="3">
        <v>75</v>
      </c>
      <c r="AH9" s="3">
        <v>75</v>
      </c>
      <c r="AI9" s="3">
        <v>0</v>
      </c>
      <c r="AJ9" s="3">
        <v>7100000</v>
      </c>
      <c r="AK9" s="3">
        <v>1</v>
      </c>
      <c r="AL9" s="3">
        <v>1</v>
      </c>
      <c r="AM9" s="2">
        <v>142000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 t="str">
        <f t="shared" si="0"/>
        <v>tunup007</v>
      </c>
      <c r="AZ9" s="3">
        <v>-1</v>
      </c>
      <c r="BA9" s="3">
        <v>2</v>
      </c>
      <c r="BB9" s="2"/>
    </row>
    <row r="10" spans="1:54" x14ac:dyDescent="0.25">
      <c r="A10" s="3" t="s">
        <v>66</v>
      </c>
      <c r="B10" s="3" t="s">
        <v>67</v>
      </c>
      <c r="C10" s="3">
        <v>100</v>
      </c>
      <c r="D10" s="3" t="s">
        <v>260</v>
      </c>
      <c r="E10" s="3">
        <v>1</v>
      </c>
      <c r="F10" s="3" t="s">
        <v>59</v>
      </c>
      <c r="G10" s="2">
        <v>-1</v>
      </c>
      <c r="H10" s="2">
        <v>-1</v>
      </c>
      <c r="I10" s="2">
        <v>-1</v>
      </c>
      <c r="J10" s="2">
        <v>0</v>
      </c>
      <c r="K10" s="2">
        <v>0</v>
      </c>
      <c r="L10" s="3">
        <v>100</v>
      </c>
      <c r="M10" s="3">
        <v>-1</v>
      </c>
      <c r="N10" s="3">
        <v>2</v>
      </c>
      <c r="O10" s="3">
        <v>100</v>
      </c>
      <c r="P10" s="3">
        <v>-1</v>
      </c>
      <c r="Q10" s="3">
        <v>-1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-1</v>
      </c>
      <c r="X10" s="2">
        <v>-1</v>
      </c>
      <c r="Y10" s="3">
        <v>0</v>
      </c>
      <c r="Z10" s="2">
        <v>50</v>
      </c>
      <c r="AA10" s="2">
        <v>50</v>
      </c>
      <c r="AB10" s="3">
        <v>112</v>
      </c>
      <c r="AC10" s="3">
        <v>49</v>
      </c>
      <c r="AD10" s="2">
        <v>-1</v>
      </c>
      <c r="AE10" s="3">
        <v>75</v>
      </c>
      <c r="AF10" s="3">
        <v>75</v>
      </c>
      <c r="AG10" s="3">
        <v>75</v>
      </c>
      <c r="AH10" s="3">
        <v>75</v>
      </c>
      <c r="AI10" s="3">
        <v>0</v>
      </c>
      <c r="AJ10" s="3">
        <v>7100000</v>
      </c>
      <c r="AK10" s="3">
        <v>1</v>
      </c>
      <c r="AL10" s="3">
        <v>1</v>
      </c>
      <c r="AM10" s="2">
        <v>142000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 t="str">
        <f t="shared" si="0"/>
        <v>tunup008</v>
      </c>
      <c r="AZ10" s="3">
        <v>-1</v>
      </c>
      <c r="BA10" s="3">
        <v>2</v>
      </c>
      <c r="BB10" s="2"/>
    </row>
    <row r="11" spans="1:54" x14ac:dyDescent="0.25">
      <c r="A11" s="3" t="s">
        <v>68</v>
      </c>
      <c r="B11" s="3" t="s">
        <v>69</v>
      </c>
      <c r="C11" s="3">
        <v>100</v>
      </c>
      <c r="D11" s="3" t="s">
        <v>260</v>
      </c>
      <c r="E11" s="3">
        <v>1</v>
      </c>
      <c r="F11" s="3" t="s">
        <v>59</v>
      </c>
      <c r="G11" s="2">
        <v>-1</v>
      </c>
      <c r="H11" s="2">
        <v>-1</v>
      </c>
      <c r="I11" s="2">
        <v>-1</v>
      </c>
      <c r="J11" s="2">
        <v>0</v>
      </c>
      <c r="K11" s="2">
        <v>0</v>
      </c>
      <c r="L11" s="3">
        <v>100</v>
      </c>
      <c r="M11" s="3">
        <v>-1</v>
      </c>
      <c r="N11" s="3">
        <v>2</v>
      </c>
      <c r="O11" s="3">
        <v>100</v>
      </c>
      <c r="P11" s="3">
        <v>-1</v>
      </c>
      <c r="Q11" s="3">
        <v>-1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-1</v>
      </c>
      <c r="X11" s="2">
        <v>-1</v>
      </c>
      <c r="Y11" s="3">
        <v>0</v>
      </c>
      <c r="Z11" s="2">
        <v>50</v>
      </c>
      <c r="AA11" s="2">
        <v>50</v>
      </c>
      <c r="AB11" s="3">
        <v>112</v>
      </c>
      <c r="AC11" s="3">
        <v>49</v>
      </c>
      <c r="AD11" s="2">
        <v>-1</v>
      </c>
      <c r="AE11" s="3">
        <v>75</v>
      </c>
      <c r="AF11" s="3">
        <v>75</v>
      </c>
      <c r="AG11" s="3">
        <v>75</v>
      </c>
      <c r="AH11" s="3">
        <v>75</v>
      </c>
      <c r="AI11" s="3">
        <v>0</v>
      </c>
      <c r="AJ11" s="3">
        <v>7100000</v>
      </c>
      <c r="AK11" s="3">
        <v>1</v>
      </c>
      <c r="AL11" s="3">
        <v>1</v>
      </c>
      <c r="AM11" s="2">
        <v>142000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 t="str">
        <f t="shared" si="0"/>
        <v>tunup009</v>
      </c>
      <c r="AZ11" s="3">
        <v>-1</v>
      </c>
      <c r="BA11" s="3">
        <v>2</v>
      </c>
      <c r="BB11" s="2"/>
    </row>
    <row r="12" spans="1:54" x14ac:dyDescent="0.25">
      <c r="A12" s="3" t="s">
        <v>70</v>
      </c>
      <c r="B12" s="3" t="s">
        <v>71</v>
      </c>
      <c r="C12" s="3">
        <v>2</v>
      </c>
      <c r="D12" s="3" t="s">
        <v>225</v>
      </c>
      <c r="E12" s="3">
        <v>1</v>
      </c>
      <c r="F12" s="3" t="s">
        <v>59</v>
      </c>
      <c r="G12" s="2">
        <v>-1</v>
      </c>
      <c r="H12" s="2">
        <v>-1</v>
      </c>
      <c r="I12" s="2">
        <v>-1</v>
      </c>
      <c r="J12" s="2">
        <v>0</v>
      </c>
      <c r="K12" s="2">
        <v>0</v>
      </c>
      <c r="L12" s="3">
        <v>40</v>
      </c>
      <c r="M12" s="3">
        <v>-1</v>
      </c>
      <c r="N12" s="3">
        <v>2</v>
      </c>
      <c r="O12" s="3">
        <v>70</v>
      </c>
      <c r="P12" s="3">
        <v>-1</v>
      </c>
      <c r="Q12" s="3">
        <v>-1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-1</v>
      </c>
      <c r="X12" s="2">
        <v>-1</v>
      </c>
      <c r="Y12" s="3">
        <v>0</v>
      </c>
      <c r="Z12" s="2">
        <v>50</v>
      </c>
      <c r="AA12" s="2">
        <v>50</v>
      </c>
      <c r="AB12" s="3">
        <v>2685</v>
      </c>
      <c r="AC12" s="3">
        <v>49</v>
      </c>
      <c r="AD12" s="2">
        <v>-1</v>
      </c>
      <c r="AE12" s="3">
        <v>15</v>
      </c>
      <c r="AF12" s="3">
        <v>15</v>
      </c>
      <c r="AG12" s="3">
        <v>15</v>
      </c>
      <c r="AH12" s="3">
        <v>15</v>
      </c>
      <c r="AI12" s="3">
        <v>0</v>
      </c>
      <c r="AJ12" s="3">
        <v>1100000</v>
      </c>
      <c r="AK12" s="3">
        <v>1</v>
      </c>
      <c r="AL12" s="3">
        <v>1</v>
      </c>
      <c r="AM12" s="2">
        <v>22000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 t="str">
        <f t="shared" si="0"/>
        <v>tunup010</v>
      </c>
      <c r="AZ12" s="3">
        <v>-1</v>
      </c>
      <c r="BA12" s="3">
        <v>2</v>
      </c>
      <c r="BB12" s="2"/>
    </row>
    <row r="13" spans="1:54" x14ac:dyDescent="0.25">
      <c r="A13" s="3" t="s">
        <v>72</v>
      </c>
      <c r="B13" s="3" t="s">
        <v>73</v>
      </c>
      <c r="C13" s="3">
        <v>100</v>
      </c>
      <c r="D13" s="3" t="s">
        <v>260</v>
      </c>
      <c r="E13" s="3">
        <v>1</v>
      </c>
      <c r="F13" s="3" t="s">
        <v>59</v>
      </c>
      <c r="G13" s="2">
        <v>-1</v>
      </c>
      <c r="H13" s="2">
        <v>-1</v>
      </c>
      <c r="I13" s="2">
        <v>-1</v>
      </c>
      <c r="J13" s="2">
        <v>0</v>
      </c>
      <c r="K13" s="2">
        <v>0</v>
      </c>
      <c r="L13" s="3">
        <v>100</v>
      </c>
      <c r="M13" s="3">
        <v>-1</v>
      </c>
      <c r="N13" s="3">
        <v>2</v>
      </c>
      <c r="O13" s="3">
        <v>100</v>
      </c>
      <c r="P13" s="3">
        <v>-1</v>
      </c>
      <c r="Q13" s="3">
        <v>-1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-1</v>
      </c>
      <c r="X13" s="2">
        <v>-1</v>
      </c>
      <c r="Y13" s="3">
        <v>0</v>
      </c>
      <c r="Z13" s="2">
        <v>50</v>
      </c>
      <c r="AA13" s="2">
        <v>50</v>
      </c>
      <c r="AB13" s="3">
        <v>3605</v>
      </c>
      <c r="AC13" s="3">
        <v>49</v>
      </c>
      <c r="AD13" s="2">
        <v>-1</v>
      </c>
      <c r="AE13" s="3">
        <v>75</v>
      </c>
      <c r="AF13" s="3">
        <v>75</v>
      </c>
      <c r="AG13" s="3">
        <v>75</v>
      </c>
      <c r="AH13" s="3">
        <v>75</v>
      </c>
      <c r="AI13" s="3">
        <v>0</v>
      </c>
      <c r="AJ13" s="3">
        <v>7100000</v>
      </c>
      <c r="AK13" s="3">
        <v>1</v>
      </c>
      <c r="AL13" s="3">
        <v>1</v>
      </c>
      <c r="AM13" s="2">
        <v>142000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 t="str">
        <f t="shared" si="0"/>
        <v>tunup011</v>
      </c>
      <c r="AZ13" s="3">
        <v>-1</v>
      </c>
      <c r="BA13" s="3">
        <v>2</v>
      </c>
      <c r="BB13" s="2"/>
    </row>
    <row r="14" spans="1:54" s="11" customFormat="1" x14ac:dyDescent="0.25">
      <c r="A14" s="9" t="s">
        <v>74</v>
      </c>
      <c r="B14" s="9" t="s">
        <v>71</v>
      </c>
      <c r="C14" s="9">
        <v>2</v>
      </c>
      <c r="D14" s="9" t="s">
        <v>226</v>
      </c>
      <c r="E14" s="9">
        <v>1</v>
      </c>
      <c r="F14" s="9" t="s">
        <v>59</v>
      </c>
      <c r="G14" s="10">
        <v>-1</v>
      </c>
      <c r="H14" s="10">
        <v>-1</v>
      </c>
      <c r="I14" s="10">
        <v>-1</v>
      </c>
      <c r="J14" s="10">
        <v>0</v>
      </c>
      <c r="K14" s="10">
        <v>0</v>
      </c>
      <c r="L14" s="9">
        <v>48</v>
      </c>
      <c r="M14" s="9">
        <v>-1</v>
      </c>
      <c r="N14" s="9">
        <v>2</v>
      </c>
      <c r="O14" s="9">
        <v>95</v>
      </c>
      <c r="P14" s="9">
        <v>-1</v>
      </c>
      <c r="Q14" s="9">
        <v>-1</v>
      </c>
      <c r="R14" s="10">
        <v>1</v>
      </c>
      <c r="S14" s="10">
        <v>0</v>
      </c>
      <c r="T14" s="10">
        <v>0</v>
      </c>
      <c r="U14" s="10">
        <v>0</v>
      </c>
      <c r="V14" s="10">
        <v>0</v>
      </c>
      <c r="W14" s="10">
        <v>-1</v>
      </c>
      <c r="X14" s="10">
        <v>-1</v>
      </c>
      <c r="Y14" s="9">
        <v>0</v>
      </c>
      <c r="Z14" s="10">
        <v>50</v>
      </c>
      <c r="AA14" s="10">
        <v>50</v>
      </c>
      <c r="AB14" s="9">
        <v>4596</v>
      </c>
      <c r="AC14" s="9">
        <v>49</v>
      </c>
      <c r="AD14" s="10">
        <v>-1</v>
      </c>
      <c r="AE14" s="9">
        <v>23</v>
      </c>
      <c r="AF14" s="9">
        <v>23</v>
      </c>
      <c r="AG14" s="9">
        <v>23</v>
      </c>
      <c r="AH14" s="9">
        <v>23</v>
      </c>
      <c r="AI14" s="9">
        <v>0</v>
      </c>
      <c r="AJ14" s="6">
        <v>3727272</v>
      </c>
      <c r="AK14" s="9">
        <v>1</v>
      </c>
      <c r="AL14" s="9">
        <v>1</v>
      </c>
      <c r="AM14" s="6">
        <v>372727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 t="str">
        <f t="shared" si="0"/>
        <v>tunup012</v>
      </c>
      <c r="AZ14" s="9">
        <v>-1</v>
      </c>
      <c r="BA14" s="9">
        <v>2</v>
      </c>
      <c r="BB14" s="10"/>
    </row>
    <row r="15" spans="1:54" x14ac:dyDescent="0.25">
      <c r="A15" s="3" t="s">
        <v>255</v>
      </c>
      <c r="B15" s="3" t="s">
        <v>75</v>
      </c>
      <c r="C15" s="3">
        <v>3</v>
      </c>
      <c r="D15" s="3" t="s">
        <v>227</v>
      </c>
      <c r="E15" s="3">
        <v>1</v>
      </c>
      <c r="F15" s="3" t="s">
        <v>59</v>
      </c>
      <c r="G15" s="2">
        <v>-1</v>
      </c>
      <c r="H15" s="2">
        <v>-1</v>
      </c>
      <c r="I15" s="2">
        <v>-1</v>
      </c>
      <c r="J15" s="2">
        <v>0</v>
      </c>
      <c r="K15" s="2">
        <v>0</v>
      </c>
      <c r="L15" s="5">
        <v>51</v>
      </c>
      <c r="M15" s="3">
        <v>-1</v>
      </c>
      <c r="N15" s="3">
        <v>2</v>
      </c>
      <c r="O15" s="3">
        <v>99</v>
      </c>
      <c r="P15" s="3">
        <v>-1</v>
      </c>
      <c r="Q15" s="3">
        <v>-1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-1</v>
      </c>
      <c r="X15" s="2">
        <v>-1</v>
      </c>
      <c r="Y15" s="3">
        <v>0</v>
      </c>
      <c r="Z15" s="2">
        <v>50</v>
      </c>
      <c r="AA15" s="2">
        <v>50</v>
      </c>
      <c r="AB15" s="3">
        <v>5995</v>
      </c>
      <c r="AC15" s="3">
        <v>49</v>
      </c>
      <c r="AD15" s="2">
        <v>-1</v>
      </c>
      <c r="AE15" s="3">
        <v>25</v>
      </c>
      <c r="AF15" s="3">
        <v>25</v>
      </c>
      <c r="AG15" s="3">
        <v>25</v>
      </c>
      <c r="AH15" s="3">
        <v>25</v>
      </c>
      <c r="AI15" s="3">
        <v>0</v>
      </c>
      <c r="AJ15" s="3">
        <v>2100000</v>
      </c>
      <c r="AK15" s="3">
        <v>1</v>
      </c>
      <c r="AL15" s="3">
        <v>1</v>
      </c>
      <c r="AM15" s="2">
        <v>42000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 t="str">
        <f t="shared" si="0"/>
        <v>tif5pt00</v>
      </c>
      <c r="AZ15" s="3">
        <v>-1</v>
      </c>
      <c r="BA15" s="3">
        <v>2</v>
      </c>
      <c r="BB15" s="2"/>
    </row>
    <row r="16" spans="1:54" x14ac:dyDescent="0.25">
      <c r="A16" s="3" t="s">
        <v>76</v>
      </c>
      <c r="B16" s="3" t="s">
        <v>75</v>
      </c>
      <c r="C16" s="3">
        <v>3</v>
      </c>
      <c r="D16" s="3" t="s">
        <v>228</v>
      </c>
      <c r="E16" s="3">
        <v>1</v>
      </c>
      <c r="F16" s="3" t="s">
        <v>59</v>
      </c>
      <c r="G16" s="2">
        <v>-1</v>
      </c>
      <c r="H16" s="2">
        <v>-1</v>
      </c>
      <c r="I16" s="2">
        <v>-1</v>
      </c>
      <c r="J16" s="2">
        <v>0</v>
      </c>
      <c r="K16" s="2">
        <v>0</v>
      </c>
      <c r="L16" s="5">
        <v>51</v>
      </c>
      <c r="M16" s="3">
        <v>-1</v>
      </c>
      <c r="N16" s="3">
        <v>2</v>
      </c>
      <c r="O16" s="3">
        <v>99</v>
      </c>
      <c r="P16" s="3">
        <v>-1</v>
      </c>
      <c r="Q16" s="3">
        <v>-1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-1</v>
      </c>
      <c r="X16" s="2">
        <v>-1</v>
      </c>
      <c r="Y16" s="3">
        <v>0</v>
      </c>
      <c r="Z16" s="2">
        <v>50</v>
      </c>
      <c r="AA16" s="2">
        <v>50</v>
      </c>
      <c r="AB16" s="3">
        <v>7193</v>
      </c>
      <c r="AC16" s="3">
        <v>49</v>
      </c>
      <c r="AD16" s="2">
        <v>-1</v>
      </c>
      <c r="AE16" s="3">
        <v>27</v>
      </c>
      <c r="AF16" s="3">
        <v>27</v>
      </c>
      <c r="AG16" s="3">
        <v>27</v>
      </c>
      <c r="AH16" s="3">
        <v>27</v>
      </c>
      <c r="AI16" s="3">
        <v>0</v>
      </c>
      <c r="AJ16" s="3">
        <v>8400000</v>
      </c>
      <c r="AK16" s="3">
        <v>1</v>
      </c>
      <c r="AL16" s="3">
        <v>1</v>
      </c>
      <c r="AM16" s="2">
        <v>168000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 t="str">
        <f t="shared" si="0"/>
        <v>tunup014</v>
      </c>
      <c r="AZ16" s="3">
        <v>-1</v>
      </c>
      <c r="BA16" s="3">
        <v>2</v>
      </c>
      <c r="BB16" s="2"/>
    </row>
    <row r="17" spans="1:54" x14ac:dyDescent="0.25">
      <c r="A17" s="3" t="s">
        <v>77</v>
      </c>
      <c r="B17" s="3" t="s">
        <v>75</v>
      </c>
      <c r="C17" s="3">
        <v>3</v>
      </c>
      <c r="D17" s="3" t="s">
        <v>229</v>
      </c>
      <c r="E17" s="3">
        <v>1</v>
      </c>
      <c r="F17" s="3" t="s">
        <v>59</v>
      </c>
      <c r="G17" s="2">
        <v>-1</v>
      </c>
      <c r="H17" s="2">
        <v>-1</v>
      </c>
      <c r="I17" s="2">
        <v>-1</v>
      </c>
      <c r="J17" s="2">
        <v>0</v>
      </c>
      <c r="K17" s="2">
        <v>0</v>
      </c>
      <c r="L17" s="5">
        <v>51</v>
      </c>
      <c r="M17" s="3">
        <v>-1</v>
      </c>
      <c r="N17" s="3">
        <v>2</v>
      </c>
      <c r="O17" s="3">
        <v>99</v>
      </c>
      <c r="P17" s="3">
        <v>-1</v>
      </c>
      <c r="Q17" s="3">
        <v>-1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-1</v>
      </c>
      <c r="X17" s="2">
        <v>-1</v>
      </c>
      <c r="Y17" s="3">
        <v>0</v>
      </c>
      <c r="Z17" s="2">
        <v>50</v>
      </c>
      <c r="AA17" s="2">
        <v>50</v>
      </c>
      <c r="AB17" s="3">
        <v>9351</v>
      </c>
      <c r="AC17" s="3">
        <v>49</v>
      </c>
      <c r="AD17" s="2">
        <v>-1</v>
      </c>
      <c r="AE17" s="3">
        <v>30</v>
      </c>
      <c r="AF17" s="3">
        <v>30</v>
      </c>
      <c r="AG17" s="3">
        <v>30</v>
      </c>
      <c r="AH17" s="3">
        <v>30</v>
      </c>
      <c r="AI17" s="3">
        <v>0</v>
      </c>
      <c r="AJ17" s="3">
        <v>18900000</v>
      </c>
      <c r="AK17" s="3">
        <v>1</v>
      </c>
      <c r="AL17" s="3">
        <v>1</v>
      </c>
      <c r="AM17" s="2">
        <v>378000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 t="str">
        <f t="shared" si="0"/>
        <v>tunup015</v>
      </c>
      <c r="AZ17" s="3">
        <v>-1</v>
      </c>
      <c r="BA17" s="3">
        <v>2</v>
      </c>
      <c r="BB17" s="2"/>
    </row>
    <row r="18" spans="1:54" x14ac:dyDescent="0.25">
      <c r="A18" s="3" t="s">
        <v>78</v>
      </c>
      <c r="B18" s="3" t="s">
        <v>79</v>
      </c>
      <c r="C18" s="3">
        <v>7</v>
      </c>
      <c r="D18" s="3" t="s">
        <v>230</v>
      </c>
      <c r="E18" s="3">
        <v>1</v>
      </c>
      <c r="F18" s="3" t="s">
        <v>59</v>
      </c>
      <c r="G18" s="2">
        <v>-1</v>
      </c>
      <c r="H18" s="2">
        <v>-1</v>
      </c>
      <c r="I18" s="2">
        <v>-1</v>
      </c>
      <c r="J18" s="2">
        <v>0</v>
      </c>
      <c r="K18" s="2">
        <v>0</v>
      </c>
      <c r="L18" s="3">
        <v>52</v>
      </c>
      <c r="M18" s="3">
        <v>-1</v>
      </c>
      <c r="N18" s="3">
        <v>2</v>
      </c>
      <c r="O18" s="3">
        <v>99</v>
      </c>
      <c r="P18" s="3">
        <v>-1</v>
      </c>
      <c r="Q18" s="3">
        <v>-1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-1</v>
      </c>
      <c r="X18" s="2">
        <v>-1</v>
      </c>
      <c r="Y18" s="3">
        <v>0</v>
      </c>
      <c r="Z18" s="2">
        <v>50</v>
      </c>
      <c r="AA18" s="2">
        <v>50</v>
      </c>
      <c r="AB18" s="3">
        <v>10000</v>
      </c>
      <c r="AC18" s="3">
        <v>49</v>
      </c>
      <c r="AD18" s="2">
        <v>-1</v>
      </c>
      <c r="AE18" s="3">
        <v>30</v>
      </c>
      <c r="AF18" s="3">
        <v>30</v>
      </c>
      <c r="AG18" s="3">
        <v>30</v>
      </c>
      <c r="AH18" s="3">
        <v>30</v>
      </c>
      <c r="AI18" s="3">
        <v>0</v>
      </c>
      <c r="AJ18" s="3">
        <v>2100000</v>
      </c>
      <c r="AK18" s="3">
        <v>3</v>
      </c>
      <c r="AL18" s="3">
        <v>3</v>
      </c>
      <c r="AM18" s="2">
        <v>42000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 t="str">
        <f t="shared" si="0"/>
        <v>tunup016</v>
      </c>
      <c r="AZ18" s="3">
        <v>-1</v>
      </c>
      <c r="BA18" s="3">
        <v>2</v>
      </c>
      <c r="BB18" s="2"/>
    </row>
    <row r="19" spans="1:54" x14ac:dyDescent="0.25">
      <c r="A19" s="3" t="s">
        <v>80</v>
      </c>
      <c r="B19" s="3" t="s">
        <v>79</v>
      </c>
      <c r="C19" s="3">
        <v>7</v>
      </c>
      <c r="D19" s="3" t="s">
        <v>231</v>
      </c>
      <c r="E19" s="3">
        <v>1</v>
      </c>
      <c r="F19" s="3" t="s">
        <v>59</v>
      </c>
      <c r="G19" s="2">
        <v>-1</v>
      </c>
      <c r="H19" s="2">
        <v>-1</v>
      </c>
      <c r="I19" s="2">
        <v>-1</v>
      </c>
      <c r="J19" s="2">
        <v>0</v>
      </c>
      <c r="K19" s="2">
        <v>0</v>
      </c>
      <c r="L19" s="3">
        <v>53</v>
      </c>
      <c r="M19" s="3">
        <v>-1</v>
      </c>
      <c r="N19" s="3">
        <v>2</v>
      </c>
      <c r="O19" s="3">
        <v>99</v>
      </c>
      <c r="P19" s="3">
        <v>-1</v>
      </c>
      <c r="Q19" s="3">
        <v>-1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-1</v>
      </c>
      <c r="X19" s="2">
        <v>-1</v>
      </c>
      <c r="Y19" s="3">
        <v>0</v>
      </c>
      <c r="Z19" s="2">
        <v>50</v>
      </c>
      <c r="AA19" s="2">
        <v>50</v>
      </c>
      <c r="AB19" s="3">
        <v>13000</v>
      </c>
      <c r="AC19" s="3">
        <v>49</v>
      </c>
      <c r="AD19" s="2">
        <v>-1</v>
      </c>
      <c r="AE19" s="3">
        <v>33</v>
      </c>
      <c r="AF19" s="3">
        <v>33</v>
      </c>
      <c r="AG19" s="3">
        <v>33</v>
      </c>
      <c r="AH19" s="3">
        <v>33</v>
      </c>
      <c r="AI19" s="3">
        <v>0</v>
      </c>
      <c r="AJ19" s="3">
        <v>8400000</v>
      </c>
      <c r="AK19" s="3">
        <v>3</v>
      </c>
      <c r="AL19" s="3">
        <v>3</v>
      </c>
      <c r="AM19" s="2">
        <v>168000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 t="str">
        <f t="shared" si="0"/>
        <v>tunup017</v>
      </c>
      <c r="AZ19" s="3">
        <v>-1</v>
      </c>
      <c r="BA19" s="3">
        <v>2</v>
      </c>
      <c r="BB19" s="2"/>
    </row>
    <row r="20" spans="1:54" x14ac:dyDescent="0.25">
      <c r="A20" s="3" t="s">
        <v>81</v>
      </c>
      <c r="B20" s="3" t="s">
        <v>79</v>
      </c>
      <c r="C20" s="3">
        <v>7</v>
      </c>
      <c r="D20" s="3" t="s">
        <v>232</v>
      </c>
      <c r="E20" s="3">
        <v>1</v>
      </c>
      <c r="F20" s="3" t="s">
        <v>59</v>
      </c>
      <c r="G20" s="2">
        <v>-1</v>
      </c>
      <c r="H20" s="2">
        <v>-1</v>
      </c>
      <c r="I20" s="2">
        <v>-1</v>
      </c>
      <c r="J20" s="2">
        <v>0</v>
      </c>
      <c r="K20" s="2">
        <v>0</v>
      </c>
      <c r="L20" s="3">
        <v>54</v>
      </c>
      <c r="M20" s="3">
        <v>-1</v>
      </c>
      <c r="N20" s="3">
        <v>2</v>
      </c>
      <c r="O20" s="3">
        <v>99</v>
      </c>
      <c r="P20" s="3">
        <v>-1</v>
      </c>
      <c r="Q20" s="3">
        <v>-1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-1</v>
      </c>
      <c r="X20" s="2">
        <v>-1</v>
      </c>
      <c r="Y20" s="3">
        <v>0</v>
      </c>
      <c r="Z20" s="2">
        <v>50</v>
      </c>
      <c r="AA20" s="2">
        <v>50</v>
      </c>
      <c r="AB20" s="3">
        <v>16000</v>
      </c>
      <c r="AC20" s="3">
        <v>49</v>
      </c>
      <c r="AD20" s="2">
        <v>-1</v>
      </c>
      <c r="AE20" s="3">
        <v>36</v>
      </c>
      <c r="AF20" s="3">
        <v>36</v>
      </c>
      <c r="AG20" s="3">
        <v>36</v>
      </c>
      <c r="AH20" s="3">
        <v>36</v>
      </c>
      <c r="AI20" s="3">
        <v>0</v>
      </c>
      <c r="AJ20" s="3">
        <v>18900000</v>
      </c>
      <c r="AK20" s="3">
        <v>3</v>
      </c>
      <c r="AL20" s="3">
        <v>3</v>
      </c>
      <c r="AM20" s="2">
        <v>378000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 t="str">
        <f t="shared" si="0"/>
        <v>tunup018</v>
      </c>
      <c r="AZ20" s="3">
        <v>-1</v>
      </c>
      <c r="BA20" s="3">
        <v>2</v>
      </c>
      <c r="BB20" s="2"/>
    </row>
    <row r="21" spans="1:54" x14ac:dyDescent="0.25">
      <c r="A21" s="3" t="s">
        <v>82</v>
      </c>
      <c r="B21" s="3" t="s">
        <v>83</v>
      </c>
      <c r="C21" s="3">
        <v>16</v>
      </c>
      <c r="D21" s="3" t="s">
        <v>233</v>
      </c>
      <c r="E21" s="3">
        <v>1</v>
      </c>
      <c r="F21" s="3" t="s">
        <v>59</v>
      </c>
      <c r="G21" s="2">
        <v>-1</v>
      </c>
      <c r="H21" s="2">
        <v>-1</v>
      </c>
      <c r="I21" s="2">
        <v>-1</v>
      </c>
      <c r="J21" s="2">
        <v>0</v>
      </c>
      <c r="K21" s="2">
        <v>0</v>
      </c>
      <c r="L21" s="3">
        <v>57</v>
      </c>
      <c r="M21" s="3">
        <v>-1</v>
      </c>
      <c r="N21" s="3">
        <v>2</v>
      </c>
      <c r="O21" s="3">
        <v>99</v>
      </c>
      <c r="P21" s="3">
        <v>-1</v>
      </c>
      <c r="Q21" s="3">
        <v>-1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-1</v>
      </c>
      <c r="X21" s="2">
        <v>-1</v>
      </c>
      <c r="Y21" s="3">
        <v>0</v>
      </c>
      <c r="Z21" s="2">
        <v>50</v>
      </c>
      <c r="AA21" s="2">
        <v>50</v>
      </c>
      <c r="AB21" s="3">
        <v>19200</v>
      </c>
      <c r="AC21" s="3">
        <v>49</v>
      </c>
      <c r="AD21" s="2">
        <v>-1</v>
      </c>
      <c r="AE21" s="3">
        <v>37</v>
      </c>
      <c r="AF21" s="3">
        <v>37</v>
      </c>
      <c r="AG21" s="3">
        <v>37</v>
      </c>
      <c r="AH21" s="3">
        <v>37</v>
      </c>
      <c r="AI21" s="3">
        <v>0</v>
      </c>
      <c r="AJ21" s="3">
        <v>30240000</v>
      </c>
      <c r="AK21" s="3">
        <v>3</v>
      </c>
      <c r="AL21" s="3">
        <v>12</v>
      </c>
      <c r="AM21" s="2">
        <v>604800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 t="str">
        <f t="shared" si="0"/>
        <v>tunup019</v>
      </c>
      <c r="AZ21" s="3">
        <v>-1</v>
      </c>
      <c r="BA21" s="3">
        <v>2</v>
      </c>
      <c r="BB21" s="2"/>
    </row>
    <row r="22" spans="1:54" x14ac:dyDescent="0.25">
      <c r="A22" s="3" t="s">
        <v>84</v>
      </c>
      <c r="B22" s="3" t="s">
        <v>83</v>
      </c>
      <c r="C22" s="3">
        <v>16</v>
      </c>
      <c r="D22" s="3" t="s">
        <v>234</v>
      </c>
      <c r="E22" s="3">
        <v>1</v>
      </c>
      <c r="F22" s="3" t="s">
        <v>59</v>
      </c>
      <c r="G22" s="2">
        <v>-1</v>
      </c>
      <c r="H22" s="2">
        <v>-1</v>
      </c>
      <c r="I22" s="2">
        <v>-1</v>
      </c>
      <c r="J22" s="2">
        <v>0</v>
      </c>
      <c r="K22" s="2">
        <v>0</v>
      </c>
      <c r="L22" s="3">
        <v>62</v>
      </c>
      <c r="M22" s="3">
        <v>-1</v>
      </c>
      <c r="N22" s="3">
        <v>2</v>
      </c>
      <c r="O22" s="3">
        <v>99</v>
      </c>
      <c r="P22" s="3">
        <v>-1</v>
      </c>
      <c r="Q22" s="3">
        <v>-1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-1</v>
      </c>
      <c r="X22" s="2">
        <v>-1</v>
      </c>
      <c r="Y22" s="3">
        <v>0</v>
      </c>
      <c r="Z22" s="2">
        <v>50</v>
      </c>
      <c r="AA22" s="2">
        <v>50</v>
      </c>
      <c r="AB22" s="3">
        <v>23040</v>
      </c>
      <c r="AC22" s="3">
        <v>49</v>
      </c>
      <c r="AD22" s="2">
        <v>-1</v>
      </c>
      <c r="AE22" s="3">
        <v>38</v>
      </c>
      <c r="AF22" s="3">
        <v>38</v>
      </c>
      <c r="AG22" s="3">
        <v>38</v>
      </c>
      <c r="AH22" s="3">
        <v>38</v>
      </c>
      <c r="AI22" s="3">
        <v>0</v>
      </c>
      <c r="AJ22" s="3">
        <v>37800000</v>
      </c>
      <c r="AK22" s="3">
        <v>3</v>
      </c>
      <c r="AL22" s="3">
        <v>15</v>
      </c>
      <c r="AM22" s="2">
        <v>756000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 t="str">
        <f t="shared" si="0"/>
        <v>tunup020</v>
      </c>
      <c r="AZ22" s="3">
        <v>-1</v>
      </c>
      <c r="BA22" s="3">
        <v>2</v>
      </c>
      <c r="BB22" s="2"/>
    </row>
    <row r="23" spans="1:54" x14ac:dyDescent="0.25">
      <c r="A23" s="3" t="s">
        <v>85</v>
      </c>
      <c r="B23" s="3" t="s">
        <v>86</v>
      </c>
      <c r="C23" s="3">
        <v>4</v>
      </c>
      <c r="D23" s="3" t="s">
        <v>235</v>
      </c>
      <c r="E23" s="3">
        <v>1</v>
      </c>
      <c r="F23" s="3" t="s">
        <v>87</v>
      </c>
      <c r="G23" s="2">
        <v>-1</v>
      </c>
      <c r="H23" s="2">
        <v>-1</v>
      </c>
      <c r="I23" s="2">
        <v>-1</v>
      </c>
      <c r="J23" s="2">
        <v>0</v>
      </c>
      <c r="K23" s="2">
        <v>0</v>
      </c>
      <c r="L23" s="3">
        <v>30</v>
      </c>
      <c r="M23" s="3">
        <v>-1</v>
      </c>
      <c r="N23" s="3">
        <v>2</v>
      </c>
      <c r="O23" s="3">
        <v>1</v>
      </c>
      <c r="P23" s="3">
        <v>-1</v>
      </c>
      <c r="Q23" s="3">
        <v>-1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-1</v>
      </c>
      <c r="X23" s="2">
        <v>-1</v>
      </c>
      <c r="Y23" s="3">
        <v>0</v>
      </c>
      <c r="Z23" s="2">
        <v>50</v>
      </c>
      <c r="AA23" s="2">
        <v>50</v>
      </c>
      <c r="AB23" s="3">
        <v>371</v>
      </c>
      <c r="AC23" s="3">
        <v>49</v>
      </c>
      <c r="AD23" s="2">
        <v>-1</v>
      </c>
      <c r="AE23" s="3">
        <v>3</v>
      </c>
      <c r="AF23" s="3">
        <v>3</v>
      </c>
      <c r="AG23" s="3">
        <v>3</v>
      </c>
      <c r="AH23" s="3">
        <v>3</v>
      </c>
      <c r="AI23" s="3">
        <v>0</v>
      </c>
      <c r="AJ23" s="3">
        <v>100000</v>
      </c>
      <c r="AK23" s="3">
        <v>1</v>
      </c>
      <c r="AL23" s="3">
        <v>1</v>
      </c>
      <c r="AM23" s="2">
        <v>2000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 t="str">
        <f t="shared" si="0"/>
        <v>tunup021</v>
      </c>
      <c r="AZ23" s="3">
        <v>-1</v>
      </c>
      <c r="BA23" s="3">
        <v>2</v>
      </c>
      <c r="BB23" s="2"/>
    </row>
    <row r="24" spans="1:54" x14ac:dyDescent="0.25">
      <c r="A24" s="3" t="s">
        <v>88</v>
      </c>
      <c r="B24" s="3" t="s">
        <v>256</v>
      </c>
      <c r="C24" s="3">
        <v>16</v>
      </c>
      <c r="D24" s="3" t="s">
        <v>261</v>
      </c>
      <c r="E24" s="3">
        <v>1</v>
      </c>
      <c r="F24" s="3" t="s">
        <v>87</v>
      </c>
      <c r="G24" s="2">
        <v>-1</v>
      </c>
      <c r="H24" s="2">
        <v>-1</v>
      </c>
      <c r="I24" s="2">
        <v>-1</v>
      </c>
      <c r="J24" s="2">
        <v>0</v>
      </c>
      <c r="K24" s="2">
        <v>0</v>
      </c>
      <c r="L24" s="3">
        <v>67</v>
      </c>
      <c r="M24" s="3">
        <v>-1</v>
      </c>
      <c r="N24" s="3">
        <v>2</v>
      </c>
      <c r="O24" s="3">
        <v>99</v>
      </c>
      <c r="P24" s="3">
        <v>-1</v>
      </c>
      <c r="Q24" s="3">
        <v>-1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-1</v>
      </c>
      <c r="X24" s="2">
        <v>-1</v>
      </c>
      <c r="Y24" s="3">
        <v>0</v>
      </c>
      <c r="Z24" s="2">
        <v>50</v>
      </c>
      <c r="AA24" s="2">
        <v>50</v>
      </c>
      <c r="AB24" s="3">
        <v>12960</v>
      </c>
      <c r="AC24" s="3">
        <v>49</v>
      </c>
      <c r="AD24" s="2">
        <v>-1</v>
      </c>
      <c r="AE24" s="3">
        <v>25</v>
      </c>
      <c r="AF24" s="3">
        <v>25</v>
      </c>
      <c r="AG24" s="3">
        <v>25</v>
      </c>
      <c r="AH24" s="3">
        <v>25</v>
      </c>
      <c r="AI24" s="3">
        <v>0</v>
      </c>
      <c r="AJ24" s="3">
        <v>45360000</v>
      </c>
      <c r="AK24" s="3">
        <v>3</v>
      </c>
      <c r="AL24" s="3">
        <v>9</v>
      </c>
      <c r="AM24" s="2">
        <v>142000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 t="str">
        <f t="shared" si="0"/>
        <v>tunup022</v>
      </c>
      <c r="AZ24" s="3">
        <v>-1</v>
      </c>
      <c r="BA24" s="3">
        <v>2</v>
      </c>
      <c r="BB24" s="2"/>
    </row>
    <row r="25" spans="1:54" x14ac:dyDescent="0.25">
      <c r="A25" s="3" t="s">
        <v>89</v>
      </c>
      <c r="B25" s="3" t="s">
        <v>257</v>
      </c>
      <c r="C25" s="3">
        <v>18</v>
      </c>
      <c r="D25" s="3" t="s">
        <v>262</v>
      </c>
      <c r="E25" s="3">
        <v>1</v>
      </c>
      <c r="F25" s="3" t="s">
        <v>87</v>
      </c>
      <c r="G25" s="2">
        <v>-1</v>
      </c>
      <c r="H25" s="2">
        <v>-1</v>
      </c>
      <c r="I25" s="2">
        <v>-1</v>
      </c>
      <c r="J25" s="2">
        <v>0</v>
      </c>
      <c r="K25" s="2">
        <v>0</v>
      </c>
      <c r="L25" s="3">
        <v>72</v>
      </c>
      <c r="M25" s="3">
        <v>-1</v>
      </c>
      <c r="N25" s="3">
        <v>2</v>
      </c>
      <c r="O25" s="3">
        <v>99</v>
      </c>
      <c r="P25" s="3">
        <v>-1</v>
      </c>
      <c r="Q25" s="3">
        <v>-1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-1</v>
      </c>
      <c r="X25" s="2">
        <v>-1</v>
      </c>
      <c r="Y25" s="3">
        <v>0</v>
      </c>
      <c r="Z25" s="2">
        <v>50</v>
      </c>
      <c r="AA25" s="2">
        <v>50</v>
      </c>
      <c r="AB25" s="3">
        <v>34000</v>
      </c>
      <c r="AC25" s="3">
        <v>50</v>
      </c>
      <c r="AD25" s="2">
        <v>-1</v>
      </c>
      <c r="AE25" s="3">
        <v>25</v>
      </c>
      <c r="AF25" s="3">
        <v>25</v>
      </c>
      <c r="AG25" s="3">
        <v>25</v>
      </c>
      <c r="AH25" s="3">
        <v>25</v>
      </c>
      <c r="AI25" s="3">
        <v>0</v>
      </c>
      <c r="AJ25" s="3">
        <v>75000000</v>
      </c>
      <c r="AK25" s="3">
        <v>3</v>
      </c>
      <c r="AL25" s="3">
        <v>10</v>
      </c>
      <c r="AM25" s="2">
        <v>142000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 t="str">
        <f t="shared" si="0"/>
        <v>tunup023</v>
      </c>
      <c r="AZ25" s="3">
        <v>-1</v>
      </c>
      <c r="BA25" s="3">
        <v>2</v>
      </c>
      <c r="BB25" s="2"/>
    </row>
    <row r="26" spans="1:54" x14ac:dyDescent="0.25">
      <c r="A26" s="3" t="s">
        <v>90</v>
      </c>
      <c r="B26" s="3" t="s">
        <v>91</v>
      </c>
      <c r="C26" s="3">
        <v>100</v>
      </c>
      <c r="D26" s="3" t="s">
        <v>236</v>
      </c>
      <c r="E26" s="3">
        <v>1</v>
      </c>
      <c r="F26" s="3" t="s">
        <v>87</v>
      </c>
      <c r="G26" s="2">
        <v>-1</v>
      </c>
      <c r="H26" s="2">
        <v>-1</v>
      </c>
      <c r="I26" s="2">
        <v>-1</v>
      </c>
      <c r="J26" s="2">
        <v>0</v>
      </c>
      <c r="K26" s="2">
        <v>0</v>
      </c>
      <c r="L26" s="3">
        <v>100</v>
      </c>
      <c r="M26" s="3">
        <v>-1</v>
      </c>
      <c r="N26" s="3">
        <v>2</v>
      </c>
      <c r="O26" s="3">
        <v>100</v>
      </c>
      <c r="P26" s="3">
        <v>-1</v>
      </c>
      <c r="Q26" s="3">
        <v>-1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-1</v>
      </c>
      <c r="X26" s="2">
        <v>-1</v>
      </c>
      <c r="Y26" s="3">
        <v>0</v>
      </c>
      <c r="Z26" s="2">
        <v>50</v>
      </c>
      <c r="AA26" s="2">
        <v>50</v>
      </c>
      <c r="AB26" s="3">
        <v>497</v>
      </c>
      <c r="AC26" s="3">
        <v>49</v>
      </c>
      <c r="AD26" s="2">
        <v>-1</v>
      </c>
      <c r="AE26" s="3">
        <v>45</v>
      </c>
      <c r="AF26" s="3">
        <v>45</v>
      </c>
      <c r="AG26" s="3">
        <v>45</v>
      </c>
      <c r="AH26" s="3">
        <v>45</v>
      </c>
      <c r="AI26" s="3">
        <v>0</v>
      </c>
      <c r="AJ26" s="3">
        <v>7100000</v>
      </c>
      <c r="AK26" s="3">
        <v>4</v>
      </c>
      <c r="AL26" s="3">
        <v>4</v>
      </c>
      <c r="AM26" s="2">
        <v>142000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 t="str">
        <f t="shared" si="0"/>
        <v>tunup024</v>
      </c>
      <c r="AZ26" s="3">
        <v>-1</v>
      </c>
      <c r="BA26" s="3">
        <v>2</v>
      </c>
      <c r="BB26" s="2"/>
    </row>
    <row r="27" spans="1:54" x14ac:dyDescent="0.25">
      <c r="A27" s="3" t="s">
        <v>92</v>
      </c>
      <c r="B27" s="3" t="s">
        <v>86</v>
      </c>
      <c r="C27" s="3">
        <v>100</v>
      </c>
      <c r="D27" s="3" t="s">
        <v>237</v>
      </c>
      <c r="E27" s="3">
        <v>1</v>
      </c>
      <c r="F27" s="3" t="s">
        <v>87</v>
      </c>
      <c r="G27" s="2">
        <v>-1</v>
      </c>
      <c r="H27" s="2">
        <v>-1</v>
      </c>
      <c r="I27" s="2">
        <v>-1</v>
      </c>
      <c r="J27" s="2">
        <v>0</v>
      </c>
      <c r="K27" s="2">
        <v>0</v>
      </c>
      <c r="L27" s="3">
        <v>100</v>
      </c>
      <c r="M27" s="3">
        <v>-1</v>
      </c>
      <c r="N27" s="3">
        <v>2</v>
      </c>
      <c r="O27" s="3">
        <v>100</v>
      </c>
      <c r="P27" s="3">
        <v>-1</v>
      </c>
      <c r="Q27" s="3">
        <v>-1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-1</v>
      </c>
      <c r="X27" s="2">
        <v>-1</v>
      </c>
      <c r="Y27" s="3">
        <v>0</v>
      </c>
      <c r="Z27" s="2">
        <v>50</v>
      </c>
      <c r="AA27" s="2">
        <v>50</v>
      </c>
      <c r="AB27" s="3">
        <v>535</v>
      </c>
      <c r="AC27" s="3">
        <v>49</v>
      </c>
      <c r="AD27" s="2">
        <v>-1</v>
      </c>
      <c r="AE27" s="3">
        <v>45</v>
      </c>
      <c r="AF27" s="3">
        <v>45</v>
      </c>
      <c r="AG27" s="3">
        <v>45</v>
      </c>
      <c r="AH27" s="3">
        <v>45</v>
      </c>
      <c r="AI27" s="3">
        <v>0</v>
      </c>
      <c r="AJ27" s="3">
        <v>7100000</v>
      </c>
      <c r="AK27" s="3">
        <v>4</v>
      </c>
      <c r="AL27" s="3">
        <v>4</v>
      </c>
      <c r="AM27" s="2">
        <v>142000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 t="str">
        <f t="shared" si="0"/>
        <v>tunup025</v>
      </c>
      <c r="AZ27" s="3">
        <v>-1</v>
      </c>
      <c r="BA27" s="3">
        <v>2</v>
      </c>
      <c r="BB27" s="2"/>
    </row>
    <row r="28" spans="1:54" x14ac:dyDescent="0.25">
      <c r="A28" s="3" t="s">
        <v>93</v>
      </c>
      <c r="B28" s="3" t="s">
        <v>86</v>
      </c>
      <c r="C28" s="3">
        <v>4</v>
      </c>
      <c r="D28" s="3" t="s">
        <v>238</v>
      </c>
      <c r="E28" s="3">
        <v>1</v>
      </c>
      <c r="F28" s="3" t="s">
        <v>87</v>
      </c>
      <c r="G28" s="2">
        <v>-1</v>
      </c>
      <c r="H28" s="2">
        <v>-1</v>
      </c>
      <c r="I28" s="2">
        <v>-1</v>
      </c>
      <c r="J28" s="2">
        <v>0</v>
      </c>
      <c r="K28" s="2">
        <v>0</v>
      </c>
      <c r="L28" s="3">
        <v>38</v>
      </c>
      <c r="M28" s="3">
        <v>-1</v>
      </c>
      <c r="N28" s="3">
        <v>2</v>
      </c>
      <c r="O28" s="3">
        <v>57</v>
      </c>
      <c r="P28" s="3">
        <v>-1</v>
      </c>
      <c r="Q28" s="3">
        <v>-1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-1</v>
      </c>
      <c r="X28" s="2">
        <v>-1</v>
      </c>
      <c r="Y28" s="3">
        <v>0</v>
      </c>
      <c r="Z28" s="2">
        <v>50</v>
      </c>
      <c r="AA28" s="2">
        <v>50</v>
      </c>
      <c r="AB28" s="3">
        <v>1147</v>
      </c>
      <c r="AC28" s="3">
        <v>49</v>
      </c>
      <c r="AD28" s="2">
        <v>-1</v>
      </c>
      <c r="AE28" s="3">
        <v>7</v>
      </c>
      <c r="AF28" s="3">
        <v>7</v>
      </c>
      <c r="AG28" s="3">
        <v>7</v>
      </c>
      <c r="AH28" s="3">
        <v>7</v>
      </c>
      <c r="AI28" s="3">
        <v>0</v>
      </c>
      <c r="AJ28" s="3">
        <v>900000</v>
      </c>
      <c r="AK28" s="3">
        <v>1</v>
      </c>
      <c r="AL28" s="3">
        <v>1</v>
      </c>
      <c r="AM28" s="2">
        <v>18000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 t="str">
        <f t="shared" si="0"/>
        <v>tunup026</v>
      </c>
      <c r="AZ28" s="3">
        <v>-1</v>
      </c>
      <c r="BA28" s="3">
        <v>2</v>
      </c>
      <c r="BB28" s="2"/>
    </row>
    <row r="29" spans="1:54" x14ac:dyDescent="0.25">
      <c r="A29" s="3" t="s">
        <v>94</v>
      </c>
      <c r="B29" s="3" t="s">
        <v>86</v>
      </c>
      <c r="C29" s="3">
        <v>100</v>
      </c>
      <c r="D29" s="3" t="s">
        <v>239</v>
      </c>
      <c r="E29" s="3">
        <v>1</v>
      </c>
      <c r="F29" s="3" t="s">
        <v>87</v>
      </c>
      <c r="G29" s="2">
        <v>-1</v>
      </c>
      <c r="H29" s="2">
        <v>-1</v>
      </c>
      <c r="I29" s="2">
        <v>-1</v>
      </c>
      <c r="J29" s="2">
        <v>0</v>
      </c>
      <c r="K29" s="2">
        <v>0</v>
      </c>
      <c r="L29" s="3">
        <v>100</v>
      </c>
      <c r="M29" s="3">
        <v>-1</v>
      </c>
      <c r="N29" s="3">
        <v>2</v>
      </c>
      <c r="O29" s="3">
        <v>100</v>
      </c>
      <c r="P29" s="3">
        <v>-1</v>
      </c>
      <c r="Q29" s="3">
        <v>-1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-1</v>
      </c>
      <c r="X29" s="2">
        <v>-1</v>
      </c>
      <c r="Y29" s="3">
        <v>0</v>
      </c>
      <c r="Z29" s="2">
        <v>50</v>
      </c>
      <c r="AA29" s="2">
        <v>50</v>
      </c>
      <c r="AB29" s="3">
        <v>688</v>
      </c>
      <c r="AC29" s="3">
        <v>49</v>
      </c>
      <c r="AD29" s="2">
        <v>-1</v>
      </c>
      <c r="AE29" s="3">
        <v>45</v>
      </c>
      <c r="AF29" s="3">
        <v>45</v>
      </c>
      <c r="AG29" s="3">
        <v>45</v>
      </c>
      <c r="AH29" s="3">
        <v>45</v>
      </c>
      <c r="AI29" s="3">
        <v>0</v>
      </c>
      <c r="AJ29" s="3">
        <v>7100000</v>
      </c>
      <c r="AK29" s="3">
        <v>4</v>
      </c>
      <c r="AL29" s="3">
        <v>4</v>
      </c>
      <c r="AM29" s="2">
        <v>142000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 t="str">
        <f t="shared" si="0"/>
        <v>tunup027</v>
      </c>
      <c r="AZ29" s="3">
        <v>-1</v>
      </c>
      <c r="BA29" s="3">
        <v>2</v>
      </c>
      <c r="BB29" s="2"/>
    </row>
    <row r="30" spans="1:54" x14ac:dyDescent="0.25">
      <c r="A30" s="3" t="s">
        <v>95</v>
      </c>
      <c r="B30" s="3" t="s">
        <v>96</v>
      </c>
      <c r="C30" s="3">
        <v>100</v>
      </c>
      <c r="D30" s="3" t="s">
        <v>260</v>
      </c>
      <c r="E30" s="3">
        <v>1</v>
      </c>
      <c r="F30" s="3" t="s">
        <v>87</v>
      </c>
      <c r="G30" s="2">
        <v>-1</v>
      </c>
      <c r="H30" s="2">
        <v>-1</v>
      </c>
      <c r="I30" s="2">
        <v>-1</v>
      </c>
      <c r="J30" s="2">
        <v>0</v>
      </c>
      <c r="K30" s="2">
        <v>0</v>
      </c>
      <c r="L30" s="3">
        <v>100</v>
      </c>
      <c r="M30" s="3">
        <v>-1</v>
      </c>
      <c r="N30" s="3">
        <v>2</v>
      </c>
      <c r="O30" s="3">
        <v>100</v>
      </c>
      <c r="P30" s="3">
        <v>-1</v>
      </c>
      <c r="Q30" s="3">
        <v>-1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-1</v>
      </c>
      <c r="X30" s="2">
        <v>-1</v>
      </c>
      <c r="Y30" s="3">
        <v>0</v>
      </c>
      <c r="Z30" s="2">
        <v>50</v>
      </c>
      <c r="AA30" s="2">
        <v>50</v>
      </c>
      <c r="AB30" s="3">
        <v>76</v>
      </c>
      <c r="AC30" s="3">
        <v>49</v>
      </c>
      <c r="AD30" s="2">
        <v>-1</v>
      </c>
      <c r="AE30" s="3">
        <v>45</v>
      </c>
      <c r="AF30" s="3">
        <v>45</v>
      </c>
      <c r="AG30" s="3">
        <v>45</v>
      </c>
      <c r="AH30" s="3">
        <v>45</v>
      </c>
      <c r="AI30" s="3">
        <v>0</v>
      </c>
      <c r="AJ30" s="3">
        <v>7100000</v>
      </c>
      <c r="AK30" s="3">
        <v>4</v>
      </c>
      <c r="AL30" s="3">
        <v>4</v>
      </c>
      <c r="AM30" s="2">
        <v>142000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 t="str">
        <f t="shared" si="0"/>
        <v>tunup028</v>
      </c>
      <c r="AZ30" s="3">
        <v>-1</v>
      </c>
      <c r="BA30" s="3">
        <v>2</v>
      </c>
      <c r="BB30" s="2"/>
    </row>
    <row r="31" spans="1:54" x14ac:dyDescent="0.25">
      <c r="A31" s="3" t="s">
        <v>97</v>
      </c>
      <c r="B31" s="3" t="s">
        <v>98</v>
      </c>
      <c r="C31" s="3">
        <v>100</v>
      </c>
      <c r="D31" s="3" t="s">
        <v>260</v>
      </c>
      <c r="E31" s="3">
        <v>1</v>
      </c>
      <c r="F31" s="3" t="s">
        <v>87</v>
      </c>
      <c r="G31" s="2">
        <v>-1</v>
      </c>
      <c r="H31" s="2">
        <v>-1</v>
      </c>
      <c r="I31" s="2">
        <v>-1</v>
      </c>
      <c r="J31" s="2">
        <v>0</v>
      </c>
      <c r="K31" s="2">
        <v>0</v>
      </c>
      <c r="L31" s="3">
        <v>100</v>
      </c>
      <c r="M31" s="3">
        <v>-1</v>
      </c>
      <c r="N31" s="3">
        <v>2</v>
      </c>
      <c r="O31" s="3">
        <v>100</v>
      </c>
      <c r="P31" s="3">
        <v>-1</v>
      </c>
      <c r="Q31" s="3">
        <v>-1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-1</v>
      </c>
      <c r="X31" s="2">
        <v>-1</v>
      </c>
      <c r="Y31" s="3">
        <v>0</v>
      </c>
      <c r="Z31" s="2">
        <v>50</v>
      </c>
      <c r="AA31" s="2">
        <v>50</v>
      </c>
      <c r="AB31" s="3">
        <v>76</v>
      </c>
      <c r="AC31" s="3">
        <v>49</v>
      </c>
      <c r="AD31" s="2">
        <v>-1</v>
      </c>
      <c r="AE31" s="3">
        <v>45</v>
      </c>
      <c r="AF31" s="3">
        <v>45</v>
      </c>
      <c r="AG31" s="3">
        <v>45</v>
      </c>
      <c r="AH31" s="3">
        <v>45</v>
      </c>
      <c r="AI31" s="3">
        <v>0</v>
      </c>
      <c r="AJ31" s="3">
        <v>7100000</v>
      </c>
      <c r="AK31" s="3">
        <v>4</v>
      </c>
      <c r="AL31" s="3">
        <v>4</v>
      </c>
      <c r="AM31" s="2">
        <v>142000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 t="str">
        <f t="shared" si="0"/>
        <v>tunup029</v>
      </c>
      <c r="AZ31" s="3">
        <v>-1</v>
      </c>
      <c r="BA31" s="3">
        <v>2</v>
      </c>
      <c r="BB31" s="2"/>
    </row>
    <row r="32" spans="1:54" x14ac:dyDescent="0.25">
      <c r="A32" s="3" t="s">
        <v>99</v>
      </c>
      <c r="B32" s="3" t="s">
        <v>100</v>
      </c>
      <c r="C32" s="3">
        <v>5</v>
      </c>
      <c r="D32" s="3" t="s">
        <v>240</v>
      </c>
      <c r="E32" s="3">
        <v>1</v>
      </c>
      <c r="F32" s="3" t="s">
        <v>87</v>
      </c>
      <c r="G32" s="2">
        <v>-1</v>
      </c>
      <c r="H32" s="2">
        <v>-1</v>
      </c>
      <c r="I32" s="2">
        <v>-1</v>
      </c>
      <c r="J32" s="2">
        <v>0</v>
      </c>
      <c r="K32" s="2">
        <v>0</v>
      </c>
      <c r="L32" s="3">
        <v>40</v>
      </c>
      <c r="M32" s="3">
        <v>-1</v>
      </c>
      <c r="N32" s="3">
        <v>2</v>
      </c>
      <c r="O32" s="3">
        <v>70</v>
      </c>
      <c r="P32" s="3">
        <v>-1</v>
      </c>
      <c r="Q32" s="3">
        <v>-1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-1</v>
      </c>
      <c r="X32" s="2">
        <v>-1</v>
      </c>
      <c r="Y32" s="3">
        <v>0</v>
      </c>
      <c r="Z32" s="2">
        <v>50</v>
      </c>
      <c r="AA32" s="2">
        <v>50</v>
      </c>
      <c r="AB32" s="3">
        <v>1649</v>
      </c>
      <c r="AC32" s="3">
        <v>49</v>
      </c>
      <c r="AD32" s="2">
        <v>-1</v>
      </c>
      <c r="AE32" s="3">
        <v>9</v>
      </c>
      <c r="AF32" s="3">
        <v>9</v>
      </c>
      <c r="AG32" s="3">
        <v>9</v>
      </c>
      <c r="AH32" s="3">
        <v>9</v>
      </c>
      <c r="AI32" s="3">
        <v>0</v>
      </c>
      <c r="AJ32" s="3">
        <v>1100000</v>
      </c>
      <c r="AK32" s="3">
        <v>1</v>
      </c>
      <c r="AL32" s="3">
        <v>1</v>
      </c>
      <c r="AM32" s="2">
        <v>22000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 t="str">
        <f t="shared" si="0"/>
        <v>tunup030</v>
      </c>
      <c r="AZ32" s="3">
        <v>-1</v>
      </c>
      <c r="BA32" s="3">
        <v>2</v>
      </c>
      <c r="BB32" s="2"/>
    </row>
    <row r="33" spans="1:54" x14ac:dyDescent="0.25">
      <c r="A33" s="3" t="s">
        <v>101</v>
      </c>
      <c r="B33" s="3" t="s">
        <v>102</v>
      </c>
      <c r="C33" s="3">
        <v>100</v>
      </c>
      <c r="D33" s="3" t="s">
        <v>260</v>
      </c>
      <c r="E33" s="3">
        <v>1</v>
      </c>
      <c r="F33" s="3" t="s">
        <v>87</v>
      </c>
      <c r="G33" s="2">
        <v>-1</v>
      </c>
      <c r="H33" s="2">
        <v>-1</v>
      </c>
      <c r="I33" s="2">
        <v>-1</v>
      </c>
      <c r="J33" s="2">
        <v>0</v>
      </c>
      <c r="K33" s="2">
        <v>0</v>
      </c>
      <c r="L33" s="3">
        <v>100</v>
      </c>
      <c r="M33" s="3">
        <v>-1</v>
      </c>
      <c r="N33" s="3">
        <v>2</v>
      </c>
      <c r="O33" s="3">
        <v>100</v>
      </c>
      <c r="P33" s="3">
        <v>-1</v>
      </c>
      <c r="Q33" s="3">
        <v>-1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-1</v>
      </c>
      <c r="X33" s="2">
        <v>-1</v>
      </c>
      <c r="Y33" s="3">
        <v>0</v>
      </c>
      <c r="Z33" s="2">
        <v>50</v>
      </c>
      <c r="AA33" s="2">
        <v>50</v>
      </c>
      <c r="AB33" s="3">
        <v>2138</v>
      </c>
      <c r="AC33" s="3">
        <v>49</v>
      </c>
      <c r="AD33" s="2">
        <v>-1</v>
      </c>
      <c r="AE33" s="3">
        <v>45</v>
      </c>
      <c r="AF33" s="3">
        <v>45</v>
      </c>
      <c r="AG33" s="3">
        <v>45</v>
      </c>
      <c r="AH33" s="3">
        <v>45</v>
      </c>
      <c r="AI33" s="3">
        <v>0</v>
      </c>
      <c r="AJ33" s="3">
        <v>7100000</v>
      </c>
      <c r="AK33" s="3">
        <v>4</v>
      </c>
      <c r="AL33" s="3">
        <v>4</v>
      </c>
      <c r="AM33" s="2">
        <v>142000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 t="str">
        <f t="shared" si="0"/>
        <v>tunup031</v>
      </c>
      <c r="AZ33" s="3">
        <v>-1</v>
      </c>
      <c r="BA33" s="3">
        <v>2</v>
      </c>
      <c r="BB33" s="2"/>
    </row>
    <row r="34" spans="1:54" s="8" customFormat="1" x14ac:dyDescent="0.25">
      <c r="A34" s="6" t="s">
        <v>103</v>
      </c>
      <c r="B34" s="6" t="s">
        <v>100</v>
      </c>
      <c r="C34" s="6">
        <v>5</v>
      </c>
      <c r="D34" s="6" t="s">
        <v>238</v>
      </c>
      <c r="E34" s="6">
        <v>1</v>
      </c>
      <c r="F34" s="6" t="s">
        <v>87</v>
      </c>
      <c r="G34" s="7">
        <v>-1</v>
      </c>
      <c r="H34" s="7">
        <v>-1</v>
      </c>
      <c r="I34" s="7">
        <v>-1</v>
      </c>
      <c r="J34" s="7">
        <v>0</v>
      </c>
      <c r="K34" s="7">
        <v>0</v>
      </c>
      <c r="L34" s="6">
        <v>48</v>
      </c>
      <c r="M34" s="6">
        <v>-1</v>
      </c>
      <c r="N34" s="6">
        <v>2</v>
      </c>
      <c r="O34" s="6">
        <v>95</v>
      </c>
      <c r="P34" s="6">
        <v>-1</v>
      </c>
      <c r="Q34" s="6">
        <v>-1</v>
      </c>
      <c r="R34" s="7">
        <v>1</v>
      </c>
      <c r="S34" s="7">
        <v>0</v>
      </c>
      <c r="T34" s="7">
        <v>0</v>
      </c>
      <c r="U34" s="7">
        <v>0</v>
      </c>
      <c r="V34" s="7">
        <v>0</v>
      </c>
      <c r="W34" s="7">
        <v>-1</v>
      </c>
      <c r="X34" s="7">
        <v>-1</v>
      </c>
      <c r="Y34" s="6">
        <v>0</v>
      </c>
      <c r="Z34" s="7">
        <v>50</v>
      </c>
      <c r="AA34" s="7">
        <v>50</v>
      </c>
      <c r="AB34" s="6">
        <v>2591</v>
      </c>
      <c r="AC34" s="6">
        <v>49</v>
      </c>
      <c r="AD34" s="7">
        <v>-1</v>
      </c>
      <c r="AE34" s="6">
        <v>13</v>
      </c>
      <c r="AF34" s="6">
        <v>13</v>
      </c>
      <c r="AG34" s="6">
        <v>13</v>
      </c>
      <c r="AH34" s="6">
        <v>13</v>
      </c>
      <c r="AI34" s="6">
        <v>0</v>
      </c>
      <c r="AJ34" s="6">
        <v>3727272</v>
      </c>
      <c r="AK34" s="6">
        <v>1</v>
      </c>
      <c r="AL34" s="6">
        <v>1</v>
      </c>
      <c r="AM34" s="6">
        <v>372727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 t="str">
        <f t="shared" si="0"/>
        <v>tunup032</v>
      </c>
      <c r="AZ34" s="6">
        <v>-1</v>
      </c>
      <c r="BA34" s="6">
        <v>2</v>
      </c>
      <c r="BB34" s="7"/>
    </row>
    <row r="35" spans="1:54" x14ac:dyDescent="0.25">
      <c r="A35" s="3" t="s">
        <v>104</v>
      </c>
      <c r="B35" s="3" t="s">
        <v>105</v>
      </c>
      <c r="C35" s="3">
        <v>6</v>
      </c>
      <c r="D35" s="3" t="s">
        <v>241</v>
      </c>
      <c r="E35" s="3">
        <v>1</v>
      </c>
      <c r="F35" s="3" t="s">
        <v>87</v>
      </c>
      <c r="G35" s="2">
        <v>-1</v>
      </c>
      <c r="H35" s="2">
        <v>-1</v>
      </c>
      <c r="I35" s="2">
        <v>-1</v>
      </c>
      <c r="J35" s="2">
        <v>0</v>
      </c>
      <c r="K35" s="2">
        <v>0</v>
      </c>
      <c r="L35" s="5">
        <v>51</v>
      </c>
      <c r="M35" s="3">
        <v>-1</v>
      </c>
      <c r="N35" s="3">
        <v>2</v>
      </c>
      <c r="O35" s="3">
        <v>99</v>
      </c>
      <c r="P35" s="3">
        <v>-1</v>
      </c>
      <c r="Q35" s="3">
        <v>-1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-1</v>
      </c>
      <c r="X35" s="2">
        <v>-1</v>
      </c>
      <c r="Y35" s="3">
        <v>0</v>
      </c>
      <c r="Z35" s="2">
        <v>50</v>
      </c>
      <c r="AA35" s="2">
        <v>50</v>
      </c>
      <c r="AB35" s="3">
        <v>3469</v>
      </c>
      <c r="AC35" s="3">
        <v>49</v>
      </c>
      <c r="AD35" s="2">
        <v>-1</v>
      </c>
      <c r="AE35" s="3">
        <v>15</v>
      </c>
      <c r="AF35" s="3">
        <v>15</v>
      </c>
      <c r="AG35" s="3">
        <v>15</v>
      </c>
      <c r="AH35" s="3">
        <v>15</v>
      </c>
      <c r="AI35" s="3">
        <v>0</v>
      </c>
      <c r="AJ35" s="3">
        <v>2100000</v>
      </c>
      <c r="AK35" s="3">
        <v>2</v>
      </c>
      <c r="AL35" s="3">
        <v>2</v>
      </c>
      <c r="AM35" s="2">
        <v>42000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 t="str">
        <f t="shared" si="0"/>
        <v>tunup033</v>
      </c>
      <c r="AZ35" s="3">
        <v>-1</v>
      </c>
      <c r="BA35" s="3">
        <v>2</v>
      </c>
      <c r="BB35" s="2"/>
    </row>
    <row r="36" spans="1:54" x14ac:dyDescent="0.25">
      <c r="A36" s="3" t="s">
        <v>106</v>
      </c>
      <c r="B36" s="3" t="s">
        <v>105</v>
      </c>
      <c r="C36" s="3">
        <v>6</v>
      </c>
      <c r="D36" s="3" t="s">
        <v>242</v>
      </c>
      <c r="E36" s="3">
        <v>1</v>
      </c>
      <c r="F36" s="3" t="s">
        <v>87</v>
      </c>
      <c r="G36" s="2">
        <v>-1</v>
      </c>
      <c r="H36" s="2">
        <v>-1</v>
      </c>
      <c r="I36" s="2">
        <v>-1</v>
      </c>
      <c r="J36" s="2">
        <v>0</v>
      </c>
      <c r="K36" s="2">
        <v>0</v>
      </c>
      <c r="L36" s="5">
        <v>51</v>
      </c>
      <c r="M36" s="3">
        <v>-1</v>
      </c>
      <c r="N36" s="3">
        <v>2</v>
      </c>
      <c r="O36" s="3">
        <v>99</v>
      </c>
      <c r="P36" s="3">
        <v>-1</v>
      </c>
      <c r="Q36" s="3">
        <v>-1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-1</v>
      </c>
      <c r="X36" s="2">
        <v>-1</v>
      </c>
      <c r="Y36" s="3">
        <v>0</v>
      </c>
      <c r="Z36" s="2">
        <v>50</v>
      </c>
      <c r="AA36" s="2">
        <v>50</v>
      </c>
      <c r="AB36" s="3">
        <v>4163</v>
      </c>
      <c r="AC36" s="3">
        <v>49</v>
      </c>
      <c r="AD36" s="2">
        <v>-1</v>
      </c>
      <c r="AE36" s="3">
        <v>16</v>
      </c>
      <c r="AF36" s="3">
        <v>16</v>
      </c>
      <c r="AG36" s="3">
        <v>16</v>
      </c>
      <c r="AH36" s="3">
        <v>16</v>
      </c>
      <c r="AI36" s="3">
        <v>0</v>
      </c>
      <c r="AJ36" s="3">
        <v>8400000</v>
      </c>
      <c r="AK36" s="3">
        <v>5</v>
      </c>
      <c r="AL36" s="3">
        <v>5</v>
      </c>
      <c r="AM36" s="2">
        <v>168000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 t="str">
        <f t="shared" si="0"/>
        <v>tunup034</v>
      </c>
      <c r="AZ36" s="3">
        <v>-1</v>
      </c>
      <c r="BA36" s="3">
        <v>2</v>
      </c>
      <c r="BB36" s="2"/>
    </row>
    <row r="37" spans="1:54" x14ac:dyDescent="0.25">
      <c r="A37" s="3" t="s">
        <v>107</v>
      </c>
      <c r="B37" s="3" t="s">
        <v>105</v>
      </c>
      <c r="C37" s="3">
        <v>6</v>
      </c>
      <c r="D37" s="3" t="s">
        <v>243</v>
      </c>
      <c r="E37" s="3">
        <v>1</v>
      </c>
      <c r="F37" s="3" t="s">
        <v>87</v>
      </c>
      <c r="G37" s="2">
        <v>-1</v>
      </c>
      <c r="H37" s="2">
        <v>-1</v>
      </c>
      <c r="I37" s="2">
        <v>-1</v>
      </c>
      <c r="J37" s="2">
        <v>0</v>
      </c>
      <c r="K37" s="2">
        <v>0</v>
      </c>
      <c r="L37" s="5">
        <v>51</v>
      </c>
      <c r="M37" s="3">
        <v>-1</v>
      </c>
      <c r="N37" s="3">
        <v>2</v>
      </c>
      <c r="O37" s="3">
        <v>99</v>
      </c>
      <c r="P37" s="3">
        <v>-1</v>
      </c>
      <c r="Q37" s="3">
        <v>-1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-1</v>
      </c>
      <c r="X37" s="2">
        <v>-1</v>
      </c>
      <c r="Y37" s="3">
        <v>0</v>
      </c>
      <c r="Z37" s="2">
        <v>50</v>
      </c>
      <c r="AA37" s="2">
        <v>50</v>
      </c>
      <c r="AB37" s="3">
        <v>5411</v>
      </c>
      <c r="AC37" s="3">
        <v>49</v>
      </c>
      <c r="AD37" s="2">
        <v>-1</v>
      </c>
      <c r="AE37" s="3">
        <v>18</v>
      </c>
      <c r="AF37" s="3">
        <v>18</v>
      </c>
      <c r="AG37" s="3">
        <v>18</v>
      </c>
      <c r="AH37" s="3">
        <v>18</v>
      </c>
      <c r="AI37" s="3">
        <v>0</v>
      </c>
      <c r="AJ37" s="3">
        <v>18900000</v>
      </c>
      <c r="AK37" s="3">
        <v>10</v>
      </c>
      <c r="AL37" s="3">
        <v>10</v>
      </c>
      <c r="AM37" s="2">
        <v>378000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 t="str">
        <f t="shared" si="0"/>
        <v>tunup035</v>
      </c>
      <c r="AZ37" s="3">
        <v>-1</v>
      </c>
      <c r="BA37" s="3">
        <v>2</v>
      </c>
      <c r="BB37" s="2"/>
    </row>
    <row r="38" spans="1:54" x14ac:dyDescent="0.25">
      <c r="A38" s="3" t="s">
        <v>108</v>
      </c>
      <c r="B38" s="3" t="s">
        <v>109</v>
      </c>
      <c r="C38" s="3">
        <v>8</v>
      </c>
      <c r="D38" s="3" t="s">
        <v>244</v>
      </c>
      <c r="E38" s="3">
        <v>1</v>
      </c>
      <c r="F38" s="3" t="s">
        <v>87</v>
      </c>
      <c r="G38" s="2">
        <v>-1</v>
      </c>
      <c r="H38" s="2">
        <v>-1</v>
      </c>
      <c r="I38" s="2">
        <v>-1</v>
      </c>
      <c r="J38" s="2">
        <v>0</v>
      </c>
      <c r="K38" s="2">
        <v>0</v>
      </c>
      <c r="L38" s="3">
        <v>52</v>
      </c>
      <c r="M38" s="3">
        <v>-1</v>
      </c>
      <c r="N38" s="3">
        <v>2</v>
      </c>
      <c r="O38" s="3">
        <v>99</v>
      </c>
      <c r="P38" s="3">
        <v>-1</v>
      </c>
      <c r="Q38" s="3">
        <v>-1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-1</v>
      </c>
      <c r="X38" s="2">
        <v>-1</v>
      </c>
      <c r="Y38" s="3">
        <v>0</v>
      </c>
      <c r="Z38" s="2">
        <v>50</v>
      </c>
      <c r="AA38" s="2">
        <v>50</v>
      </c>
      <c r="AB38" s="3">
        <v>6000</v>
      </c>
      <c r="AC38" s="3">
        <v>49</v>
      </c>
      <c r="AD38" s="2">
        <v>-1</v>
      </c>
      <c r="AE38" s="3">
        <v>18</v>
      </c>
      <c r="AF38" s="3">
        <v>18</v>
      </c>
      <c r="AG38" s="3">
        <v>18</v>
      </c>
      <c r="AH38" s="3">
        <v>18</v>
      </c>
      <c r="AI38" s="3">
        <v>0</v>
      </c>
      <c r="AJ38" s="3">
        <v>2100000</v>
      </c>
      <c r="AK38" s="3">
        <v>2</v>
      </c>
      <c r="AL38" s="3">
        <v>2</v>
      </c>
      <c r="AM38" s="2">
        <v>42000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 t="str">
        <f t="shared" si="0"/>
        <v>tunup036</v>
      </c>
      <c r="AZ38" s="3">
        <v>-1</v>
      </c>
      <c r="BA38" s="3">
        <v>2</v>
      </c>
      <c r="BB38" s="2"/>
    </row>
    <row r="39" spans="1:54" x14ac:dyDescent="0.25">
      <c r="A39" s="3" t="s">
        <v>110</v>
      </c>
      <c r="B39" s="3" t="s">
        <v>109</v>
      </c>
      <c r="C39" s="3">
        <v>8</v>
      </c>
      <c r="D39" s="3" t="s">
        <v>245</v>
      </c>
      <c r="E39" s="3">
        <v>1</v>
      </c>
      <c r="F39" s="3" t="s">
        <v>87</v>
      </c>
      <c r="G39" s="2">
        <v>-1</v>
      </c>
      <c r="H39" s="2">
        <v>-1</v>
      </c>
      <c r="I39" s="2">
        <v>-1</v>
      </c>
      <c r="J39" s="2">
        <v>0</v>
      </c>
      <c r="K39" s="2">
        <v>0</v>
      </c>
      <c r="L39" s="3">
        <v>53</v>
      </c>
      <c r="M39" s="3">
        <v>-1</v>
      </c>
      <c r="N39" s="3">
        <v>2</v>
      </c>
      <c r="O39" s="3">
        <v>99</v>
      </c>
      <c r="P39" s="3">
        <v>-1</v>
      </c>
      <c r="Q39" s="3">
        <v>-1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-1</v>
      </c>
      <c r="X39" s="2">
        <v>-1</v>
      </c>
      <c r="Y39" s="3">
        <v>0</v>
      </c>
      <c r="Z39" s="2">
        <v>50</v>
      </c>
      <c r="AA39" s="2">
        <v>50</v>
      </c>
      <c r="AB39" s="3">
        <v>6800</v>
      </c>
      <c r="AC39" s="3">
        <v>49</v>
      </c>
      <c r="AD39" s="2">
        <v>-1</v>
      </c>
      <c r="AE39" s="3">
        <v>19</v>
      </c>
      <c r="AF39" s="3">
        <v>19</v>
      </c>
      <c r="AG39" s="3">
        <v>19</v>
      </c>
      <c r="AH39" s="3">
        <v>19</v>
      </c>
      <c r="AI39" s="3">
        <v>0</v>
      </c>
      <c r="AJ39" s="3">
        <v>8400000</v>
      </c>
      <c r="AK39" s="3">
        <v>5</v>
      </c>
      <c r="AL39" s="3">
        <v>5</v>
      </c>
      <c r="AM39" s="2">
        <v>168000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 t="str">
        <f t="shared" si="0"/>
        <v>tunup037</v>
      </c>
      <c r="AZ39" s="3">
        <v>-1</v>
      </c>
      <c r="BA39" s="3">
        <v>2</v>
      </c>
      <c r="BB39" s="2"/>
    </row>
    <row r="40" spans="1:54" x14ac:dyDescent="0.25">
      <c r="A40" s="3" t="s">
        <v>111</v>
      </c>
      <c r="B40" s="3" t="s">
        <v>109</v>
      </c>
      <c r="C40" s="3">
        <v>8</v>
      </c>
      <c r="D40" s="3" t="s">
        <v>246</v>
      </c>
      <c r="E40" s="3">
        <v>1</v>
      </c>
      <c r="F40" s="3" t="s">
        <v>87</v>
      </c>
      <c r="G40" s="2">
        <v>-1</v>
      </c>
      <c r="H40" s="2">
        <v>-1</v>
      </c>
      <c r="I40" s="2">
        <v>-1</v>
      </c>
      <c r="J40" s="2">
        <v>0</v>
      </c>
      <c r="K40" s="2">
        <v>0</v>
      </c>
      <c r="L40" s="3">
        <v>54</v>
      </c>
      <c r="M40" s="3">
        <v>-1</v>
      </c>
      <c r="N40" s="3">
        <v>2</v>
      </c>
      <c r="O40" s="3">
        <v>99</v>
      </c>
      <c r="P40" s="3">
        <v>-1</v>
      </c>
      <c r="Q40" s="3">
        <v>-1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-1</v>
      </c>
      <c r="X40" s="2">
        <v>-1</v>
      </c>
      <c r="Y40" s="3">
        <v>0</v>
      </c>
      <c r="Z40" s="2">
        <v>50</v>
      </c>
      <c r="AA40" s="2">
        <v>50</v>
      </c>
      <c r="AB40" s="3">
        <v>7500</v>
      </c>
      <c r="AC40" s="3">
        <v>49</v>
      </c>
      <c r="AD40" s="2">
        <v>-1</v>
      </c>
      <c r="AE40" s="3">
        <v>21</v>
      </c>
      <c r="AF40" s="3">
        <v>21</v>
      </c>
      <c r="AG40" s="3">
        <v>21</v>
      </c>
      <c r="AH40" s="3">
        <v>21</v>
      </c>
      <c r="AI40" s="3">
        <v>0</v>
      </c>
      <c r="AJ40" s="3">
        <v>18900000</v>
      </c>
      <c r="AK40" s="3">
        <v>10</v>
      </c>
      <c r="AL40" s="3">
        <v>10</v>
      </c>
      <c r="AM40" s="2">
        <v>378000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 t="str">
        <f t="shared" si="0"/>
        <v>tunup038</v>
      </c>
      <c r="AZ40" s="3">
        <v>-1</v>
      </c>
      <c r="BA40" s="3">
        <v>2</v>
      </c>
      <c r="BB40" s="2"/>
    </row>
    <row r="41" spans="1:54" x14ac:dyDescent="0.25">
      <c r="A41" s="3" t="s">
        <v>112</v>
      </c>
      <c r="B41" s="3" t="s">
        <v>113</v>
      </c>
      <c r="C41" s="3">
        <v>16</v>
      </c>
      <c r="D41" s="3" t="s">
        <v>247</v>
      </c>
      <c r="E41" s="3">
        <v>1</v>
      </c>
      <c r="F41" s="3" t="s">
        <v>87</v>
      </c>
      <c r="G41" s="2">
        <v>-1</v>
      </c>
      <c r="H41" s="2">
        <v>-1</v>
      </c>
      <c r="I41" s="2">
        <v>-1</v>
      </c>
      <c r="J41" s="2">
        <v>0</v>
      </c>
      <c r="K41" s="2">
        <v>0</v>
      </c>
      <c r="L41" s="3">
        <v>57</v>
      </c>
      <c r="M41" s="3">
        <v>-1</v>
      </c>
      <c r="N41" s="3">
        <v>2</v>
      </c>
      <c r="O41" s="3">
        <v>99</v>
      </c>
      <c r="P41" s="3">
        <v>-1</v>
      </c>
      <c r="Q41" s="3">
        <v>-1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-1</v>
      </c>
      <c r="X41" s="2">
        <v>-1</v>
      </c>
      <c r="Y41" s="3">
        <v>0</v>
      </c>
      <c r="Z41" s="2">
        <v>50</v>
      </c>
      <c r="AA41" s="2">
        <v>50</v>
      </c>
      <c r="AB41" s="3">
        <v>9000</v>
      </c>
      <c r="AC41" s="3">
        <v>49</v>
      </c>
      <c r="AD41" s="2">
        <v>-1</v>
      </c>
      <c r="AE41" s="3">
        <v>23</v>
      </c>
      <c r="AF41" s="3">
        <v>23</v>
      </c>
      <c r="AG41" s="3">
        <v>23</v>
      </c>
      <c r="AH41" s="3">
        <v>23</v>
      </c>
      <c r="AI41" s="3">
        <v>0</v>
      </c>
      <c r="AJ41" s="3">
        <v>30240000</v>
      </c>
      <c r="AK41" s="3">
        <v>3</v>
      </c>
      <c r="AL41" s="3">
        <v>12</v>
      </c>
      <c r="AM41" s="2">
        <v>604800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 t="str">
        <f t="shared" si="0"/>
        <v>tunup039</v>
      </c>
      <c r="AZ41" s="3">
        <v>-1</v>
      </c>
      <c r="BA41" s="3">
        <v>2</v>
      </c>
      <c r="BB41" s="2"/>
    </row>
    <row r="42" spans="1:54" x14ac:dyDescent="0.25">
      <c r="A42" s="3" t="s">
        <v>114</v>
      </c>
      <c r="B42" s="3" t="s">
        <v>113</v>
      </c>
      <c r="C42" s="3">
        <v>16</v>
      </c>
      <c r="D42" s="3" t="s">
        <v>248</v>
      </c>
      <c r="E42" s="3">
        <v>1</v>
      </c>
      <c r="F42" s="3" t="s">
        <v>87</v>
      </c>
      <c r="G42" s="2">
        <v>-1</v>
      </c>
      <c r="H42" s="2">
        <v>-1</v>
      </c>
      <c r="I42" s="2">
        <v>-1</v>
      </c>
      <c r="J42" s="2">
        <v>0</v>
      </c>
      <c r="K42" s="2">
        <v>0</v>
      </c>
      <c r="L42" s="3">
        <v>62</v>
      </c>
      <c r="M42" s="3">
        <v>-1</v>
      </c>
      <c r="N42" s="3">
        <v>2</v>
      </c>
      <c r="O42" s="3">
        <v>99</v>
      </c>
      <c r="P42" s="3">
        <v>-1</v>
      </c>
      <c r="Q42" s="3">
        <v>-1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-1</v>
      </c>
      <c r="X42" s="2">
        <v>-1</v>
      </c>
      <c r="Y42" s="3">
        <v>0</v>
      </c>
      <c r="Z42" s="2">
        <v>50</v>
      </c>
      <c r="AA42" s="2">
        <v>50</v>
      </c>
      <c r="AB42" s="3">
        <v>10800</v>
      </c>
      <c r="AC42" s="3">
        <v>49</v>
      </c>
      <c r="AD42" s="2">
        <v>-1</v>
      </c>
      <c r="AE42" s="3">
        <v>25</v>
      </c>
      <c r="AF42" s="3">
        <v>25</v>
      </c>
      <c r="AG42" s="3">
        <v>25</v>
      </c>
      <c r="AH42" s="3">
        <v>25</v>
      </c>
      <c r="AI42" s="3">
        <v>0</v>
      </c>
      <c r="AJ42" s="3">
        <v>37800000</v>
      </c>
      <c r="AK42" s="3">
        <v>3</v>
      </c>
      <c r="AL42" s="3">
        <v>15</v>
      </c>
      <c r="AM42" s="2">
        <v>756000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 t="str">
        <f t="shared" si="0"/>
        <v>tunup040</v>
      </c>
      <c r="AZ42" s="3">
        <v>-1</v>
      </c>
      <c r="BA42" s="3">
        <v>2</v>
      </c>
      <c r="BB42" s="2"/>
    </row>
    <row r="43" spans="1:54" x14ac:dyDescent="0.25">
      <c r="A43" s="3" t="s">
        <v>115</v>
      </c>
      <c r="B43" s="3" t="s">
        <v>116</v>
      </c>
      <c r="C43" s="3">
        <v>100</v>
      </c>
      <c r="D43" s="3" t="s">
        <v>260</v>
      </c>
      <c r="E43" s="3">
        <v>1</v>
      </c>
      <c r="F43" s="3" t="s">
        <v>117</v>
      </c>
      <c r="G43" s="2">
        <v>-1</v>
      </c>
      <c r="H43" s="2">
        <v>-1</v>
      </c>
      <c r="I43" s="2">
        <v>-1</v>
      </c>
      <c r="J43" s="2">
        <v>0</v>
      </c>
      <c r="K43" s="2">
        <v>0</v>
      </c>
      <c r="L43" s="3">
        <v>100</v>
      </c>
      <c r="M43" s="3">
        <v>-1</v>
      </c>
      <c r="N43" s="3">
        <v>2</v>
      </c>
      <c r="O43" s="3">
        <v>100</v>
      </c>
      <c r="P43" s="3">
        <v>-1</v>
      </c>
      <c r="Q43" s="3">
        <v>-1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-1</v>
      </c>
      <c r="X43" s="2">
        <v>-1</v>
      </c>
      <c r="Y43" s="3">
        <v>0</v>
      </c>
      <c r="Z43" s="2">
        <v>50</v>
      </c>
      <c r="AA43" s="2">
        <v>50</v>
      </c>
      <c r="AB43" s="3">
        <v>0</v>
      </c>
      <c r="AC43" s="3">
        <v>49</v>
      </c>
      <c r="AD43" s="2">
        <v>-1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1</v>
      </c>
      <c r="AL43" s="3">
        <v>1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 t="str">
        <f t="shared" si="0"/>
        <v>tunup041</v>
      </c>
      <c r="AZ43" s="3">
        <v>-1</v>
      </c>
      <c r="BA43" s="3">
        <v>2</v>
      </c>
      <c r="BB43" s="2"/>
    </row>
    <row r="44" spans="1:54" x14ac:dyDescent="0.25">
      <c r="A44" s="3" t="s">
        <v>118</v>
      </c>
      <c r="B44" s="3" t="s">
        <v>119</v>
      </c>
      <c r="C44" s="3">
        <v>100</v>
      </c>
      <c r="D44" s="3" t="s">
        <v>260</v>
      </c>
      <c r="E44" s="3">
        <v>1</v>
      </c>
      <c r="F44" s="3" t="s">
        <v>117</v>
      </c>
      <c r="G44" s="2">
        <v>-1</v>
      </c>
      <c r="H44" s="2">
        <v>-1</v>
      </c>
      <c r="I44" s="2">
        <v>-1</v>
      </c>
      <c r="J44" s="2">
        <v>0</v>
      </c>
      <c r="K44" s="2">
        <v>0</v>
      </c>
      <c r="L44" s="3">
        <v>100</v>
      </c>
      <c r="M44" s="3">
        <v>-1</v>
      </c>
      <c r="N44" s="3">
        <v>2</v>
      </c>
      <c r="O44" s="3">
        <v>100</v>
      </c>
      <c r="P44" s="3">
        <v>-1</v>
      </c>
      <c r="Q44" s="3">
        <v>-1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-1</v>
      </c>
      <c r="X44" s="2">
        <v>-1</v>
      </c>
      <c r="Y44" s="3">
        <v>0</v>
      </c>
      <c r="Z44" s="2">
        <v>50</v>
      </c>
      <c r="AA44" s="2">
        <v>50</v>
      </c>
      <c r="AB44" s="3">
        <v>0</v>
      </c>
      <c r="AC44" s="3">
        <v>49</v>
      </c>
      <c r="AD44" s="2">
        <v>-1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1</v>
      </c>
      <c r="AL44" s="3">
        <v>1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 t="str">
        <f t="shared" si="0"/>
        <v>tunup042</v>
      </c>
      <c r="AZ44" s="3">
        <v>-1</v>
      </c>
      <c r="BA44" s="3">
        <v>2</v>
      </c>
      <c r="BB44" s="2"/>
    </row>
    <row r="45" spans="1:54" x14ac:dyDescent="0.25">
      <c r="A45" s="3" t="s">
        <v>120</v>
      </c>
      <c r="B45" s="3" t="s">
        <v>121</v>
      </c>
      <c r="C45" s="3">
        <v>100</v>
      </c>
      <c r="D45" s="3" t="s">
        <v>260</v>
      </c>
      <c r="E45" s="3">
        <v>1</v>
      </c>
      <c r="F45" s="3" t="s">
        <v>117</v>
      </c>
      <c r="G45" s="2">
        <v>-1</v>
      </c>
      <c r="H45" s="2">
        <v>-1</v>
      </c>
      <c r="I45" s="2">
        <v>-1</v>
      </c>
      <c r="J45" s="2">
        <v>0</v>
      </c>
      <c r="K45" s="2">
        <v>0</v>
      </c>
      <c r="L45" s="3">
        <v>100</v>
      </c>
      <c r="M45" s="3">
        <v>-1</v>
      </c>
      <c r="N45" s="3">
        <v>2</v>
      </c>
      <c r="O45" s="3">
        <v>100</v>
      </c>
      <c r="P45" s="3">
        <v>-1</v>
      </c>
      <c r="Q45" s="3">
        <v>-1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-1</v>
      </c>
      <c r="X45" s="2">
        <v>-1</v>
      </c>
      <c r="Y45" s="3">
        <v>0</v>
      </c>
      <c r="Z45" s="2">
        <v>50</v>
      </c>
      <c r="AA45" s="2">
        <v>50</v>
      </c>
      <c r="AB45" s="3">
        <v>0</v>
      </c>
      <c r="AC45" s="3">
        <v>49</v>
      </c>
      <c r="AD45" s="2">
        <v>-1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1</v>
      </c>
      <c r="AL45" s="3">
        <v>1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 t="str">
        <f t="shared" si="0"/>
        <v>tunup043</v>
      </c>
      <c r="AZ45" s="3">
        <v>-1</v>
      </c>
      <c r="BA45" s="3">
        <v>2</v>
      </c>
      <c r="BB45" s="2"/>
    </row>
    <row r="46" spans="1:54" x14ac:dyDescent="0.25">
      <c r="A46" s="3" t="s">
        <v>122</v>
      </c>
      <c r="B46" s="3" t="s">
        <v>123</v>
      </c>
      <c r="C46" s="3">
        <v>100</v>
      </c>
      <c r="D46" s="3" t="s">
        <v>260</v>
      </c>
      <c r="E46" s="3">
        <v>1</v>
      </c>
      <c r="F46" s="3" t="s">
        <v>117</v>
      </c>
      <c r="G46" s="2">
        <v>-1</v>
      </c>
      <c r="H46" s="2">
        <v>-1</v>
      </c>
      <c r="I46" s="2">
        <v>-1</v>
      </c>
      <c r="J46" s="2">
        <v>0</v>
      </c>
      <c r="K46" s="2">
        <v>0</v>
      </c>
      <c r="L46" s="3">
        <v>100</v>
      </c>
      <c r="M46" s="3">
        <v>-1</v>
      </c>
      <c r="N46" s="3">
        <v>2</v>
      </c>
      <c r="O46" s="3">
        <v>100</v>
      </c>
      <c r="P46" s="3">
        <v>-1</v>
      </c>
      <c r="Q46" s="3">
        <v>-1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-1</v>
      </c>
      <c r="X46" s="2">
        <v>-1</v>
      </c>
      <c r="Y46" s="3">
        <v>0</v>
      </c>
      <c r="Z46" s="2">
        <v>50</v>
      </c>
      <c r="AA46" s="2">
        <v>50</v>
      </c>
      <c r="AB46" s="3">
        <v>0</v>
      </c>
      <c r="AC46" s="3">
        <v>49</v>
      </c>
      <c r="AD46" s="2">
        <v>-1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1</v>
      </c>
      <c r="AL46" s="3">
        <v>1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 t="str">
        <f t="shared" si="0"/>
        <v>tunup044</v>
      </c>
      <c r="AZ46" s="3">
        <v>-1</v>
      </c>
      <c r="BA46" s="3">
        <v>2</v>
      </c>
      <c r="BB46" s="2"/>
    </row>
    <row r="47" spans="1:54" x14ac:dyDescent="0.25">
      <c r="A47" s="3" t="s">
        <v>124</v>
      </c>
      <c r="B47" s="3" t="s">
        <v>125</v>
      </c>
      <c r="C47" s="3">
        <v>100</v>
      </c>
      <c r="D47" s="3" t="s">
        <v>260</v>
      </c>
      <c r="E47" s="3">
        <v>1</v>
      </c>
      <c r="F47" s="3" t="s">
        <v>117</v>
      </c>
      <c r="G47" s="2">
        <v>-1</v>
      </c>
      <c r="H47" s="2">
        <v>-1</v>
      </c>
      <c r="I47" s="2">
        <v>-1</v>
      </c>
      <c r="J47" s="2">
        <v>0</v>
      </c>
      <c r="K47" s="2">
        <v>0</v>
      </c>
      <c r="L47" s="3">
        <v>100</v>
      </c>
      <c r="M47" s="3">
        <v>-1</v>
      </c>
      <c r="N47" s="3">
        <v>2</v>
      </c>
      <c r="O47" s="3">
        <v>100</v>
      </c>
      <c r="P47" s="3">
        <v>-1</v>
      </c>
      <c r="Q47" s="3">
        <v>-1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-1</v>
      </c>
      <c r="X47" s="2">
        <v>-1</v>
      </c>
      <c r="Y47" s="3">
        <v>0</v>
      </c>
      <c r="Z47" s="2">
        <v>50</v>
      </c>
      <c r="AA47" s="2">
        <v>50</v>
      </c>
      <c r="AB47" s="3">
        <v>0</v>
      </c>
      <c r="AC47" s="3">
        <v>49</v>
      </c>
      <c r="AD47" s="2">
        <v>-1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1</v>
      </c>
      <c r="AL47" s="3">
        <v>1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 t="str">
        <f t="shared" si="0"/>
        <v>tunup045</v>
      </c>
      <c r="AZ47" s="3">
        <v>-1</v>
      </c>
      <c r="BA47" s="3">
        <v>2</v>
      </c>
      <c r="BB47" s="2"/>
    </row>
    <row r="48" spans="1:54" x14ac:dyDescent="0.25">
      <c r="A48" s="3" t="s">
        <v>126</v>
      </c>
      <c r="B48" s="3" t="s">
        <v>127</v>
      </c>
      <c r="C48" s="3">
        <v>100</v>
      </c>
      <c r="D48" s="3" t="s">
        <v>260</v>
      </c>
      <c r="E48" s="3">
        <v>1</v>
      </c>
      <c r="F48" s="3" t="s">
        <v>117</v>
      </c>
      <c r="G48" s="2">
        <v>-1</v>
      </c>
      <c r="H48" s="2">
        <v>-1</v>
      </c>
      <c r="I48" s="2">
        <v>-1</v>
      </c>
      <c r="J48" s="2">
        <v>0</v>
      </c>
      <c r="K48" s="2">
        <v>0</v>
      </c>
      <c r="L48" s="3">
        <v>100</v>
      </c>
      <c r="M48" s="3">
        <v>-1</v>
      </c>
      <c r="N48" s="3">
        <v>2</v>
      </c>
      <c r="O48" s="3">
        <v>100</v>
      </c>
      <c r="P48" s="3">
        <v>-1</v>
      </c>
      <c r="Q48" s="3">
        <v>-1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-1</v>
      </c>
      <c r="X48" s="2">
        <v>-1</v>
      </c>
      <c r="Y48" s="3">
        <v>0</v>
      </c>
      <c r="Z48" s="2">
        <v>50</v>
      </c>
      <c r="AA48" s="2">
        <v>50</v>
      </c>
      <c r="AB48" s="3">
        <v>0</v>
      </c>
      <c r="AC48" s="3">
        <v>49</v>
      </c>
      <c r="AD48" s="2">
        <v>-1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1</v>
      </c>
      <c r="AL48" s="3">
        <v>1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 t="str">
        <f t="shared" si="0"/>
        <v>tunup046</v>
      </c>
      <c r="AZ48" s="3">
        <v>-1</v>
      </c>
      <c r="BA48" s="3">
        <v>2</v>
      </c>
      <c r="BB48" s="2"/>
    </row>
    <row r="49" spans="1:54" x14ac:dyDescent="0.25">
      <c r="A49" s="3" t="s">
        <v>128</v>
      </c>
      <c r="B49" s="3" t="s">
        <v>129</v>
      </c>
      <c r="C49" s="3">
        <v>100</v>
      </c>
      <c r="D49" s="3" t="s">
        <v>260</v>
      </c>
      <c r="E49" s="3">
        <v>1</v>
      </c>
      <c r="F49" s="3" t="s">
        <v>117</v>
      </c>
      <c r="G49" s="2">
        <v>-1</v>
      </c>
      <c r="H49" s="2">
        <v>-1</v>
      </c>
      <c r="I49" s="2">
        <v>-1</v>
      </c>
      <c r="J49" s="2">
        <v>0</v>
      </c>
      <c r="K49" s="2">
        <v>0</v>
      </c>
      <c r="L49" s="3">
        <v>100</v>
      </c>
      <c r="M49" s="3">
        <v>-1</v>
      </c>
      <c r="N49" s="3">
        <v>2</v>
      </c>
      <c r="O49" s="3">
        <v>100</v>
      </c>
      <c r="P49" s="3">
        <v>-1</v>
      </c>
      <c r="Q49" s="3">
        <v>-1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-1</v>
      </c>
      <c r="X49" s="2">
        <v>-1</v>
      </c>
      <c r="Y49" s="3">
        <v>0</v>
      </c>
      <c r="Z49" s="2">
        <v>50</v>
      </c>
      <c r="AA49" s="2">
        <v>50</v>
      </c>
      <c r="AB49" s="3">
        <v>0</v>
      </c>
      <c r="AC49" s="3">
        <v>49</v>
      </c>
      <c r="AD49" s="2">
        <v>-1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1</v>
      </c>
      <c r="AL49" s="3">
        <v>1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 t="str">
        <f t="shared" si="0"/>
        <v>tunup047</v>
      </c>
      <c r="AZ49" s="3">
        <v>-1</v>
      </c>
      <c r="BA49" s="3">
        <v>2</v>
      </c>
      <c r="BB49" s="2"/>
    </row>
    <row r="50" spans="1:54" x14ac:dyDescent="0.25">
      <c r="A50" s="3" t="s">
        <v>130</v>
      </c>
      <c r="B50" s="3" t="s">
        <v>131</v>
      </c>
      <c r="C50" s="3">
        <v>100</v>
      </c>
      <c r="D50" s="3" t="s">
        <v>260</v>
      </c>
      <c r="E50" s="3">
        <v>1</v>
      </c>
      <c r="F50" s="3" t="s">
        <v>117</v>
      </c>
      <c r="G50" s="2">
        <v>-1</v>
      </c>
      <c r="H50" s="2">
        <v>-1</v>
      </c>
      <c r="I50" s="2">
        <v>-1</v>
      </c>
      <c r="J50" s="2">
        <v>0</v>
      </c>
      <c r="K50" s="2">
        <v>0</v>
      </c>
      <c r="L50" s="3">
        <v>100</v>
      </c>
      <c r="M50" s="3">
        <v>-1</v>
      </c>
      <c r="N50" s="3">
        <v>2</v>
      </c>
      <c r="O50" s="3">
        <v>100</v>
      </c>
      <c r="P50" s="3">
        <v>-1</v>
      </c>
      <c r="Q50" s="3">
        <v>-1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-1</v>
      </c>
      <c r="X50" s="2">
        <v>-1</v>
      </c>
      <c r="Y50" s="3">
        <v>0</v>
      </c>
      <c r="Z50" s="2">
        <v>50</v>
      </c>
      <c r="AA50" s="2">
        <v>50</v>
      </c>
      <c r="AB50" s="3">
        <v>0</v>
      </c>
      <c r="AC50" s="3">
        <v>49</v>
      </c>
      <c r="AD50" s="2">
        <v>-1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1</v>
      </c>
      <c r="AL50" s="3">
        <v>1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 t="str">
        <f t="shared" si="0"/>
        <v>tunup048</v>
      </c>
      <c r="AZ50" s="3">
        <v>-1</v>
      </c>
      <c r="BA50" s="3">
        <v>2</v>
      </c>
      <c r="BB50" s="2"/>
    </row>
    <row r="51" spans="1:54" x14ac:dyDescent="0.25">
      <c r="A51" s="3" t="s">
        <v>132</v>
      </c>
      <c r="B51" s="3" t="s">
        <v>133</v>
      </c>
      <c r="C51" s="3">
        <v>100</v>
      </c>
      <c r="D51" s="3" t="s">
        <v>260</v>
      </c>
      <c r="E51" s="3">
        <v>1</v>
      </c>
      <c r="F51" s="3" t="s">
        <v>117</v>
      </c>
      <c r="G51" s="2">
        <v>-1</v>
      </c>
      <c r="H51" s="2">
        <v>-1</v>
      </c>
      <c r="I51" s="2">
        <v>-1</v>
      </c>
      <c r="J51" s="2">
        <v>0</v>
      </c>
      <c r="K51" s="2">
        <v>0</v>
      </c>
      <c r="L51" s="3">
        <v>100</v>
      </c>
      <c r="M51" s="3">
        <v>-1</v>
      </c>
      <c r="N51" s="3">
        <v>2</v>
      </c>
      <c r="O51" s="3">
        <v>100</v>
      </c>
      <c r="P51" s="3">
        <v>-1</v>
      </c>
      <c r="Q51" s="3">
        <v>-1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-1</v>
      </c>
      <c r="X51" s="2">
        <v>-1</v>
      </c>
      <c r="Y51" s="3">
        <v>0</v>
      </c>
      <c r="Z51" s="2">
        <v>50</v>
      </c>
      <c r="AA51" s="2">
        <v>50</v>
      </c>
      <c r="AB51" s="3">
        <v>0</v>
      </c>
      <c r="AC51" s="3">
        <v>49</v>
      </c>
      <c r="AD51" s="2">
        <v>-1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1</v>
      </c>
      <c r="AL51" s="3">
        <v>1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 t="str">
        <f t="shared" si="0"/>
        <v>tunup049</v>
      </c>
      <c r="AZ51" s="3">
        <v>-1</v>
      </c>
      <c r="BA51" s="3">
        <v>2</v>
      </c>
      <c r="BB51" s="2"/>
    </row>
    <row r="52" spans="1:54" x14ac:dyDescent="0.25">
      <c r="A52" s="3" t="s">
        <v>134</v>
      </c>
      <c r="B52" s="3" t="s">
        <v>135</v>
      </c>
      <c r="C52" s="3">
        <v>100</v>
      </c>
      <c r="D52" s="3" t="s">
        <v>260</v>
      </c>
      <c r="E52" s="3">
        <v>1</v>
      </c>
      <c r="F52" s="3" t="s">
        <v>117</v>
      </c>
      <c r="G52" s="2">
        <v>-1</v>
      </c>
      <c r="H52" s="2">
        <v>-1</v>
      </c>
      <c r="I52" s="2">
        <v>-1</v>
      </c>
      <c r="J52" s="2">
        <v>0</v>
      </c>
      <c r="K52" s="2">
        <v>0</v>
      </c>
      <c r="L52" s="3">
        <v>100</v>
      </c>
      <c r="M52" s="3">
        <v>-1</v>
      </c>
      <c r="N52" s="3">
        <v>2</v>
      </c>
      <c r="O52" s="3">
        <v>100</v>
      </c>
      <c r="P52" s="3">
        <v>-1</v>
      </c>
      <c r="Q52" s="3">
        <v>-1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-1</v>
      </c>
      <c r="X52" s="2">
        <v>-1</v>
      </c>
      <c r="Y52" s="3">
        <v>0</v>
      </c>
      <c r="Z52" s="2">
        <v>50</v>
      </c>
      <c r="AA52" s="2">
        <v>50</v>
      </c>
      <c r="AB52" s="3">
        <v>0</v>
      </c>
      <c r="AC52" s="3">
        <v>49</v>
      </c>
      <c r="AD52" s="2">
        <v>-1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1</v>
      </c>
      <c r="AL52" s="3">
        <v>1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 t="str">
        <f t="shared" si="0"/>
        <v>tunup050</v>
      </c>
      <c r="AZ52" s="3">
        <v>-1</v>
      </c>
      <c r="BA52" s="3">
        <v>2</v>
      </c>
      <c r="BB52" s="2"/>
    </row>
    <row r="53" spans="1:54" x14ac:dyDescent="0.25">
      <c r="A53" s="3" t="s">
        <v>136</v>
      </c>
      <c r="B53" s="3" t="s">
        <v>137</v>
      </c>
      <c r="C53" s="3">
        <v>100</v>
      </c>
      <c r="D53" s="3" t="s">
        <v>260</v>
      </c>
      <c r="E53" s="3">
        <v>1</v>
      </c>
      <c r="F53" s="3" t="s">
        <v>117</v>
      </c>
      <c r="G53" s="2">
        <v>-1</v>
      </c>
      <c r="H53" s="2">
        <v>-1</v>
      </c>
      <c r="I53" s="2">
        <v>-1</v>
      </c>
      <c r="J53" s="2">
        <v>0</v>
      </c>
      <c r="K53" s="2">
        <v>0</v>
      </c>
      <c r="L53" s="3">
        <v>100</v>
      </c>
      <c r="M53" s="3">
        <v>-1</v>
      </c>
      <c r="N53" s="3">
        <v>2</v>
      </c>
      <c r="O53" s="3">
        <v>100</v>
      </c>
      <c r="P53" s="3">
        <v>-1</v>
      </c>
      <c r="Q53" s="3">
        <v>-1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-1</v>
      </c>
      <c r="X53" s="2">
        <v>-1</v>
      </c>
      <c r="Y53" s="3">
        <v>0</v>
      </c>
      <c r="Z53" s="2">
        <v>50</v>
      </c>
      <c r="AA53" s="2">
        <v>50</v>
      </c>
      <c r="AB53" s="3">
        <v>0</v>
      </c>
      <c r="AC53" s="3">
        <v>49</v>
      </c>
      <c r="AD53" s="2">
        <v>-1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1</v>
      </c>
      <c r="AL53" s="3">
        <v>1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 t="str">
        <f t="shared" si="0"/>
        <v>tunup051</v>
      </c>
      <c r="AZ53" s="3">
        <v>-1</v>
      </c>
      <c r="BA53" s="3">
        <v>2</v>
      </c>
      <c r="BB53" s="2"/>
    </row>
    <row r="54" spans="1:54" x14ac:dyDescent="0.25">
      <c r="A54" s="3" t="s">
        <v>138</v>
      </c>
      <c r="B54" s="3" t="s">
        <v>139</v>
      </c>
      <c r="C54" s="3">
        <v>100</v>
      </c>
      <c r="D54" s="3" t="s">
        <v>260</v>
      </c>
      <c r="E54" s="3">
        <v>1</v>
      </c>
      <c r="F54" s="3" t="s">
        <v>117</v>
      </c>
      <c r="G54" s="2">
        <v>-1</v>
      </c>
      <c r="H54" s="2">
        <v>-1</v>
      </c>
      <c r="I54" s="2">
        <v>-1</v>
      </c>
      <c r="J54" s="2">
        <v>0</v>
      </c>
      <c r="K54" s="2">
        <v>0</v>
      </c>
      <c r="L54" s="3">
        <v>100</v>
      </c>
      <c r="M54" s="3">
        <v>-1</v>
      </c>
      <c r="N54" s="3">
        <v>2</v>
      </c>
      <c r="O54" s="3">
        <v>100</v>
      </c>
      <c r="P54" s="3">
        <v>-1</v>
      </c>
      <c r="Q54" s="3">
        <v>-1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-1</v>
      </c>
      <c r="X54" s="2">
        <v>-1</v>
      </c>
      <c r="Y54" s="3">
        <v>0</v>
      </c>
      <c r="Z54" s="2">
        <v>50</v>
      </c>
      <c r="AA54" s="2">
        <v>50</v>
      </c>
      <c r="AB54" s="3">
        <v>0</v>
      </c>
      <c r="AC54" s="3">
        <v>49</v>
      </c>
      <c r="AD54" s="2">
        <v>-1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1</v>
      </c>
      <c r="AL54" s="3">
        <v>1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 t="str">
        <f t="shared" si="0"/>
        <v>tunup052</v>
      </c>
      <c r="AZ54" s="3">
        <v>-1</v>
      </c>
      <c r="BA54" s="3">
        <v>2</v>
      </c>
      <c r="BB54" s="2"/>
    </row>
    <row r="55" spans="1:54" x14ac:dyDescent="0.25">
      <c r="A55" s="3" t="s">
        <v>140</v>
      </c>
      <c r="B55" s="3" t="s">
        <v>141</v>
      </c>
      <c r="C55" s="3">
        <v>100</v>
      </c>
      <c r="D55" s="3" t="s">
        <v>260</v>
      </c>
      <c r="E55" s="3">
        <v>1</v>
      </c>
      <c r="F55" s="3" t="s">
        <v>117</v>
      </c>
      <c r="G55" s="2">
        <v>-1</v>
      </c>
      <c r="H55" s="2">
        <v>-1</v>
      </c>
      <c r="I55" s="2">
        <v>-1</v>
      </c>
      <c r="J55" s="2">
        <v>0</v>
      </c>
      <c r="K55" s="2">
        <v>0</v>
      </c>
      <c r="L55" s="3">
        <v>100</v>
      </c>
      <c r="M55" s="3">
        <v>-1</v>
      </c>
      <c r="N55" s="3">
        <v>2</v>
      </c>
      <c r="O55" s="3">
        <v>100</v>
      </c>
      <c r="P55" s="3">
        <v>-1</v>
      </c>
      <c r="Q55" s="3">
        <v>-1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-1</v>
      </c>
      <c r="X55" s="2">
        <v>-1</v>
      </c>
      <c r="Y55" s="3">
        <v>0</v>
      </c>
      <c r="Z55" s="2">
        <v>50</v>
      </c>
      <c r="AA55" s="2">
        <v>50</v>
      </c>
      <c r="AB55" s="3">
        <v>0</v>
      </c>
      <c r="AC55" s="3">
        <v>49</v>
      </c>
      <c r="AD55" s="2">
        <v>-1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1</v>
      </c>
      <c r="AL55" s="3">
        <v>1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 t="str">
        <f t="shared" si="0"/>
        <v>tunup053</v>
      </c>
      <c r="AZ55" s="3">
        <v>-1</v>
      </c>
      <c r="BA55" s="3">
        <v>2</v>
      </c>
      <c r="BB55" s="2"/>
    </row>
    <row r="56" spans="1:54" x14ac:dyDescent="0.25">
      <c r="A56" s="3" t="s">
        <v>142</v>
      </c>
      <c r="B56" s="3" t="s">
        <v>143</v>
      </c>
      <c r="C56" s="3">
        <v>100</v>
      </c>
      <c r="D56" s="3" t="s">
        <v>260</v>
      </c>
      <c r="E56" s="3">
        <v>1</v>
      </c>
      <c r="F56" s="3" t="s">
        <v>117</v>
      </c>
      <c r="G56" s="2">
        <v>-1</v>
      </c>
      <c r="H56" s="2">
        <v>-1</v>
      </c>
      <c r="I56" s="2">
        <v>-1</v>
      </c>
      <c r="J56" s="2">
        <v>0</v>
      </c>
      <c r="K56" s="2">
        <v>0</v>
      </c>
      <c r="L56" s="3">
        <v>100</v>
      </c>
      <c r="M56" s="3">
        <v>-1</v>
      </c>
      <c r="N56" s="3">
        <v>2</v>
      </c>
      <c r="O56" s="3">
        <v>100</v>
      </c>
      <c r="P56" s="3">
        <v>-1</v>
      </c>
      <c r="Q56" s="3">
        <v>-1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-1</v>
      </c>
      <c r="X56" s="2">
        <v>-1</v>
      </c>
      <c r="Y56" s="3">
        <v>0</v>
      </c>
      <c r="Z56" s="2">
        <v>50</v>
      </c>
      <c r="AA56" s="2">
        <v>50</v>
      </c>
      <c r="AB56" s="3">
        <v>0</v>
      </c>
      <c r="AC56" s="3">
        <v>49</v>
      </c>
      <c r="AD56" s="2">
        <v>-1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1</v>
      </c>
      <c r="AL56" s="3">
        <v>1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 t="str">
        <f t="shared" si="0"/>
        <v>tunup054</v>
      </c>
      <c r="AZ56" s="3">
        <v>-1</v>
      </c>
      <c r="BA56" s="3">
        <v>2</v>
      </c>
      <c r="BB56" s="2"/>
    </row>
    <row r="57" spans="1:54" x14ac:dyDescent="0.25">
      <c r="A57" s="3" t="s">
        <v>144</v>
      </c>
      <c r="B57" s="3" t="s">
        <v>145</v>
      </c>
      <c r="C57" s="3">
        <v>100</v>
      </c>
      <c r="D57" s="3" t="s">
        <v>260</v>
      </c>
      <c r="E57" s="3">
        <v>1</v>
      </c>
      <c r="F57" s="3" t="s">
        <v>117</v>
      </c>
      <c r="G57" s="2">
        <v>-1</v>
      </c>
      <c r="H57" s="2">
        <v>-1</v>
      </c>
      <c r="I57" s="2">
        <v>-1</v>
      </c>
      <c r="J57" s="2">
        <v>0</v>
      </c>
      <c r="K57" s="2">
        <v>0</v>
      </c>
      <c r="L57" s="3">
        <v>100</v>
      </c>
      <c r="M57" s="3">
        <v>-1</v>
      </c>
      <c r="N57" s="3">
        <v>2</v>
      </c>
      <c r="O57" s="3">
        <v>100</v>
      </c>
      <c r="P57" s="3">
        <v>-1</v>
      </c>
      <c r="Q57" s="3">
        <v>-1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-1</v>
      </c>
      <c r="X57" s="2">
        <v>-1</v>
      </c>
      <c r="Y57" s="3">
        <v>0</v>
      </c>
      <c r="Z57" s="2">
        <v>50</v>
      </c>
      <c r="AA57" s="2">
        <v>50</v>
      </c>
      <c r="AB57" s="3">
        <v>0</v>
      </c>
      <c r="AC57" s="3">
        <v>49</v>
      </c>
      <c r="AD57" s="2">
        <v>-1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1</v>
      </c>
      <c r="AL57" s="3">
        <v>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 t="str">
        <f t="shared" si="0"/>
        <v>tunup055</v>
      </c>
      <c r="AZ57" s="3">
        <v>-1</v>
      </c>
      <c r="BA57" s="3">
        <v>2</v>
      </c>
      <c r="BB57" s="2"/>
    </row>
    <row r="58" spans="1:54" x14ac:dyDescent="0.25">
      <c r="A58" s="3" t="s">
        <v>146</v>
      </c>
      <c r="B58" s="3" t="s">
        <v>147</v>
      </c>
      <c r="C58" s="3">
        <v>100</v>
      </c>
      <c r="D58" s="3" t="s">
        <v>260</v>
      </c>
      <c r="E58" s="3">
        <v>1</v>
      </c>
      <c r="F58" s="3" t="s">
        <v>117</v>
      </c>
      <c r="G58" s="2">
        <v>-1</v>
      </c>
      <c r="H58" s="2">
        <v>-1</v>
      </c>
      <c r="I58" s="2">
        <v>-1</v>
      </c>
      <c r="J58" s="2">
        <v>0</v>
      </c>
      <c r="K58" s="2">
        <v>0</v>
      </c>
      <c r="L58" s="3">
        <v>100</v>
      </c>
      <c r="M58" s="3">
        <v>-1</v>
      </c>
      <c r="N58" s="3">
        <v>2</v>
      </c>
      <c r="O58" s="3">
        <v>100</v>
      </c>
      <c r="P58" s="3">
        <v>-1</v>
      </c>
      <c r="Q58" s="3">
        <v>-1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-1</v>
      </c>
      <c r="X58" s="2">
        <v>-1</v>
      </c>
      <c r="Y58" s="3">
        <v>0</v>
      </c>
      <c r="Z58" s="2">
        <v>50</v>
      </c>
      <c r="AA58" s="2">
        <v>50</v>
      </c>
      <c r="AB58" s="3">
        <v>0</v>
      </c>
      <c r="AC58" s="3">
        <v>49</v>
      </c>
      <c r="AD58" s="2">
        <v>-1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</v>
      </c>
      <c r="AL58" s="3">
        <v>1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 t="str">
        <f t="shared" si="0"/>
        <v>tunup056</v>
      </c>
      <c r="AZ58" s="3">
        <v>-1</v>
      </c>
      <c r="BA58" s="3">
        <v>2</v>
      </c>
      <c r="BB58" s="2"/>
    </row>
    <row r="59" spans="1:54" x14ac:dyDescent="0.25">
      <c r="A59" s="3" t="s">
        <v>148</v>
      </c>
      <c r="B59" s="3" t="s">
        <v>149</v>
      </c>
      <c r="C59" s="3">
        <v>100</v>
      </c>
      <c r="D59" s="3" t="s">
        <v>260</v>
      </c>
      <c r="E59" s="3">
        <v>1</v>
      </c>
      <c r="F59" s="3" t="s">
        <v>117</v>
      </c>
      <c r="G59" s="2">
        <v>-1</v>
      </c>
      <c r="H59" s="2">
        <v>-1</v>
      </c>
      <c r="I59" s="2">
        <v>-1</v>
      </c>
      <c r="J59" s="2">
        <v>0</v>
      </c>
      <c r="K59" s="2">
        <v>0</v>
      </c>
      <c r="L59" s="3">
        <v>100</v>
      </c>
      <c r="M59" s="3">
        <v>-1</v>
      </c>
      <c r="N59" s="3">
        <v>2</v>
      </c>
      <c r="O59" s="3">
        <v>100</v>
      </c>
      <c r="P59" s="3">
        <v>-1</v>
      </c>
      <c r="Q59" s="3">
        <v>-1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-1</v>
      </c>
      <c r="X59" s="2">
        <v>-1</v>
      </c>
      <c r="Y59" s="3">
        <v>0</v>
      </c>
      <c r="Z59" s="2">
        <v>50</v>
      </c>
      <c r="AA59" s="2">
        <v>50</v>
      </c>
      <c r="AB59" s="3">
        <v>0</v>
      </c>
      <c r="AC59" s="3">
        <v>49</v>
      </c>
      <c r="AD59" s="2">
        <v>-1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1</v>
      </c>
      <c r="AL59" s="3">
        <v>1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 t="str">
        <f t="shared" si="0"/>
        <v>tunup057</v>
      </c>
      <c r="AZ59" s="3">
        <v>-1</v>
      </c>
      <c r="BA59" s="3">
        <v>2</v>
      </c>
      <c r="BB59" s="2"/>
    </row>
    <row r="60" spans="1:54" x14ac:dyDescent="0.25">
      <c r="A60" s="3" t="s">
        <v>150</v>
      </c>
      <c r="B60" s="3" t="s">
        <v>151</v>
      </c>
      <c r="C60" s="3">
        <v>100</v>
      </c>
      <c r="D60" s="3" t="s">
        <v>260</v>
      </c>
      <c r="E60" s="3">
        <v>1</v>
      </c>
      <c r="F60" s="3" t="s">
        <v>117</v>
      </c>
      <c r="G60" s="2">
        <v>-1</v>
      </c>
      <c r="H60" s="2">
        <v>-1</v>
      </c>
      <c r="I60" s="2">
        <v>-1</v>
      </c>
      <c r="J60" s="2">
        <v>0</v>
      </c>
      <c r="K60" s="2">
        <v>0</v>
      </c>
      <c r="L60" s="3">
        <v>100</v>
      </c>
      <c r="M60" s="3">
        <v>-1</v>
      </c>
      <c r="N60" s="3">
        <v>2</v>
      </c>
      <c r="O60" s="3">
        <v>100</v>
      </c>
      <c r="P60" s="3">
        <v>-1</v>
      </c>
      <c r="Q60" s="3">
        <v>-1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-1</v>
      </c>
      <c r="X60" s="2">
        <v>-1</v>
      </c>
      <c r="Y60" s="3">
        <v>0</v>
      </c>
      <c r="Z60" s="2">
        <v>50</v>
      </c>
      <c r="AA60" s="2">
        <v>50</v>
      </c>
      <c r="AB60" s="3">
        <v>0</v>
      </c>
      <c r="AC60" s="3">
        <v>49</v>
      </c>
      <c r="AD60" s="2">
        <v>-1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1</v>
      </c>
      <c r="AL60" s="3">
        <v>1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 t="str">
        <f t="shared" si="0"/>
        <v>tunup058</v>
      </c>
      <c r="AZ60" s="3">
        <v>-1</v>
      </c>
      <c r="BA60" s="3">
        <v>2</v>
      </c>
      <c r="BB60" s="2"/>
    </row>
    <row r="61" spans="1:54" x14ac:dyDescent="0.25">
      <c r="A61" s="3" t="s">
        <v>152</v>
      </c>
      <c r="B61" s="3" t="s">
        <v>153</v>
      </c>
      <c r="C61" s="3">
        <v>100</v>
      </c>
      <c r="D61" s="3" t="s">
        <v>260</v>
      </c>
      <c r="E61" s="3">
        <v>1</v>
      </c>
      <c r="F61" s="3" t="s">
        <v>117</v>
      </c>
      <c r="G61" s="2">
        <v>-1</v>
      </c>
      <c r="H61" s="2">
        <v>-1</v>
      </c>
      <c r="I61" s="2">
        <v>-1</v>
      </c>
      <c r="J61" s="2">
        <v>0</v>
      </c>
      <c r="K61" s="2">
        <v>0</v>
      </c>
      <c r="L61" s="3">
        <v>100</v>
      </c>
      <c r="M61" s="3">
        <v>-1</v>
      </c>
      <c r="N61" s="3">
        <v>2</v>
      </c>
      <c r="O61" s="3">
        <v>100</v>
      </c>
      <c r="P61" s="3">
        <v>-1</v>
      </c>
      <c r="Q61" s="3">
        <v>-1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-1</v>
      </c>
      <c r="X61" s="2">
        <v>-1</v>
      </c>
      <c r="Y61" s="3">
        <v>0</v>
      </c>
      <c r="Z61" s="2">
        <v>50</v>
      </c>
      <c r="AA61" s="2">
        <v>50</v>
      </c>
      <c r="AB61" s="3">
        <v>0</v>
      </c>
      <c r="AC61" s="3">
        <v>49</v>
      </c>
      <c r="AD61" s="2">
        <v>-1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</v>
      </c>
      <c r="AL61" s="3">
        <v>1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 t="str">
        <f t="shared" si="0"/>
        <v>tunup059</v>
      </c>
      <c r="AZ61" s="3">
        <v>-1</v>
      </c>
      <c r="BA61" s="3">
        <v>2</v>
      </c>
      <c r="BB61" s="2"/>
    </row>
    <row r="62" spans="1:54" x14ac:dyDescent="0.25">
      <c r="A62" s="3" t="s">
        <v>154</v>
      </c>
      <c r="B62" s="3" t="s">
        <v>155</v>
      </c>
      <c r="C62" s="3">
        <v>100</v>
      </c>
      <c r="D62" s="3" t="s">
        <v>260</v>
      </c>
      <c r="E62" s="3">
        <v>1</v>
      </c>
      <c r="F62" s="3" t="s">
        <v>117</v>
      </c>
      <c r="G62" s="2">
        <v>-1</v>
      </c>
      <c r="H62" s="2">
        <v>-1</v>
      </c>
      <c r="I62" s="2">
        <v>-1</v>
      </c>
      <c r="J62" s="2">
        <v>0</v>
      </c>
      <c r="K62" s="2">
        <v>0</v>
      </c>
      <c r="L62" s="3">
        <v>100</v>
      </c>
      <c r="M62" s="3">
        <v>-1</v>
      </c>
      <c r="N62" s="3">
        <v>2</v>
      </c>
      <c r="O62" s="3">
        <v>100</v>
      </c>
      <c r="P62" s="3">
        <v>-1</v>
      </c>
      <c r="Q62" s="3">
        <v>-1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-1</v>
      </c>
      <c r="X62" s="2">
        <v>-1</v>
      </c>
      <c r="Y62" s="3">
        <v>0</v>
      </c>
      <c r="Z62" s="2">
        <v>50</v>
      </c>
      <c r="AA62" s="2">
        <v>50</v>
      </c>
      <c r="AB62" s="3">
        <v>0</v>
      </c>
      <c r="AC62" s="3">
        <v>49</v>
      </c>
      <c r="AD62" s="2">
        <v>-1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1</v>
      </c>
      <c r="AL62" s="3">
        <v>1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 t="str">
        <f t="shared" si="0"/>
        <v>tunup060</v>
      </c>
      <c r="AZ62" s="3">
        <v>-1</v>
      </c>
      <c r="BA62" s="3">
        <v>2</v>
      </c>
      <c r="BB62" s="2"/>
    </row>
    <row r="63" spans="1:54" x14ac:dyDescent="0.25">
      <c r="A63" s="3" t="s">
        <v>156</v>
      </c>
      <c r="B63" s="3" t="s">
        <v>157</v>
      </c>
      <c r="C63" s="3">
        <v>100</v>
      </c>
      <c r="D63" s="3" t="s">
        <v>260</v>
      </c>
      <c r="E63" s="3">
        <v>1</v>
      </c>
      <c r="F63" s="3" t="s">
        <v>158</v>
      </c>
      <c r="G63" s="2">
        <v>-1</v>
      </c>
      <c r="H63" s="2">
        <v>-1</v>
      </c>
      <c r="I63" s="2">
        <v>-1</v>
      </c>
      <c r="J63" s="2">
        <v>0</v>
      </c>
      <c r="K63" s="2">
        <v>0</v>
      </c>
      <c r="L63" s="3">
        <v>100</v>
      </c>
      <c r="M63" s="3">
        <v>-1</v>
      </c>
      <c r="N63" s="3">
        <v>2</v>
      </c>
      <c r="O63" s="3">
        <v>100</v>
      </c>
      <c r="P63" s="3">
        <v>-1</v>
      </c>
      <c r="Q63" s="3">
        <v>-1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-1</v>
      </c>
      <c r="X63" s="2">
        <v>-1</v>
      </c>
      <c r="Y63" s="3">
        <v>0</v>
      </c>
      <c r="Z63" s="2">
        <v>50</v>
      </c>
      <c r="AA63" s="2">
        <v>50</v>
      </c>
      <c r="AB63" s="3">
        <v>0</v>
      </c>
      <c r="AC63" s="3">
        <v>49</v>
      </c>
      <c r="AD63" s="2">
        <v>-1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</v>
      </c>
      <c r="AL63" s="3">
        <v>1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 t="str">
        <f t="shared" si="0"/>
        <v>tunup061</v>
      </c>
      <c r="AZ63" s="3">
        <v>-1</v>
      </c>
      <c r="BA63" s="3">
        <v>2</v>
      </c>
      <c r="BB63" s="2"/>
    </row>
    <row r="64" spans="1:54" x14ac:dyDescent="0.25">
      <c r="A64" s="3" t="s">
        <v>159</v>
      </c>
      <c r="B64" s="3" t="s">
        <v>160</v>
      </c>
      <c r="C64" s="3">
        <v>100</v>
      </c>
      <c r="D64" s="3" t="s">
        <v>260</v>
      </c>
      <c r="E64" s="3">
        <v>1</v>
      </c>
      <c r="F64" s="3" t="s">
        <v>158</v>
      </c>
      <c r="G64" s="2">
        <v>-1</v>
      </c>
      <c r="H64" s="2">
        <v>-1</v>
      </c>
      <c r="I64" s="2">
        <v>-1</v>
      </c>
      <c r="J64" s="2">
        <v>0</v>
      </c>
      <c r="K64" s="2">
        <v>0</v>
      </c>
      <c r="L64" s="3">
        <v>100</v>
      </c>
      <c r="M64" s="3">
        <v>-1</v>
      </c>
      <c r="N64" s="3">
        <v>2</v>
      </c>
      <c r="O64" s="3">
        <v>100</v>
      </c>
      <c r="P64" s="3">
        <v>-1</v>
      </c>
      <c r="Q64" s="3">
        <v>-1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-1</v>
      </c>
      <c r="X64" s="2">
        <v>-1</v>
      </c>
      <c r="Y64" s="3">
        <v>0</v>
      </c>
      <c r="Z64" s="2">
        <v>50</v>
      </c>
      <c r="AA64" s="2">
        <v>50</v>
      </c>
      <c r="AB64" s="3">
        <v>0</v>
      </c>
      <c r="AC64" s="3">
        <v>49</v>
      </c>
      <c r="AD64" s="2">
        <v>-1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1</v>
      </c>
      <c r="AL64" s="3">
        <v>1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 t="str">
        <f t="shared" si="0"/>
        <v>tunup062</v>
      </c>
      <c r="AZ64" s="3">
        <v>-1</v>
      </c>
      <c r="BA64" s="3">
        <v>2</v>
      </c>
      <c r="BB64" s="2"/>
    </row>
    <row r="65" spans="1:54" x14ac:dyDescent="0.25">
      <c r="A65" s="3" t="s">
        <v>161</v>
      </c>
      <c r="B65" s="3" t="s">
        <v>162</v>
      </c>
      <c r="C65" s="3">
        <v>100</v>
      </c>
      <c r="D65" s="3" t="s">
        <v>260</v>
      </c>
      <c r="E65" s="3">
        <v>1</v>
      </c>
      <c r="F65" s="3" t="s">
        <v>158</v>
      </c>
      <c r="G65" s="2">
        <v>-1</v>
      </c>
      <c r="H65" s="2">
        <v>-1</v>
      </c>
      <c r="I65" s="2">
        <v>-1</v>
      </c>
      <c r="J65" s="2">
        <v>0</v>
      </c>
      <c r="K65" s="2">
        <v>0</v>
      </c>
      <c r="L65" s="3">
        <v>100</v>
      </c>
      <c r="M65" s="3">
        <v>-1</v>
      </c>
      <c r="N65" s="3">
        <v>2</v>
      </c>
      <c r="O65" s="3">
        <v>100</v>
      </c>
      <c r="P65" s="3">
        <v>-1</v>
      </c>
      <c r="Q65" s="3">
        <v>-1</v>
      </c>
      <c r="R65" s="2">
        <v>1</v>
      </c>
      <c r="S65" s="2">
        <v>0</v>
      </c>
      <c r="T65" s="2">
        <v>0</v>
      </c>
      <c r="U65" s="2">
        <v>0</v>
      </c>
      <c r="V65" s="2">
        <v>0</v>
      </c>
      <c r="W65" s="2">
        <v>-1</v>
      </c>
      <c r="X65" s="2">
        <v>-1</v>
      </c>
      <c r="Y65" s="3">
        <v>0</v>
      </c>
      <c r="Z65" s="2">
        <v>50</v>
      </c>
      <c r="AA65" s="2">
        <v>50</v>
      </c>
      <c r="AB65" s="3">
        <v>0</v>
      </c>
      <c r="AC65" s="3">
        <v>49</v>
      </c>
      <c r="AD65" s="2">
        <v>-1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1</v>
      </c>
      <c r="AL65" s="3">
        <v>1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 t="str">
        <f t="shared" si="0"/>
        <v>tunup063</v>
      </c>
      <c r="AZ65" s="3">
        <v>-1</v>
      </c>
      <c r="BA65" s="3">
        <v>2</v>
      </c>
      <c r="BB65" s="2"/>
    </row>
    <row r="66" spans="1:54" x14ac:dyDescent="0.25">
      <c r="A66" s="3" t="s">
        <v>163</v>
      </c>
      <c r="B66" s="3" t="s">
        <v>164</v>
      </c>
      <c r="C66" s="3">
        <v>100</v>
      </c>
      <c r="D66" s="3" t="s">
        <v>260</v>
      </c>
      <c r="E66" s="3">
        <v>1</v>
      </c>
      <c r="F66" s="3" t="s">
        <v>158</v>
      </c>
      <c r="G66" s="2">
        <v>-1</v>
      </c>
      <c r="H66" s="2">
        <v>-1</v>
      </c>
      <c r="I66" s="2">
        <v>-1</v>
      </c>
      <c r="J66" s="2">
        <v>0</v>
      </c>
      <c r="K66" s="2">
        <v>0</v>
      </c>
      <c r="L66" s="3">
        <v>100</v>
      </c>
      <c r="M66" s="3">
        <v>-1</v>
      </c>
      <c r="N66" s="3">
        <v>2</v>
      </c>
      <c r="O66" s="3">
        <v>100</v>
      </c>
      <c r="P66" s="3">
        <v>-1</v>
      </c>
      <c r="Q66" s="3">
        <v>-1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-1</v>
      </c>
      <c r="X66" s="2">
        <v>-1</v>
      </c>
      <c r="Y66" s="3">
        <v>0</v>
      </c>
      <c r="Z66" s="2">
        <v>50</v>
      </c>
      <c r="AA66" s="2">
        <v>50</v>
      </c>
      <c r="AB66" s="3">
        <v>0</v>
      </c>
      <c r="AC66" s="3">
        <v>49</v>
      </c>
      <c r="AD66" s="2">
        <v>-1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1</v>
      </c>
      <c r="AL66" s="3">
        <v>1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 t="str">
        <f t="shared" si="0"/>
        <v>tunup064</v>
      </c>
      <c r="AZ66" s="3">
        <v>-1</v>
      </c>
      <c r="BA66" s="3">
        <v>2</v>
      </c>
      <c r="BB66" s="2"/>
    </row>
    <row r="67" spans="1:54" x14ac:dyDescent="0.25">
      <c r="A67" s="3" t="s">
        <v>165</v>
      </c>
      <c r="B67" s="3" t="s">
        <v>166</v>
      </c>
      <c r="C67" s="3">
        <v>100</v>
      </c>
      <c r="D67" s="3" t="s">
        <v>260</v>
      </c>
      <c r="E67" s="3">
        <v>1</v>
      </c>
      <c r="F67" s="3" t="s">
        <v>158</v>
      </c>
      <c r="G67" s="2">
        <v>-1</v>
      </c>
      <c r="H67" s="2">
        <v>-1</v>
      </c>
      <c r="I67" s="2">
        <v>-1</v>
      </c>
      <c r="J67" s="2">
        <v>0</v>
      </c>
      <c r="K67" s="2">
        <v>0</v>
      </c>
      <c r="L67" s="3">
        <v>100</v>
      </c>
      <c r="M67" s="3">
        <v>-1</v>
      </c>
      <c r="N67" s="3">
        <v>2</v>
      </c>
      <c r="O67" s="3">
        <v>100</v>
      </c>
      <c r="P67" s="3">
        <v>-1</v>
      </c>
      <c r="Q67" s="3">
        <v>-1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-1</v>
      </c>
      <c r="X67" s="2">
        <v>-1</v>
      </c>
      <c r="Y67" s="3">
        <v>0</v>
      </c>
      <c r="Z67" s="2">
        <v>50</v>
      </c>
      <c r="AA67" s="2">
        <v>50</v>
      </c>
      <c r="AB67" s="3">
        <v>0</v>
      </c>
      <c r="AC67" s="3">
        <v>49</v>
      </c>
      <c r="AD67" s="2">
        <v>-1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1</v>
      </c>
      <c r="AL67" s="3">
        <v>1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 t="str">
        <f t="shared" si="0"/>
        <v>tunup065</v>
      </c>
      <c r="AZ67" s="3">
        <v>-1</v>
      </c>
      <c r="BA67" s="3">
        <v>2</v>
      </c>
      <c r="BB67" s="2"/>
    </row>
    <row r="68" spans="1:54" x14ac:dyDescent="0.25">
      <c r="A68" s="3" t="s">
        <v>167</v>
      </c>
      <c r="B68" s="3" t="s">
        <v>168</v>
      </c>
      <c r="C68" s="3">
        <v>100</v>
      </c>
      <c r="D68" s="3" t="s">
        <v>260</v>
      </c>
      <c r="E68" s="3">
        <v>1</v>
      </c>
      <c r="F68" s="3" t="s">
        <v>158</v>
      </c>
      <c r="G68" s="2">
        <v>-1</v>
      </c>
      <c r="H68" s="2">
        <v>-1</v>
      </c>
      <c r="I68" s="2">
        <v>-1</v>
      </c>
      <c r="J68" s="2">
        <v>0</v>
      </c>
      <c r="K68" s="2">
        <v>0</v>
      </c>
      <c r="L68" s="3">
        <v>100</v>
      </c>
      <c r="M68" s="3">
        <v>-1</v>
      </c>
      <c r="N68" s="3">
        <v>2</v>
      </c>
      <c r="O68" s="3">
        <v>100</v>
      </c>
      <c r="P68" s="3">
        <v>-1</v>
      </c>
      <c r="Q68" s="3">
        <v>-1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-1</v>
      </c>
      <c r="X68" s="2">
        <v>-1</v>
      </c>
      <c r="Y68" s="3">
        <v>0</v>
      </c>
      <c r="Z68" s="2">
        <v>50</v>
      </c>
      <c r="AA68" s="2">
        <v>50</v>
      </c>
      <c r="AB68" s="3">
        <v>0</v>
      </c>
      <c r="AC68" s="3">
        <v>49</v>
      </c>
      <c r="AD68" s="2">
        <v>-1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1</v>
      </c>
      <c r="AL68" s="3">
        <v>1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 t="str">
        <f t="shared" ref="AY68:AY82" si="1">"t"&amp;A68</f>
        <v>tunup066</v>
      </c>
      <c r="AZ68" s="3">
        <v>-1</v>
      </c>
      <c r="BA68" s="3">
        <v>2</v>
      </c>
      <c r="BB68" s="2"/>
    </row>
    <row r="69" spans="1:54" x14ac:dyDescent="0.25">
      <c r="A69" s="3" t="s">
        <v>169</v>
      </c>
      <c r="B69" s="3" t="s">
        <v>170</v>
      </c>
      <c r="C69" s="3">
        <v>100</v>
      </c>
      <c r="D69" s="3" t="s">
        <v>260</v>
      </c>
      <c r="E69" s="3">
        <v>1</v>
      </c>
      <c r="F69" s="3" t="s">
        <v>158</v>
      </c>
      <c r="G69" s="2">
        <v>-1</v>
      </c>
      <c r="H69" s="2">
        <v>-1</v>
      </c>
      <c r="I69" s="2">
        <v>-1</v>
      </c>
      <c r="J69" s="2">
        <v>0</v>
      </c>
      <c r="K69" s="2">
        <v>0</v>
      </c>
      <c r="L69" s="3">
        <v>100</v>
      </c>
      <c r="M69" s="3">
        <v>-1</v>
      </c>
      <c r="N69" s="3">
        <v>2</v>
      </c>
      <c r="O69" s="3">
        <v>100</v>
      </c>
      <c r="P69" s="3">
        <v>-1</v>
      </c>
      <c r="Q69" s="3">
        <v>-1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-1</v>
      </c>
      <c r="X69" s="2">
        <v>-1</v>
      </c>
      <c r="Y69" s="3">
        <v>0</v>
      </c>
      <c r="Z69" s="2">
        <v>50</v>
      </c>
      <c r="AA69" s="2">
        <v>50</v>
      </c>
      <c r="AB69" s="3">
        <v>0</v>
      </c>
      <c r="AC69" s="3">
        <v>49</v>
      </c>
      <c r="AD69" s="2">
        <v>-1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1</v>
      </c>
      <c r="AL69" s="3">
        <v>1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 t="str">
        <f t="shared" si="1"/>
        <v>tunup067</v>
      </c>
      <c r="AZ69" s="3">
        <v>-1</v>
      </c>
      <c r="BA69" s="3">
        <v>2</v>
      </c>
      <c r="BB69" s="2"/>
    </row>
    <row r="70" spans="1:54" x14ac:dyDescent="0.25">
      <c r="A70" s="3" t="s">
        <v>171</v>
      </c>
      <c r="B70" s="3" t="s">
        <v>172</v>
      </c>
      <c r="C70" s="3">
        <v>100</v>
      </c>
      <c r="D70" s="3" t="s">
        <v>260</v>
      </c>
      <c r="E70" s="3">
        <v>1</v>
      </c>
      <c r="F70" s="3" t="s">
        <v>158</v>
      </c>
      <c r="G70" s="2">
        <v>-1</v>
      </c>
      <c r="H70" s="2">
        <v>-1</v>
      </c>
      <c r="I70" s="2">
        <v>-1</v>
      </c>
      <c r="J70" s="2">
        <v>0</v>
      </c>
      <c r="K70" s="2">
        <v>0</v>
      </c>
      <c r="L70" s="3">
        <v>100</v>
      </c>
      <c r="M70" s="3">
        <v>-1</v>
      </c>
      <c r="N70" s="3">
        <v>2</v>
      </c>
      <c r="O70" s="3">
        <v>100</v>
      </c>
      <c r="P70" s="3">
        <v>-1</v>
      </c>
      <c r="Q70" s="3">
        <v>-1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-1</v>
      </c>
      <c r="X70" s="2">
        <v>-1</v>
      </c>
      <c r="Y70" s="3">
        <v>0</v>
      </c>
      <c r="Z70" s="2">
        <v>50</v>
      </c>
      <c r="AA70" s="2">
        <v>50</v>
      </c>
      <c r="AB70" s="3">
        <v>0</v>
      </c>
      <c r="AC70" s="3">
        <v>49</v>
      </c>
      <c r="AD70" s="2">
        <v>-1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</v>
      </c>
      <c r="AL70" s="3">
        <v>1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 t="str">
        <f t="shared" si="1"/>
        <v>tunup068</v>
      </c>
      <c r="AZ70" s="3">
        <v>-1</v>
      </c>
      <c r="BA70" s="3">
        <v>2</v>
      </c>
      <c r="BB70" s="2"/>
    </row>
    <row r="71" spans="1:54" x14ac:dyDescent="0.25">
      <c r="A71" s="3" t="s">
        <v>173</v>
      </c>
      <c r="B71" s="3" t="s">
        <v>174</v>
      </c>
      <c r="C71" s="3">
        <v>100</v>
      </c>
      <c r="D71" s="3" t="s">
        <v>260</v>
      </c>
      <c r="E71" s="3">
        <v>1</v>
      </c>
      <c r="F71" s="3" t="s">
        <v>158</v>
      </c>
      <c r="G71" s="2">
        <v>-1</v>
      </c>
      <c r="H71" s="2">
        <v>-1</v>
      </c>
      <c r="I71" s="2">
        <v>-1</v>
      </c>
      <c r="J71" s="2">
        <v>0</v>
      </c>
      <c r="K71" s="2">
        <v>0</v>
      </c>
      <c r="L71" s="3">
        <v>100</v>
      </c>
      <c r="M71" s="3">
        <v>-1</v>
      </c>
      <c r="N71" s="3">
        <v>2</v>
      </c>
      <c r="O71" s="3">
        <v>100</v>
      </c>
      <c r="P71" s="3">
        <v>-1</v>
      </c>
      <c r="Q71" s="3">
        <v>-1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-1</v>
      </c>
      <c r="X71" s="2">
        <v>-1</v>
      </c>
      <c r="Y71" s="3">
        <v>0</v>
      </c>
      <c r="Z71" s="2">
        <v>50</v>
      </c>
      <c r="AA71" s="2">
        <v>50</v>
      </c>
      <c r="AB71" s="3">
        <v>0</v>
      </c>
      <c r="AC71" s="3">
        <v>49</v>
      </c>
      <c r="AD71" s="2">
        <v>-1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</v>
      </c>
      <c r="AL71" s="3">
        <v>1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 t="str">
        <f t="shared" si="1"/>
        <v>tunup069</v>
      </c>
      <c r="AZ71" s="3">
        <v>-1</v>
      </c>
      <c r="BA71" s="3">
        <v>2</v>
      </c>
      <c r="BB71" s="2"/>
    </row>
    <row r="72" spans="1:54" x14ac:dyDescent="0.25">
      <c r="A72" s="3" t="s">
        <v>175</v>
      </c>
      <c r="B72" s="3" t="s">
        <v>176</v>
      </c>
      <c r="C72" s="3">
        <v>100</v>
      </c>
      <c r="D72" s="3" t="s">
        <v>260</v>
      </c>
      <c r="E72" s="3">
        <v>1</v>
      </c>
      <c r="F72" s="3" t="s">
        <v>158</v>
      </c>
      <c r="G72" s="2">
        <v>-1</v>
      </c>
      <c r="H72" s="2">
        <v>-1</v>
      </c>
      <c r="I72" s="2">
        <v>-1</v>
      </c>
      <c r="J72" s="2">
        <v>0</v>
      </c>
      <c r="K72" s="2">
        <v>0</v>
      </c>
      <c r="L72" s="3">
        <v>100</v>
      </c>
      <c r="M72" s="3">
        <v>-1</v>
      </c>
      <c r="N72" s="3">
        <v>2</v>
      </c>
      <c r="O72" s="3">
        <v>100</v>
      </c>
      <c r="P72" s="3">
        <v>-1</v>
      </c>
      <c r="Q72" s="3">
        <v>-1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-1</v>
      </c>
      <c r="X72" s="2">
        <v>-1</v>
      </c>
      <c r="Y72" s="3">
        <v>0</v>
      </c>
      <c r="Z72" s="2">
        <v>50</v>
      </c>
      <c r="AA72" s="2">
        <v>50</v>
      </c>
      <c r="AB72" s="3">
        <v>0</v>
      </c>
      <c r="AC72" s="3">
        <v>49</v>
      </c>
      <c r="AD72" s="2">
        <v>-1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1</v>
      </c>
      <c r="AL72" s="3">
        <v>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 t="str">
        <f t="shared" si="1"/>
        <v>tunup070</v>
      </c>
      <c r="AZ72" s="3">
        <v>-1</v>
      </c>
      <c r="BA72" s="3">
        <v>2</v>
      </c>
      <c r="BB72" s="2"/>
    </row>
    <row r="73" spans="1:54" x14ac:dyDescent="0.25">
      <c r="A73" s="3" t="s">
        <v>177</v>
      </c>
      <c r="B73" s="3" t="s">
        <v>178</v>
      </c>
      <c r="C73" s="3">
        <v>100</v>
      </c>
      <c r="D73" s="3" t="s">
        <v>260</v>
      </c>
      <c r="E73" s="3">
        <v>1</v>
      </c>
      <c r="F73" s="3" t="s">
        <v>158</v>
      </c>
      <c r="G73" s="2">
        <v>-1</v>
      </c>
      <c r="H73" s="2">
        <v>-1</v>
      </c>
      <c r="I73" s="2">
        <v>-1</v>
      </c>
      <c r="J73" s="2">
        <v>0</v>
      </c>
      <c r="K73" s="2">
        <v>0</v>
      </c>
      <c r="L73" s="3">
        <v>100</v>
      </c>
      <c r="M73" s="3">
        <v>-1</v>
      </c>
      <c r="N73" s="3">
        <v>2</v>
      </c>
      <c r="O73" s="3">
        <v>100</v>
      </c>
      <c r="P73" s="3">
        <v>-1</v>
      </c>
      <c r="Q73" s="3">
        <v>-1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-1</v>
      </c>
      <c r="X73" s="2">
        <v>-1</v>
      </c>
      <c r="Y73" s="3">
        <v>0</v>
      </c>
      <c r="Z73" s="2">
        <v>50</v>
      </c>
      <c r="AA73" s="2">
        <v>50</v>
      </c>
      <c r="AB73" s="3">
        <v>0</v>
      </c>
      <c r="AC73" s="3">
        <v>49</v>
      </c>
      <c r="AD73" s="2">
        <v>-1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</v>
      </c>
      <c r="AL73" s="3">
        <v>1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 t="str">
        <f t="shared" si="1"/>
        <v>tunup071</v>
      </c>
      <c r="AZ73" s="3">
        <v>-1</v>
      </c>
      <c r="BA73" s="3">
        <v>2</v>
      </c>
      <c r="BB73" s="2"/>
    </row>
    <row r="74" spans="1:54" x14ac:dyDescent="0.25">
      <c r="A74" s="3" t="s">
        <v>179</v>
      </c>
      <c r="B74" s="3" t="s">
        <v>180</v>
      </c>
      <c r="C74" s="3">
        <v>100</v>
      </c>
      <c r="D74" s="3" t="s">
        <v>260</v>
      </c>
      <c r="E74" s="3">
        <v>1</v>
      </c>
      <c r="F74" s="3" t="s">
        <v>158</v>
      </c>
      <c r="G74" s="2">
        <v>-1</v>
      </c>
      <c r="H74" s="2">
        <v>-1</v>
      </c>
      <c r="I74" s="2">
        <v>-1</v>
      </c>
      <c r="J74" s="2">
        <v>0</v>
      </c>
      <c r="K74" s="2">
        <v>0</v>
      </c>
      <c r="L74" s="3">
        <v>100</v>
      </c>
      <c r="M74" s="3">
        <v>-1</v>
      </c>
      <c r="N74" s="3">
        <v>2</v>
      </c>
      <c r="O74" s="3">
        <v>100</v>
      </c>
      <c r="P74" s="3">
        <v>-1</v>
      </c>
      <c r="Q74" s="3">
        <v>-1</v>
      </c>
      <c r="R74" s="2">
        <v>1</v>
      </c>
      <c r="S74" s="2">
        <v>0</v>
      </c>
      <c r="T74" s="2">
        <v>0</v>
      </c>
      <c r="U74" s="2">
        <v>0</v>
      </c>
      <c r="V74" s="2">
        <v>0</v>
      </c>
      <c r="W74" s="2">
        <v>-1</v>
      </c>
      <c r="X74" s="2">
        <v>-1</v>
      </c>
      <c r="Y74" s="3">
        <v>0</v>
      </c>
      <c r="Z74" s="2">
        <v>50</v>
      </c>
      <c r="AA74" s="2">
        <v>50</v>
      </c>
      <c r="AB74" s="3">
        <v>0</v>
      </c>
      <c r="AC74" s="3">
        <v>49</v>
      </c>
      <c r="AD74" s="2">
        <v>-1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1</v>
      </c>
      <c r="AL74" s="3">
        <v>1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 t="str">
        <f t="shared" si="1"/>
        <v>tunup072</v>
      </c>
      <c r="AZ74" s="3">
        <v>-1</v>
      </c>
      <c r="BA74" s="3">
        <v>2</v>
      </c>
      <c r="BB74" s="2"/>
    </row>
    <row r="75" spans="1:54" x14ac:dyDescent="0.25">
      <c r="A75" s="3" t="s">
        <v>181</v>
      </c>
      <c r="B75" s="3" t="s">
        <v>182</v>
      </c>
      <c r="C75" s="3">
        <v>100</v>
      </c>
      <c r="D75" s="3" t="s">
        <v>260</v>
      </c>
      <c r="E75" s="3">
        <v>1</v>
      </c>
      <c r="F75" s="3" t="s">
        <v>158</v>
      </c>
      <c r="G75" s="2">
        <v>-1</v>
      </c>
      <c r="H75" s="2">
        <v>-1</v>
      </c>
      <c r="I75" s="2">
        <v>-1</v>
      </c>
      <c r="J75" s="2">
        <v>0</v>
      </c>
      <c r="K75" s="2">
        <v>0</v>
      </c>
      <c r="L75" s="3">
        <v>100</v>
      </c>
      <c r="M75" s="3">
        <v>-1</v>
      </c>
      <c r="N75" s="3">
        <v>2</v>
      </c>
      <c r="O75" s="3">
        <v>100</v>
      </c>
      <c r="P75" s="3">
        <v>-1</v>
      </c>
      <c r="Q75" s="3">
        <v>-1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-1</v>
      </c>
      <c r="X75" s="2">
        <v>-1</v>
      </c>
      <c r="Y75" s="3">
        <v>0</v>
      </c>
      <c r="Z75" s="2">
        <v>50</v>
      </c>
      <c r="AA75" s="2">
        <v>50</v>
      </c>
      <c r="AB75" s="3">
        <v>0</v>
      </c>
      <c r="AC75" s="3">
        <v>49</v>
      </c>
      <c r="AD75" s="2">
        <v>-1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1</v>
      </c>
      <c r="AL75" s="3">
        <v>1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 t="str">
        <f t="shared" si="1"/>
        <v>tunup073</v>
      </c>
      <c r="AZ75" s="3">
        <v>-1</v>
      </c>
      <c r="BA75" s="3">
        <v>2</v>
      </c>
      <c r="BB75" s="2"/>
    </row>
    <row r="76" spans="1:54" x14ac:dyDescent="0.25">
      <c r="A76" s="3" t="s">
        <v>183</v>
      </c>
      <c r="B76" s="3" t="s">
        <v>184</v>
      </c>
      <c r="C76" s="3">
        <v>100</v>
      </c>
      <c r="D76" s="3" t="s">
        <v>260</v>
      </c>
      <c r="E76" s="3">
        <v>1</v>
      </c>
      <c r="F76" s="3" t="s">
        <v>158</v>
      </c>
      <c r="G76" s="2">
        <v>-1</v>
      </c>
      <c r="H76" s="2">
        <v>-1</v>
      </c>
      <c r="I76" s="2">
        <v>-1</v>
      </c>
      <c r="J76" s="2">
        <v>0</v>
      </c>
      <c r="K76" s="2">
        <v>0</v>
      </c>
      <c r="L76" s="3">
        <v>100</v>
      </c>
      <c r="M76" s="3">
        <v>-1</v>
      </c>
      <c r="N76" s="3">
        <v>2</v>
      </c>
      <c r="O76" s="3">
        <v>100</v>
      </c>
      <c r="P76" s="3">
        <v>-1</v>
      </c>
      <c r="Q76" s="3">
        <v>-1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-1</v>
      </c>
      <c r="X76" s="2">
        <v>-1</v>
      </c>
      <c r="Y76" s="3">
        <v>0</v>
      </c>
      <c r="Z76" s="2">
        <v>50</v>
      </c>
      <c r="AA76" s="2">
        <v>50</v>
      </c>
      <c r="AB76" s="3">
        <v>0</v>
      </c>
      <c r="AC76" s="3">
        <v>49</v>
      </c>
      <c r="AD76" s="2">
        <v>-1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1</v>
      </c>
      <c r="AL76" s="3">
        <v>1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 t="str">
        <f t="shared" si="1"/>
        <v>tunup074</v>
      </c>
      <c r="AZ76" s="3">
        <v>-1</v>
      </c>
      <c r="BA76" s="3">
        <v>2</v>
      </c>
      <c r="BB76" s="2"/>
    </row>
    <row r="77" spans="1:54" x14ac:dyDescent="0.25">
      <c r="A77" s="3" t="s">
        <v>185</v>
      </c>
      <c r="B77" s="3" t="s">
        <v>186</v>
      </c>
      <c r="C77" s="3">
        <v>100</v>
      </c>
      <c r="D77" s="3" t="s">
        <v>260</v>
      </c>
      <c r="E77" s="3">
        <v>1</v>
      </c>
      <c r="F77" s="3" t="s">
        <v>158</v>
      </c>
      <c r="G77" s="2">
        <v>-1</v>
      </c>
      <c r="H77" s="2">
        <v>-1</v>
      </c>
      <c r="I77" s="2">
        <v>-1</v>
      </c>
      <c r="J77" s="2">
        <v>0</v>
      </c>
      <c r="K77" s="2">
        <v>0</v>
      </c>
      <c r="L77" s="3">
        <v>100</v>
      </c>
      <c r="M77" s="3">
        <v>-1</v>
      </c>
      <c r="N77" s="3">
        <v>2</v>
      </c>
      <c r="O77" s="3">
        <v>100</v>
      </c>
      <c r="P77" s="3">
        <v>-1</v>
      </c>
      <c r="Q77" s="3">
        <v>-1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-1</v>
      </c>
      <c r="X77" s="2">
        <v>-1</v>
      </c>
      <c r="Y77" s="3">
        <v>0</v>
      </c>
      <c r="Z77" s="2">
        <v>50</v>
      </c>
      <c r="AA77" s="2">
        <v>50</v>
      </c>
      <c r="AB77" s="3">
        <v>0</v>
      </c>
      <c r="AC77" s="3">
        <v>49</v>
      </c>
      <c r="AD77" s="2">
        <v>-1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1</v>
      </c>
      <c r="AL77" s="3">
        <v>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 t="str">
        <f t="shared" si="1"/>
        <v>tunup075</v>
      </c>
      <c r="AZ77" s="3">
        <v>-1</v>
      </c>
      <c r="BA77" s="3">
        <v>2</v>
      </c>
      <c r="BB77" s="2"/>
    </row>
    <row r="78" spans="1:54" x14ac:dyDescent="0.25">
      <c r="A78" s="3" t="s">
        <v>187</v>
      </c>
      <c r="B78" s="3" t="s">
        <v>188</v>
      </c>
      <c r="C78" s="3">
        <v>100</v>
      </c>
      <c r="D78" s="3" t="s">
        <v>260</v>
      </c>
      <c r="E78" s="3">
        <v>1</v>
      </c>
      <c r="F78" s="3" t="s">
        <v>158</v>
      </c>
      <c r="G78" s="2">
        <v>-1</v>
      </c>
      <c r="H78" s="2">
        <v>-1</v>
      </c>
      <c r="I78" s="2">
        <v>-1</v>
      </c>
      <c r="J78" s="2">
        <v>0</v>
      </c>
      <c r="K78" s="2">
        <v>0</v>
      </c>
      <c r="L78" s="3">
        <v>100</v>
      </c>
      <c r="M78" s="3">
        <v>-1</v>
      </c>
      <c r="N78" s="3">
        <v>2</v>
      </c>
      <c r="O78" s="3">
        <v>100</v>
      </c>
      <c r="P78" s="3">
        <v>-1</v>
      </c>
      <c r="Q78" s="3">
        <v>-1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-1</v>
      </c>
      <c r="X78" s="2">
        <v>-1</v>
      </c>
      <c r="Y78" s="3">
        <v>0</v>
      </c>
      <c r="Z78" s="2">
        <v>50</v>
      </c>
      <c r="AA78" s="2">
        <v>50</v>
      </c>
      <c r="AB78" s="3">
        <v>0</v>
      </c>
      <c r="AC78" s="3">
        <v>49</v>
      </c>
      <c r="AD78" s="2">
        <v>-1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1</v>
      </c>
      <c r="AL78" s="3">
        <v>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 t="str">
        <f t="shared" si="1"/>
        <v>tunup076</v>
      </c>
      <c r="AZ78" s="3">
        <v>-1</v>
      </c>
      <c r="BA78" s="3">
        <v>2</v>
      </c>
      <c r="BB78" s="2"/>
    </row>
    <row r="79" spans="1:54" x14ac:dyDescent="0.25">
      <c r="A79" s="3" t="s">
        <v>189</v>
      </c>
      <c r="B79" s="3" t="s">
        <v>190</v>
      </c>
      <c r="C79" s="3">
        <v>100</v>
      </c>
      <c r="D79" s="3" t="s">
        <v>260</v>
      </c>
      <c r="E79" s="3">
        <v>1</v>
      </c>
      <c r="F79" s="3" t="s">
        <v>158</v>
      </c>
      <c r="G79" s="2">
        <v>-1</v>
      </c>
      <c r="H79" s="2">
        <v>-1</v>
      </c>
      <c r="I79" s="2">
        <v>-1</v>
      </c>
      <c r="J79" s="2">
        <v>0</v>
      </c>
      <c r="K79" s="2">
        <v>0</v>
      </c>
      <c r="L79" s="3">
        <v>100</v>
      </c>
      <c r="M79" s="3">
        <v>-1</v>
      </c>
      <c r="N79" s="3">
        <v>2</v>
      </c>
      <c r="O79" s="3">
        <v>100</v>
      </c>
      <c r="P79" s="3">
        <v>-1</v>
      </c>
      <c r="Q79" s="3">
        <v>-1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-1</v>
      </c>
      <c r="X79" s="2">
        <v>-1</v>
      </c>
      <c r="Y79" s="3">
        <v>0</v>
      </c>
      <c r="Z79" s="2">
        <v>50</v>
      </c>
      <c r="AA79" s="2">
        <v>50</v>
      </c>
      <c r="AB79" s="3">
        <v>0</v>
      </c>
      <c r="AC79" s="3">
        <v>49</v>
      </c>
      <c r="AD79" s="2">
        <v>-1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1</v>
      </c>
      <c r="AL79" s="3">
        <v>1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 t="str">
        <f t="shared" si="1"/>
        <v>tunup077</v>
      </c>
      <c r="AZ79" s="3">
        <v>-1</v>
      </c>
      <c r="BA79" s="3">
        <v>2</v>
      </c>
      <c r="BB79" s="2"/>
    </row>
    <row r="80" spans="1:54" x14ac:dyDescent="0.25">
      <c r="A80" s="3" t="s">
        <v>191</v>
      </c>
      <c r="B80" s="3" t="s">
        <v>192</v>
      </c>
      <c r="C80" s="3">
        <v>100</v>
      </c>
      <c r="D80" s="3" t="s">
        <v>260</v>
      </c>
      <c r="E80" s="3">
        <v>1</v>
      </c>
      <c r="F80" s="3" t="s">
        <v>158</v>
      </c>
      <c r="G80" s="2">
        <v>-1</v>
      </c>
      <c r="H80" s="2">
        <v>-1</v>
      </c>
      <c r="I80" s="2">
        <v>-1</v>
      </c>
      <c r="J80" s="2">
        <v>0</v>
      </c>
      <c r="K80" s="2">
        <v>0</v>
      </c>
      <c r="L80" s="3">
        <v>100</v>
      </c>
      <c r="M80" s="3">
        <v>-1</v>
      </c>
      <c r="N80" s="3">
        <v>2</v>
      </c>
      <c r="O80" s="3">
        <v>100</v>
      </c>
      <c r="P80" s="3">
        <v>-1</v>
      </c>
      <c r="Q80" s="3">
        <v>-1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-1</v>
      </c>
      <c r="X80" s="2">
        <v>-1</v>
      </c>
      <c r="Y80" s="3">
        <v>0</v>
      </c>
      <c r="Z80" s="2">
        <v>50</v>
      </c>
      <c r="AA80" s="2">
        <v>50</v>
      </c>
      <c r="AB80" s="3">
        <v>0</v>
      </c>
      <c r="AC80" s="3">
        <v>49</v>
      </c>
      <c r="AD80" s="2">
        <v>-1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1</v>
      </c>
      <c r="AL80" s="3">
        <v>1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 t="str">
        <f t="shared" si="1"/>
        <v>tunup078</v>
      </c>
      <c r="AZ80" s="3">
        <v>-1</v>
      </c>
      <c r="BA80" s="3">
        <v>2</v>
      </c>
      <c r="BB80" s="2"/>
    </row>
    <row r="81" spans="1:54" x14ac:dyDescent="0.25">
      <c r="A81" s="3" t="s">
        <v>193</v>
      </c>
      <c r="B81" s="3" t="s">
        <v>194</v>
      </c>
      <c r="C81" s="3">
        <v>100</v>
      </c>
      <c r="D81" s="3" t="s">
        <v>260</v>
      </c>
      <c r="E81" s="3">
        <v>1</v>
      </c>
      <c r="F81" s="3" t="s">
        <v>158</v>
      </c>
      <c r="G81" s="2">
        <v>-1</v>
      </c>
      <c r="H81" s="2">
        <v>-1</v>
      </c>
      <c r="I81" s="2">
        <v>-1</v>
      </c>
      <c r="J81" s="2">
        <v>0</v>
      </c>
      <c r="K81" s="2">
        <v>0</v>
      </c>
      <c r="L81" s="3">
        <v>100</v>
      </c>
      <c r="M81" s="3">
        <v>-1</v>
      </c>
      <c r="N81" s="3">
        <v>2</v>
      </c>
      <c r="O81" s="3">
        <v>100</v>
      </c>
      <c r="P81" s="3">
        <v>-1</v>
      </c>
      <c r="Q81" s="3">
        <v>-1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-1</v>
      </c>
      <c r="X81" s="2">
        <v>-1</v>
      </c>
      <c r="Y81" s="3">
        <v>0</v>
      </c>
      <c r="Z81" s="2">
        <v>50</v>
      </c>
      <c r="AA81" s="2">
        <v>50</v>
      </c>
      <c r="AB81" s="3">
        <v>0</v>
      </c>
      <c r="AC81" s="3">
        <v>49</v>
      </c>
      <c r="AD81" s="2">
        <v>-1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1</v>
      </c>
      <c r="AL81" s="3">
        <v>1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 t="str">
        <f t="shared" si="1"/>
        <v>tunup079</v>
      </c>
      <c r="AZ81" s="3">
        <v>-1</v>
      </c>
      <c r="BA81" s="3">
        <v>2</v>
      </c>
      <c r="BB81" s="2"/>
    </row>
    <row r="82" spans="1:54" x14ac:dyDescent="0.25">
      <c r="A82" s="3" t="s">
        <v>195</v>
      </c>
      <c r="B82" s="3" t="s">
        <v>196</v>
      </c>
      <c r="C82" s="3">
        <v>100</v>
      </c>
      <c r="D82" s="3" t="s">
        <v>260</v>
      </c>
      <c r="E82" s="3">
        <v>1</v>
      </c>
      <c r="F82" s="3" t="s">
        <v>158</v>
      </c>
      <c r="G82" s="2">
        <v>-1</v>
      </c>
      <c r="H82" s="2">
        <v>-1</v>
      </c>
      <c r="I82" s="2">
        <v>-1</v>
      </c>
      <c r="J82" s="2">
        <v>0</v>
      </c>
      <c r="K82" s="2">
        <v>0</v>
      </c>
      <c r="L82" s="3">
        <v>100</v>
      </c>
      <c r="M82" s="3">
        <v>-1</v>
      </c>
      <c r="N82" s="3">
        <v>2</v>
      </c>
      <c r="O82" s="3">
        <v>100</v>
      </c>
      <c r="P82" s="3">
        <v>-1</v>
      </c>
      <c r="Q82" s="3">
        <v>-1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-1</v>
      </c>
      <c r="X82" s="2">
        <v>-1</v>
      </c>
      <c r="Y82" s="3">
        <v>0</v>
      </c>
      <c r="Z82" s="2">
        <v>50</v>
      </c>
      <c r="AA82" s="2">
        <v>50</v>
      </c>
      <c r="AB82" s="3">
        <v>0</v>
      </c>
      <c r="AC82" s="3">
        <v>49</v>
      </c>
      <c r="AD82" s="2">
        <v>-1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1</v>
      </c>
      <c r="AL82" s="3">
        <v>1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 t="str">
        <f t="shared" si="1"/>
        <v>tunup080</v>
      </c>
      <c r="AZ82" s="3">
        <v>-1</v>
      </c>
      <c r="BA82" s="3">
        <v>2</v>
      </c>
      <c r="BB82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5703125" bestFit="1" customWidth="1"/>
    <col min="2" max="2" width="38.85546875" bestFit="1" customWidth="1"/>
    <col min="3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9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7.140625" bestFit="1" customWidth="1"/>
    <col min="25" max="25" width="9.7109375" bestFit="1" customWidth="1"/>
    <col min="26" max="27" width="5.5703125" bestFit="1" customWidth="1"/>
    <col min="28" max="28" width="6.7109375" bestFit="1" customWidth="1"/>
    <col min="29" max="29" width="5.5703125" bestFit="1" customWidth="1"/>
    <col min="30" max="30" width="6.42578125" bestFit="1" customWidth="1"/>
    <col min="31" max="31" width="5.5703125" bestFit="1" customWidth="1"/>
    <col min="32" max="32" width="5.7109375" bestFit="1" customWidth="1"/>
    <col min="33" max="33" width="10.85546875" bestFit="1" customWidth="1"/>
    <col min="34" max="34" width="11.28515625" bestFit="1" customWidth="1"/>
    <col min="35" max="35" width="5.5703125" bestFit="1" customWidth="1"/>
    <col min="36" max="40" width="6.7109375" bestFit="1" customWidth="1"/>
    <col min="41" max="41" width="6" bestFit="1" customWidth="1"/>
    <col min="42" max="43" width="9.5703125" bestFit="1" customWidth="1"/>
    <col min="44" max="45" width="10.85546875" bestFit="1" customWidth="1"/>
    <col min="46" max="47" width="5.5703125" bestFit="1" customWidth="1"/>
    <col min="48" max="48" width="8.85546875" bestFit="1" customWidth="1"/>
    <col min="49" max="49" width="10.42578125" bestFit="1" customWidth="1"/>
    <col min="50" max="50" width="10.85546875" bestFit="1" customWidth="1"/>
    <col min="51" max="51" width="6.7109375" bestFit="1" customWidth="1"/>
    <col min="52" max="52" width="4.7109375" bestFit="1" customWidth="1"/>
  </cols>
  <sheetData>
    <row r="1" spans="1:52" x14ac:dyDescent="0.25">
      <c r="A1" t="s">
        <v>197</v>
      </c>
      <c r="B1" t="s">
        <v>0</v>
      </c>
      <c r="C1" t="s">
        <v>198</v>
      </c>
      <c r="D1" t="s">
        <v>1</v>
      </c>
      <c r="E1" t="s">
        <v>199</v>
      </c>
      <c r="F1" t="s">
        <v>200</v>
      </c>
      <c r="G1" t="s">
        <v>200</v>
      </c>
      <c r="H1" t="s">
        <v>201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200</v>
      </c>
      <c r="Y1" t="s">
        <v>199</v>
      </c>
      <c r="Z1" t="s">
        <v>200</v>
      </c>
      <c r="AA1" t="s">
        <v>201</v>
      </c>
      <c r="AB1" t="s">
        <v>1</v>
      </c>
      <c r="AC1" t="s">
        <v>201</v>
      </c>
      <c r="AD1" t="s">
        <v>201</v>
      </c>
      <c r="AE1" t="s">
        <v>201</v>
      </c>
      <c r="AF1" t="s">
        <v>201</v>
      </c>
      <c r="AG1" t="s">
        <v>200</v>
      </c>
      <c r="AH1" t="s">
        <v>200</v>
      </c>
      <c r="AI1" t="s">
        <v>201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200</v>
      </c>
      <c r="AP1" t="s">
        <v>200</v>
      </c>
      <c r="AQ1" t="s">
        <v>200</v>
      </c>
      <c r="AR1" t="s">
        <v>200</v>
      </c>
      <c r="AS1" t="s">
        <v>200</v>
      </c>
      <c r="AT1" t="s">
        <v>200</v>
      </c>
      <c r="AU1" t="s">
        <v>201</v>
      </c>
      <c r="AV1" t="s">
        <v>1</v>
      </c>
      <c r="AW1" t="s">
        <v>1</v>
      </c>
      <c r="AX1" t="s">
        <v>1</v>
      </c>
      <c r="AY1" t="s">
        <v>1</v>
      </c>
      <c r="AZ1" t="s">
        <v>3</v>
      </c>
    </row>
    <row r="2" spans="1:52" x14ac:dyDescent="0.25">
      <c r="A2" t="str">
        <f>UnitUpper!A2</f>
        <v>Code</v>
      </c>
      <c r="B2" t="str">
        <f>UnitUpper!D2</f>
        <v>Name</v>
      </c>
      <c r="C2" s="1" t="str">
        <f>UnitUpper!B2</f>
        <v>Model</v>
      </c>
      <c r="D2" t="str">
        <f>UnitUpper!C2</f>
        <v>Icon</v>
      </c>
      <c r="E2" t="s">
        <v>203</v>
      </c>
      <c r="F2" t="s">
        <v>204</v>
      </c>
      <c r="G2" t="str">
        <f>UnitUpper!AI2</f>
        <v>Money</v>
      </c>
      <c r="H2" t="s">
        <v>205</v>
      </c>
      <c r="I2" t="str">
        <f>UnitUpper!AJ2</f>
        <v>StdPrice</v>
      </c>
      <c r="J2" t="str">
        <f>UnitUpper!AK2</f>
        <v>StdPoint</v>
      </c>
      <c r="K2" t="s">
        <v>206</v>
      </c>
      <c r="L2" t="s">
        <v>207</v>
      </c>
      <c r="M2" t="s">
        <v>208</v>
      </c>
      <c r="N2" t="s">
        <v>209</v>
      </c>
      <c r="O2" t="s">
        <v>210</v>
      </c>
      <c r="P2" t="s">
        <v>211</v>
      </c>
      <c r="Q2" t="s">
        <v>212</v>
      </c>
      <c r="R2" t="s">
        <v>213</v>
      </c>
      <c r="S2" t="s">
        <v>214</v>
      </c>
      <c r="T2" t="s">
        <v>215</v>
      </c>
      <c r="U2" t="s">
        <v>216</v>
      </c>
      <c r="V2" t="s">
        <v>217</v>
      </c>
      <c r="W2" t="str">
        <f>UnitUpper!M2</f>
        <v>UpLvLim</v>
      </c>
      <c r="X2" t="str">
        <f>UnitUpper!E2</f>
        <v>FixPart</v>
      </c>
      <c r="Y2" s="1" t="str">
        <f>UnitUpper!F2</f>
        <v>DefFrame</v>
      </c>
      <c r="Z2" t="s">
        <v>205</v>
      </c>
      <c r="AA2" t="s">
        <v>205</v>
      </c>
      <c r="AB2" t="str">
        <f>UnitUpper!AB2</f>
        <v>DefFc</v>
      </c>
      <c r="AC2" t="str">
        <f>UnitUpper!AE2</f>
        <v>Fire</v>
      </c>
      <c r="AD2" t="str">
        <f>UnitUpper!AF2</f>
        <v>Water</v>
      </c>
      <c r="AE2" t="str">
        <f>UnitUpper!AG2</f>
        <v>Soil</v>
      </c>
      <c r="AF2" t="str">
        <f>UnitUpper!AH2</f>
        <v>Wind</v>
      </c>
      <c r="AG2" t="str">
        <f>UnitUpper!Y2</f>
        <v>AttMastery</v>
      </c>
      <c r="AH2" t="str">
        <f>UnitUpper!AC2</f>
        <v>DefMastery</v>
      </c>
      <c r="AI2" t="s">
        <v>205</v>
      </c>
      <c r="AJ2" t="s">
        <v>218</v>
      </c>
      <c r="AK2" t="s">
        <v>218</v>
      </c>
      <c r="AL2" t="s">
        <v>218</v>
      </c>
      <c r="AM2" t="s">
        <v>218</v>
      </c>
      <c r="AN2" t="s">
        <v>218</v>
      </c>
      <c r="AO2" t="str">
        <f>UnitUpper!L2</f>
        <v>LvLim</v>
      </c>
      <c r="AP2" t="str">
        <f>UnitUpper!N2</f>
        <v>ExpertID1</v>
      </c>
      <c r="AQ2" t="str">
        <f>UnitUpper!P2</f>
        <v>ExpertID2</v>
      </c>
      <c r="AR2" t="str">
        <f>UnitUpper!O2</f>
        <v>ExpertLim1</v>
      </c>
      <c r="AS2" t="str">
        <f>UnitUpper!Q2</f>
        <v>ExpertLim2</v>
      </c>
      <c r="AT2" t="s">
        <v>205</v>
      </c>
      <c r="AU2" t="s">
        <v>205</v>
      </c>
      <c r="AV2" t="str">
        <f>UnitUpper!AL2</f>
        <v>RepPrice</v>
      </c>
      <c r="AW2" t="str">
        <f>UnitUpper!AZ2</f>
        <v>AttEffType</v>
      </c>
      <c r="AX2" t="str">
        <f>UnitUpper!BA2</f>
        <v>DefEffType</v>
      </c>
      <c r="AY2" t="s">
        <v>218</v>
      </c>
    </row>
    <row r="3" spans="1:52" x14ac:dyDescent="0.25">
      <c r="A3" t="str">
        <f>UnitUpper!A3</f>
        <v>unup001</v>
      </c>
      <c r="B3" t="str">
        <f>UnitUpper!D3</f>
        <v>Pressed Armor</v>
      </c>
      <c r="C3" s="1" t="str">
        <f>UnitUpper!B3</f>
        <v>00200</v>
      </c>
      <c r="D3">
        <f>UnitUpper!C3</f>
        <v>1</v>
      </c>
      <c r="E3" s="4" t="s">
        <v>252</v>
      </c>
      <c r="F3" s="4">
        <v>38</v>
      </c>
      <c r="G3">
        <f>UnitUpper!AI3</f>
        <v>0</v>
      </c>
      <c r="H3" s="4">
        <v>0</v>
      </c>
      <c r="I3">
        <f>UnitUpper!AJ3</f>
        <v>100000</v>
      </c>
      <c r="J3">
        <f>UnitUpper!AK3</f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>
        <f>UnitUpper!M3</f>
        <v>-1</v>
      </c>
      <c r="X3">
        <f>UnitUpper!E3</f>
        <v>1</v>
      </c>
      <c r="Y3" s="1" t="str">
        <f>UnitUpper!F3</f>
        <v>10000000</v>
      </c>
      <c r="Z3" s="4">
        <v>0</v>
      </c>
      <c r="AA3" s="4">
        <v>0</v>
      </c>
      <c r="AB3">
        <f>UnitUpper!AB3</f>
        <v>607</v>
      </c>
      <c r="AC3">
        <f>UnitUpper!AE3</f>
        <v>5</v>
      </c>
      <c r="AD3">
        <f>UnitUpper!AF3</f>
        <v>5</v>
      </c>
      <c r="AE3">
        <f>UnitUpper!AG3</f>
        <v>5</v>
      </c>
      <c r="AF3">
        <f>UnitUpper!AH3</f>
        <v>5</v>
      </c>
      <c r="AG3">
        <f>UnitUpper!Y3</f>
        <v>0</v>
      </c>
      <c r="AH3">
        <f>UnitUpper!AC3</f>
        <v>49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>
        <f>UnitUpper!L3</f>
        <v>30</v>
      </c>
      <c r="AP3">
        <f>UnitUpper!N3</f>
        <v>2</v>
      </c>
      <c r="AQ3">
        <f>UnitUpper!P3</f>
        <v>-1</v>
      </c>
      <c r="AR3">
        <f>UnitUpper!O3</f>
        <v>1</v>
      </c>
      <c r="AS3">
        <f>UnitUpper!Q3</f>
        <v>-1</v>
      </c>
      <c r="AT3" s="4">
        <v>0</v>
      </c>
      <c r="AU3" s="4">
        <v>0</v>
      </c>
      <c r="AV3">
        <f>UnitUpper!AL3</f>
        <v>1</v>
      </c>
      <c r="AW3">
        <f>UnitUpper!AZ3</f>
        <v>-1</v>
      </c>
      <c r="AX3">
        <f>UnitUpper!BA3</f>
        <v>2</v>
      </c>
      <c r="AY3" s="4">
        <v>0</v>
      </c>
    </row>
    <row r="4" spans="1:52" x14ac:dyDescent="0.25">
      <c r="A4" t="str">
        <f>UnitUpper!A4</f>
        <v>unup002</v>
      </c>
      <c r="B4" t="str">
        <f>UnitUpper!D4</f>
        <v>Advanced Mirage Core</v>
      </c>
      <c r="C4" s="1" t="str">
        <f>UnitUpper!B4</f>
        <v>0022E</v>
      </c>
      <c r="D4">
        <f>UnitUpper!C4</f>
        <v>16</v>
      </c>
      <c r="E4" s="4" t="s">
        <v>252</v>
      </c>
      <c r="F4" s="4">
        <v>38</v>
      </c>
      <c r="G4">
        <f>UnitUpper!AI4</f>
        <v>0</v>
      </c>
      <c r="H4" s="4">
        <v>0</v>
      </c>
      <c r="I4">
        <f>UnitUpper!AJ4</f>
        <v>45360000</v>
      </c>
      <c r="J4">
        <f>UnitUpper!AK4</f>
        <v>3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19</v>
      </c>
      <c r="T4" s="4">
        <v>0</v>
      </c>
      <c r="U4" s="4">
        <v>0</v>
      </c>
      <c r="V4" s="4">
        <v>0</v>
      </c>
      <c r="W4">
        <f>UnitUpper!M4</f>
        <v>-1</v>
      </c>
      <c r="X4">
        <f>UnitUpper!E4</f>
        <v>1</v>
      </c>
      <c r="Y4" s="1" t="str">
        <f>UnitUpper!F4</f>
        <v>10000000</v>
      </c>
      <c r="Z4" s="4">
        <v>0</v>
      </c>
      <c r="AA4" s="4">
        <v>0</v>
      </c>
      <c r="AB4">
        <f>UnitUpper!AB4</f>
        <v>27648</v>
      </c>
      <c r="AC4">
        <f>UnitUpper!AE4</f>
        <v>38</v>
      </c>
      <c r="AD4">
        <f>UnitUpper!AF4</f>
        <v>38</v>
      </c>
      <c r="AE4">
        <f>UnitUpper!AG4</f>
        <v>38</v>
      </c>
      <c r="AF4">
        <f>UnitUpper!AH4</f>
        <v>38</v>
      </c>
      <c r="AG4">
        <f>UnitUpper!Y4</f>
        <v>0</v>
      </c>
      <c r="AH4">
        <f>UnitUpper!AC4</f>
        <v>49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>
        <f>UnitUpper!L4</f>
        <v>67</v>
      </c>
      <c r="AP4">
        <f>UnitUpper!N4</f>
        <v>2</v>
      </c>
      <c r="AQ4">
        <f>UnitUpper!P4</f>
        <v>-1</v>
      </c>
      <c r="AR4">
        <f>UnitUpper!O4</f>
        <v>99</v>
      </c>
      <c r="AS4">
        <f>UnitUpper!Q4</f>
        <v>-1</v>
      </c>
      <c r="AT4" s="4">
        <v>0</v>
      </c>
      <c r="AU4" s="4">
        <v>0</v>
      </c>
      <c r="AV4">
        <f>UnitUpper!AL4</f>
        <v>9</v>
      </c>
      <c r="AW4">
        <f>UnitUpper!AZ4</f>
        <v>-1</v>
      </c>
      <c r="AX4">
        <f>UnitUpper!BA4</f>
        <v>2</v>
      </c>
      <c r="AY4" s="4">
        <v>0</v>
      </c>
    </row>
    <row r="5" spans="1:52" x14ac:dyDescent="0.25">
      <c r="A5" t="str">
        <f>UnitUpper!A5</f>
        <v>unup003</v>
      </c>
      <c r="B5" t="str">
        <f>UnitUpper!D5</f>
        <v>Beelzebub Goliath Core</v>
      </c>
      <c r="C5" s="1" t="str">
        <f>UnitUpper!B5</f>
        <v>00230</v>
      </c>
      <c r="D5">
        <f>UnitUpper!C5</f>
        <v>17</v>
      </c>
      <c r="E5" s="4" t="s">
        <v>252</v>
      </c>
      <c r="F5" s="4">
        <v>38</v>
      </c>
      <c r="G5">
        <f>UnitUpper!AI5</f>
        <v>0</v>
      </c>
      <c r="H5" s="4">
        <v>0</v>
      </c>
      <c r="I5">
        <f>UnitUpper!AJ5</f>
        <v>75000000</v>
      </c>
      <c r="J5">
        <f>UnitUpper!AK5</f>
        <v>3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2</v>
      </c>
      <c r="T5" s="4">
        <v>0</v>
      </c>
      <c r="U5" s="4">
        <v>0</v>
      </c>
      <c r="V5" s="4">
        <v>0</v>
      </c>
      <c r="W5">
        <f>UnitUpper!M5</f>
        <v>-1</v>
      </c>
      <c r="X5">
        <f>UnitUpper!E5</f>
        <v>1</v>
      </c>
      <c r="Y5" s="1" t="str">
        <f>UnitUpper!F5</f>
        <v>10000000</v>
      </c>
      <c r="Z5" s="4">
        <v>0</v>
      </c>
      <c r="AA5" s="4">
        <v>0</v>
      </c>
      <c r="AB5">
        <f>UnitUpper!AB5</f>
        <v>33000</v>
      </c>
      <c r="AC5">
        <f>UnitUpper!AE5</f>
        <v>40</v>
      </c>
      <c r="AD5">
        <f>UnitUpper!AF5</f>
        <v>40</v>
      </c>
      <c r="AE5">
        <f>UnitUpper!AG5</f>
        <v>40</v>
      </c>
      <c r="AF5">
        <f>UnitUpper!AH5</f>
        <v>40</v>
      </c>
      <c r="AG5">
        <f>UnitUpper!Y5</f>
        <v>0</v>
      </c>
      <c r="AH5">
        <f>UnitUpper!AC5</f>
        <v>60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>
        <f>UnitUpper!L5</f>
        <v>72</v>
      </c>
      <c r="AP5">
        <f>UnitUpper!N5</f>
        <v>2</v>
      </c>
      <c r="AQ5">
        <f>UnitUpper!P5</f>
        <v>-1</v>
      </c>
      <c r="AR5">
        <f>UnitUpper!O5</f>
        <v>99</v>
      </c>
      <c r="AS5">
        <f>UnitUpper!Q5</f>
        <v>-1</v>
      </c>
      <c r="AT5" s="4">
        <v>0</v>
      </c>
      <c r="AU5" s="4">
        <v>0</v>
      </c>
      <c r="AV5">
        <f>UnitUpper!AL5</f>
        <v>10</v>
      </c>
      <c r="AW5">
        <f>UnitUpper!AZ5</f>
        <v>-1</v>
      </c>
      <c r="AX5">
        <f>UnitUpper!BA5</f>
        <v>2</v>
      </c>
      <c r="AY5" s="4">
        <v>0</v>
      </c>
    </row>
    <row r="6" spans="1:52" x14ac:dyDescent="0.25">
      <c r="A6" t="str">
        <f>UnitUpper!A6</f>
        <v>unup004</v>
      </c>
      <c r="B6" t="str">
        <f>UnitUpper!D6</f>
        <v>Advance Pressed Armor</v>
      </c>
      <c r="C6" s="1" t="str">
        <f>UnitUpper!B6</f>
        <v>00200</v>
      </c>
      <c r="D6">
        <f>UnitUpper!C6</f>
        <v>100</v>
      </c>
      <c r="E6" s="4" t="s">
        <v>252</v>
      </c>
      <c r="F6" s="4">
        <v>38</v>
      </c>
      <c r="G6">
        <f>UnitUpper!AI6</f>
        <v>0</v>
      </c>
      <c r="H6" s="4">
        <v>0</v>
      </c>
      <c r="I6">
        <f>UnitUpper!AJ6</f>
        <v>7100000</v>
      </c>
      <c r="J6">
        <f>UnitUpper!AK6</f>
        <v>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3</v>
      </c>
      <c r="T6" s="4">
        <v>0</v>
      </c>
      <c r="U6" s="4">
        <v>0</v>
      </c>
      <c r="V6" s="4">
        <v>0</v>
      </c>
      <c r="W6">
        <f>UnitUpper!M6</f>
        <v>-1</v>
      </c>
      <c r="X6">
        <f>UnitUpper!E6</f>
        <v>1</v>
      </c>
      <c r="Y6" s="1" t="str">
        <f>UnitUpper!F6</f>
        <v>10000000</v>
      </c>
      <c r="Z6" s="4">
        <v>0</v>
      </c>
      <c r="AA6" s="4">
        <v>0</v>
      </c>
      <c r="AB6">
        <f>UnitUpper!AB6</f>
        <v>843</v>
      </c>
      <c r="AC6">
        <f>UnitUpper!AE6</f>
        <v>75</v>
      </c>
      <c r="AD6">
        <f>UnitUpper!AF6</f>
        <v>75</v>
      </c>
      <c r="AE6">
        <f>UnitUpper!AG6</f>
        <v>75</v>
      </c>
      <c r="AF6">
        <f>UnitUpper!AH6</f>
        <v>75</v>
      </c>
      <c r="AG6">
        <f>UnitUpper!Y6</f>
        <v>0</v>
      </c>
      <c r="AH6">
        <f>UnitUpper!AC6</f>
        <v>49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>
        <f>UnitUpper!L6</f>
        <v>100</v>
      </c>
      <c r="AP6">
        <f>UnitUpper!N6</f>
        <v>2</v>
      </c>
      <c r="AQ6">
        <f>UnitUpper!P6</f>
        <v>-1</v>
      </c>
      <c r="AR6">
        <f>UnitUpper!O6</f>
        <v>100</v>
      </c>
      <c r="AS6">
        <f>UnitUpper!Q6</f>
        <v>-1</v>
      </c>
      <c r="AT6" s="4">
        <v>0</v>
      </c>
      <c r="AU6" s="4">
        <v>0</v>
      </c>
      <c r="AV6">
        <f>UnitUpper!AL6</f>
        <v>1</v>
      </c>
      <c r="AW6">
        <f>UnitUpper!AZ6</f>
        <v>-1</v>
      </c>
      <c r="AX6">
        <f>UnitUpper!BA6</f>
        <v>2</v>
      </c>
      <c r="AY6" s="4">
        <v>0</v>
      </c>
    </row>
    <row r="7" spans="1:52" x14ac:dyDescent="0.25">
      <c r="A7" t="str">
        <f>UnitUpper!A7</f>
        <v>unup005</v>
      </c>
      <c r="B7" t="str">
        <f>UnitUpper!D7</f>
        <v>F.Coating Protect</v>
      </c>
      <c r="C7" s="1" t="str">
        <f>UnitUpper!B7</f>
        <v>00200</v>
      </c>
      <c r="D7">
        <f>UnitUpper!C7</f>
        <v>100</v>
      </c>
      <c r="E7" s="4" t="s">
        <v>252</v>
      </c>
      <c r="F7" s="4">
        <v>38</v>
      </c>
      <c r="G7">
        <f>UnitUpper!AI7</f>
        <v>0</v>
      </c>
      <c r="H7" s="4">
        <v>0</v>
      </c>
      <c r="I7">
        <f>UnitUpper!AJ7</f>
        <v>7100000</v>
      </c>
      <c r="J7">
        <f>UnitUpper!AK7</f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4</v>
      </c>
      <c r="T7" s="4">
        <v>0</v>
      </c>
      <c r="U7" s="4">
        <v>0</v>
      </c>
      <c r="V7" s="4">
        <v>0</v>
      </c>
      <c r="W7">
        <f>UnitUpper!M7</f>
        <v>-1</v>
      </c>
      <c r="X7">
        <f>UnitUpper!E7</f>
        <v>1</v>
      </c>
      <c r="Y7" s="1" t="str">
        <f>UnitUpper!F7</f>
        <v>10000000</v>
      </c>
      <c r="Z7" s="4">
        <v>0</v>
      </c>
      <c r="AA7" s="4">
        <v>0</v>
      </c>
      <c r="AB7">
        <f>UnitUpper!AB7</f>
        <v>843</v>
      </c>
      <c r="AC7">
        <f>UnitUpper!AE7</f>
        <v>75</v>
      </c>
      <c r="AD7">
        <f>UnitUpper!AF7</f>
        <v>75</v>
      </c>
      <c r="AE7">
        <f>UnitUpper!AG7</f>
        <v>75</v>
      </c>
      <c r="AF7">
        <f>UnitUpper!AH7</f>
        <v>75</v>
      </c>
      <c r="AG7">
        <f>UnitUpper!Y7</f>
        <v>0</v>
      </c>
      <c r="AH7">
        <f>UnitUpper!AC7</f>
        <v>49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>
        <f>UnitUpper!L7</f>
        <v>100</v>
      </c>
      <c r="AP7">
        <f>UnitUpper!N7</f>
        <v>2</v>
      </c>
      <c r="AQ7">
        <f>UnitUpper!P7</f>
        <v>-1</v>
      </c>
      <c r="AR7">
        <f>UnitUpper!O7</f>
        <v>100</v>
      </c>
      <c r="AS7">
        <f>UnitUpper!Q7</f>
        <v>-1</v>
      </c>
      <c r="AT7" s="4">
        <v>0</v>
      </c>
      <c r="AU7" s="4">
        <v>0</v>
      </c>
      <c r="AV7">
        <f>UnitUpper!AL7</f>
        <v>1</v>
      </c>
      <c r="AW7">
        <f>UnitUpper!AZ7</f>
        <v>-1</v>
      </c>
      <c r="AX7">
        <f>UnitUpper!BA7</f>
        <v>2</v>
      </c>
      <c r="AY7" s="4">
        <v>0</v>
      </c>
    </row>
    <row r="8" spans="1:52" x14ac:dyDescent="0.25">
      <c r="A8" t="str">
        <f>UnitUpper!A8</f>
        <v>unup006</v>
      </c>
      <c r="B8" t="str">
        <f>UnitUpper!D8</f>
        <v>Annex Hard Armor</v>
      </c>
      <c r="C8" s="1" t="str">
        <f>UnitUpper!B8</f>
        <v>00200</v>
      </c>
      <c r="D8">
        <f>UnitUpper!C8</f>
        <v>1</v>
      </c>
      <c r="E8" s="4" t="s">
        <v>252</v>
      </c>
      <c r="F8" s="4">
        <v>38</v>
      </c>
      <c r="G8">
        <f>UnitUpper!AI8</f>
        <v>0</v>
      </c>
      <c r="H8" s="4">
        <v>0</v>
      </c>
      <c r="I8">
        <f>UnitUpper!AJ8</f>
        <v>900000</v>
      </c>
      <c r="J8">
        <f>UnitUpper!AK8</f>
        <v>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5</v>
      </c>
      <c r="T8" s="4">
        <v>0</v>
      </c>
      <c r="U8" s="4">
        <v>0</v>
      </c>
      <c r="V8" s="4">
        <v>0</v>
      </c>
      <c r="W8">
        <f>UnitUpper!M8</f>
        <v>-1</v>
      </c>
      <c r="X8">
        <f>UnitUpper!E8</f>
        <v>1</v>
      </c>
      <c r="Y8" s="1" t="str">
        <f>UnitUpper!F8</f>
        <v>10000000</v>
      </c>
      <c r="Z8" s="4">
        <v>0</v>
      </c>
      <c r="AA8" s="4">
        <v>0</v>
      </c>
      <c r="AB8">
        <f>UnitUpper!AB8</f>
        <v>2025</v>
      </c>
      <c r="AC8">
        <f>UnitUpper!AE8</f>
        <v>13</v>
      </c>
      <c r="AD8">
        <f>UnitUpper!AF8</f>
        <v>13</v>
      </c>
      <c r="AE8">
        <f>UnitUpper!AG8</f>
        <v>13</v>
      </c>
      <c r="AF8">
        <f>UnitUpper!AH8</f>
        <v>13</v>
      </c>
      <c r="AG8">
        <f>UnitUpper!Y8</f>
        <v>0</v>
      </c>
      <c r="AH8">
        <f>UnitUpper!AC8</f>
        <v>49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>
        <f>UnitUpper!L8</f>
        <v>38</v>
      </c>
      <c r="AP8">
        <f>UnitUpper!N8</f>
        <v>2</v>
      </c>
      <c r="AQ8">
        <f>UnitUpper!P8</f>
        <v>-1</v>
      </c>
      <c r="AR8">
        <f>UnitUpper!O8</f>
        <v>55</v>
      </c>
      <c r="AS8">
        <f>UnitUpper!Q8</f>
        <v>-1</v>
      </c>
      <c r="AT8" s="4">
        <v>0</v>
      </c>
      <c r="AU8" s="4">
        <v>0</v>
      </c>
      <c r="AV8">
        <f>UnitUpper!AL8</f>
        <v>1</v>
      </c>
      <c r="AW8">
        <f>UnitUpper!AZ8</f>
        <v>-1</v>
      </c>
      <c r="AX8">
        <f>UnitUpper!BA8</f>
        <v>2</v>
      </c>
      <c r="AY8" s="4">
        <v>0</v>
      </c>
    </row>
    <row r="9" spans="1:52" x14ac:dyDescent="0.25">
      <c r="A9" t="str">
        <f>UnitUpper!A9</f>
        <v>unup007</v>
      </c>
      <c r="B9" t="str">
        <f>UnitUpper!D9</f>
        <v>NotUsed</v>
      </c>
      <c r="C9" s="1" t="str">
        <f>UnitUpper!B9</f>
        <v>00200</v>
      </c>
      <c r="D9">
        <f>UnitUpper!C9</f>
        <v>100</v>
      </c>
      <c r="E9" s="4" t="s">
        <v>252</v>
      </c>
      <c r="F9" s="4">
        <v>38</v>
      </c>
      <c r="G9">
        <f>UnitUpper!AI9</f>
        <v>0</v>
      </c>
      <c r="H9" s="4">
        <v>0</v>
      </c>
      <c r="I9">
        <f>UnitUpper!AJ9</f>
        <v>7100000</v>
      </c>
      <c r="J9">
        <f>UnitUpper!AK9</f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6</v>
      </c>
      <c r="T9" s="4">
        <v>0</v>
      </c>
      <c r="U9" s="4">
        <v>0</v>
      </c>
      <c r="V9" s="4">
        <v>0</v>
      </c>
      <c r="W9">
        <f>UnitUpper!M9</f>
        <v>-1</v>
      </c>
      <c r="X9">
        <f>UnitUpper!E9</f>
        <v>1</v>
      </c>
      <c r="Y9" s="1" t="str">
        <f>UnitUpper!F9</f>
        <v>10000000</v>
      </c>
      <c r="Z9" s="4">
        <v>0</v>
      </c>
      <c r="AA9" s="4">
        <v>0</v>
      </c>
      <c r="AB9">
        <f>UnitUpper!AB9</f>
        <v>1012</v>
      </c>
      <c r="AC9">
        <f>UnitUpper!AE9</f>
        <v>75</v>
      </c>
      <c r="AD9">
        <f>UnitUpper!AF9</f>
        <v>75</v>
      </c>
      <c r="AE9">
        <f>UnitUpper!AG9</f>
        <v>75</v>
      </c>
      <c r="AF9">
        <f>UnitUpper!AH9</f>
        <v>75</v>
      </c>
      <c r="AG9">
        <f>UnitUpper!Y9</f>
        <v>0</v>
      </c>
      <c r="AH9">
        <f>UnitUpper!AC9</f>
        <v>49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>
        <f>UnitUpper!L9</f>
        <v>100</v>
      </c>
      <c r="AP9">
        <f>UnitUpper!N9</f>
        <v>2</v>
      </c>
      <c r="AQ9">
        <f>UnitUpper!P9</f>
        <v>-1</v>
      </c>
      <c r="AR9">
        <f>UnitUpper!O9</f>
        <v>61</v>
      </c>
      <c r="AS9">
        <f>UnitUpper!Q9</f>
        <v>-1</v>
      </c>
      <c r="AT9" s="4">
        <v>0</v>
      </c>
      <c r="AU9" s="4">
        <v>0</v>
      </c>
      <c r="AV9">
        <f>UnitUpper!AL9</f>
        <v>1</v>
      </c>
      <c r="AW9">
        <f>UnitUpper!AZ9</f>
        <v>-1</v>
      </c>
      <c r="AX9">
        <f>UnitUpper!BA9</f>
        <v>2</v>
      </c>
      <c r="AY9" s="4">
        <v>0</v>
      </c>
    </row>
    <row r="10" spans="1:52" x14ac:dyDescent="0.25">
      <c r="A10" t="str">
        <f>UnitUpper!A10</f>
        <v>unup008</v>
      </c>
      <c r="B10" t="str">
        <f>UnitUpper!D10</f>
        <v>NotUsed</v>
      </c>
      <c r="C10" s="1" t="str">
        <f>UnitUpper!B10</f>
        <v>00207</v>
      </c>
      <c r="D10">
        <f>UnitUpper!C10</f>
        <v>100</v>
      </c>
      <c r="E10" s="4" t="s">
        <v>252</v>
      </c>
      <c r="F10" s="4">
        <v>38</v>
      </c>
      <c r="G10">
        <f>UnitUpper!AI10</f>
        <v>0</v>
      </c>
      <c r="H10" s="4">
        <v>0</v>
      </c>
      <c r="I10">
        <f>UnitUpper!AJ10</f>
        <v>7100000</v>
      </c>
      <c r="J10">
        <f>UnitUpper!AK10</f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7</v>
      </c>
      <c r="T10" s="4">
        <v>0</v>
      </c>
      <c r="U10" s="4">
        <v>0</v>
      </c>
      <c r="V10" s="4">
        <v>0</v>
      </c>
      <c r="W10">
        <f>UnitUpper!M10</f>
        <v>-1</v>
      </c>
      <c r="X10">
        <f>UnitUpper!E10</f>
        <v>1</v>
      </c>
      <c r="Y10" s="1" t="str">
        <f>UnitUpper!F10</f>
        <v>10000000</v>
      </c>
      <c r="Z10" s="4">
        <v>0</v>
      </c>
      <c r="AA10" s="4">
        <v>0</v>
      </c>
      <c r="AB10">
        <f>UnitUpper!AB10</f>
        <v>112</v>
      </c>
      <c r="AC10">
        <f>UnitUpper!AE10</f>
        <v>75</v>
      </c>
      <c r="AD10">
        <f>UnitUpper!AF10</f>
        <v>75</v>
      </c>
      <c r="AE10">
        <f>UnitUpper!AG10</f>
        <v>75</v>
      </c>
      <c r="AF10">
        <f>UnitUpper!AH10</f>
        <v>75</v>
      </c>
      <c r="AG10">
        <f>UnitUpper!Y10</f>
        <v>0</v>
      </c>
      <c r="AH10">
        <f>UnitUpper!AC10</f>
        <v>49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>
        <f>UnitUpper!L10</f>
        <v>100</v>
      </c>
      <c r="AP10">
        <f>UnitUpper!N10</f>
        <v>2</v>
      </c>
      <c r="AQ10">
        <f>UnitUpper!P10</f>
        <v>-1</v>
      </c>
      <c r="AR10">
        <f>UnitUpper!O10</f>
        <v>100</v>
      </c>
      <c r="AS10">
        <f>UnitUpper!Q10</f>
        <v>-1</v>
      </c>
      <c r="AT10" s="4">
        <v>0</v>
      </c>
      <c r="AU10" s="4">
        <v>0</v>
      </c>
      <c r="AV10">
        <f>UnitUpper!AL10</f>
        <v>1</v>
      </c>
      <c r="AW10">
        <f>UnitUpper!AZ10</f>
        <v>-1</v>
      </c>
      <c r="AX10">
        <f>UnitUpper!BA10</f>
        <v>2</v>
      </c>
      <c r="AY10" s="4">
        <v>0</v>
      </c>
    </row>
    <row r="11" spans="1:52" x14ac:dyDescent="0.25">
      <c r="A11" t="str">
        <f>UnitUpper!A11</f>
        <v>unup009</v>
      </c>
      <c r="B11" t="str">
        <f>UnitUpper!D11</f>
        <v>NotUsed</v>
      </c>
      <c r="C11" s="1" t="str">
        <f>UnitUpper!B11</f>
        <v>00208</v>
      </c>
      <c r="D11">
        <f>UnitUpper!C11</f>
        <v>100</v>
      </c>
      <c r="E11" s="4" t="s">
        <v>252</v>
      </c>
      <c r="F11" s="4">
        <v>38</v>
      </c>
      <c r="G11">
        <f>UnitUpper!AI11</f>
        <v>0</v>
      </c>
      <c r="H11" s="4">
        <v>0</v>
      </c>
      <c r="I11">
        <f>UnitUpper!AJ11</f>
        <v>7100000</v>
      </c>
      <c r="J11">
        <f>UnitUpper!AK11</f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8</v>
      </c>
      <c r="T11" s="4">
        <v>0</v>
      </c>
      <c r="U11" s="4">
        <v>0</v>
      </c>
      <c r="V11" s="4">
        <v>0</v>
      </c>
      <c r="W11">
        <f>UnitUpper!M11</f>
        <v>-1</v>
      </c>
      <c r="X11">
        <f>UnitUpper!E11</f>
        <v>1</v>
      </c>
      <c r="Y11" s="1" t="str">
        <f>UnitUpper!F11</f>
        <v>10000000</v>
      </c>
      <c r="Z11" s="4">
        <v>0</v>
      </c>
      <c r="AA11" s="4">
        <v>0</v>
      </c>
      <c r="AB11">
        <f>UnitUpper!AB11</f>
        <v>112</v>
      </c>
      <c r="AC11">
        <f>UnitUpper!AE11</f>
        <v>75</v>
      </c>
      <c r="AD11">
        <f>UnitUpper!AF11</f>
        <v>75</v>
      </c>
      <c r="AE11">
        <f>UnitUpper!AG11</f>
        <v>75</v>
      </c>
      <c r="AF11">
        <f>UnitUpper!AH11</f>
        <v>75</v>
      </c>
      <c r="AG11">
        <f>UnitUpper!Y11</f>
        <v>0</v>
      </c>
      <c r="AH11">
        <f>UnitUpper!AC11</f>
        <v>49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>
        <f>UnitUpper!L11</f>
        <v>100</v>
      </c>
      <c r="AP11">
        <f>UnitUpper!N11</f>
        <v>2</v>
      </c>
      <c r="AQ11">
        <f>UnitUpper!P11</f>
        <v>-1</v>
      </c>
      <c r="AR11">
        <f>UnitUpper!O11</f>
        <v>100</v>
      </c>
      <c r="AS11">
        <f>UnitUpper!Q11</f>
        <v>-1</v>
      </c>
      <c r="AT11" s="4">
        <v>0</v>
      </c>
      <c r="AU11" s="4">
        <v>0</v>
      </c>
      <c r="AV11">
        <f>UnitUpper!AL11</f>
        <v>1</v>
      </c>
      <c r="AW11">
        <f>UnitUpper!AZ11</f>
        <v>-1</v>
      </c>
      <c r="AX11">
        <f>UnitUpper!BA11</f>
        <v>2</v>
      </c>
      <c r="AY11" s="4">
        <v>0</v>
      </c>
    </row>
    <row r="12" spans="1:52" x14ac:dyDescent="0.25">
      <c r="A12" t="str">
        <f>UnitUpper!A12</f>
        <v>unup010</v>
      </c>
      <c r="B12" t="str">
        <f>UnitUpper!D12</f>
        <v>Heavy Duty Armor</v>
      </c>
      <c r="C12" s="1" t="str">
        <f>UnitUpper!B12</f>
        <v>00209</v>
      </c>
      <c r="D12">
        <f>UnitUpper!C12</f>
        <v>2</v>
      </c>
      <c r="E12" s="4" t="s">
        <v>252</v>
      </c>
      <c r="F12" s="4">
        <v>38</v>
      </c>
      <c r="G12">
        <f>UnitUpper!AI12</f>
        <v>0</v>
      </c>
      <c r="H12" s="4">
        <v>0</v>
      </c>
      <c r="I12">
        <f>UnitUpper!AJ12</f>
        <v>1100000</v>
      </c>
      <c r="J12">
        <f>UnitUpper!AK12</f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9</v>
      </c>
      <c r="T12" s="4">
        <v>0</v>
      </c>
      <c r="U12" s="4">
        <v>0</v>
      </c>
      <c r="V12" s="4">
        <v>0</v>
      </c>
      <c r="W12">
        <f>UnitUpper!M12</f>
        <v>-1</v>
      </c>
      <c r="X12">
        <f>UnitUpper!E12</f>
        <v>1</v>
      </c>
      <c r="Y12" s="1" t="str">
        <f>UnitUpper!F12</f>
        <v>10000000</v>
      </c>
      <c r="Z12" s="4">
        <v>0</v>
      </c>
      <c r="AA12" s="4">
        <v>0</v>
      </c>
      <c r="AB12">
        <f>UnitUpper!AB12</f>
        <v>2685</v>
      </c>
      <c r="AC12">
        <f>UnitUpper!AE12</f>
        <v>15</v>
      </c>
      <c r="AD12">
        <f>UnitUpper!AF12</f>
        <v>15</v>
      </c>
      <c r="AE12">
        <f>UnitUpper!AG12</f>
        <v>15</v>
      </c>
      <c r="AF12">
        <f>UnitUpper!AH12</f>
        <v>15</v>
      </c>
      <c r="AG12">
        <f>UnitUpper!Y12</f>
        <v>0</v>
      </c>
      <c r="AH12">
        <f>UnitUpper!AC12</f>
        <v>49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>
        <f>UnitUpper!L12</f>
        <v>40</v>
      </c>
      <c r="AP12">
        <f>UnitUpper!N12</f>
        <v>2</v>
      </c>
      <c r="AQ12">
        <f>UnitUpper!P12</f>
        <v>-1</v>
      </c>
      <c r="AR12">
        <f>UnitUpper!O12</f>
        <v>70</v>
      </c>
      <c r="AS12">
        <f>UnitUpper!Q12</f>
        <v>-1</v>
      </c>
      <c r="AT12" s="4">
        <v>0</v>
      </c>
      <c r="AU12" s="4">
        <v>0</v>
      </c>
      <c r="AV12">
        <f>UnitUpper!AL12</f>
        <v>1</v>
      </c>
      <c r="AW12">
        <f>UnitUpper!AZ12</f>
        <v>-1</v>
      </c>
      <c r="AX12">
        <f>UnitUpper!BA12</f>
        <v>2</v>
      </c>
      <c r="AY12" s="4">
        <v>0</v>
      </c>
    </row>
    <row r="13" spans="1:52" x14ac:dyDescent="0.25">
      <c r="A13" t="str">
        <f>UnitUpper!A13</f>
        <v>unup011</v>
      </c>
      <c r="B13" t="str">
        <f>UnitUpper!D13</f>
        <v>NotUsed</v>
      </c>
      <c r="C13" s="1" t="str">
        <f>UnitUpper!B13</f>
        <v>0020A</v>
      </c>
      <c r="D13">
        <f>UnitUpper!C13</f>
        <v>100</v>
      </c>
      <c r="E13" s="4" t="s">
        <v>252</v>
      </c>
      <c r="F13" s="4">
        <v>38</v>
      </c>
      <c r="G13">
        <f>UnitUpper!AI13</f>
        <v>0</v>
      </c>
      <c r="H13" s="4">
        <v>0</v>
      </c>
      <c r="I13">
        <f>UnitUpper!AJ13</f>
        <v>7100000</v>
      </c>
      <c r="J13">
        <f>UnitUpper!AK13</f>
        <v>1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10</v>
      </c>
      <c r="T13" s="4">
        <v>0</v>
      </c>
      <c r="U13" s="4">
        <v>0</v>
      </c>
      <c r="V13" s="4">
        <v>0</v>
      </c>
      <c r="W13">
        <f>UnitUpper!M13</f>
        <v>-1</v>
      </c>
      <c r="X13">
        <f>UnitUpper!E13</f>
        <v>1</v>
      </c>
      <c r="Y13" s="1" t="str">
        <f>UnitUpper!F13</f>
        <v>10000000</v>
      </c>
      <c r="Z13" s="4">
        <v>0</v>
      </c>
      <c r="AA13" s="4">
        <v>0</v>
      </c>
      <c r="AB13">
        <f>UnitUpper!AB13</f>
        <v>3605</v>
      </c>
      <c r="AC13">
        <f>UnitUpper!AE13</f>
        <v>75</v>
      </c>
      <c r="AD13">
        <f>UnitUpper!AF13</f>
        <v>75</v>
      </c>
      <c r="AE13">
        <f>UnitUpper!AG13</f>
        <v>75</v>
      </c>
      <c r="AF13">
        <f>UnitUpper!AH13</f>
        <v>75</v>
      </c>
      <c r="AG13">
        <f>UnitUpper!Y13</f>
        <v>0</v>
      </c>
      <c r="AH13">
        <f>UnitUpper!AC13</f>
        <v>49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>
        <f>UnitUpper!L13</f>
        <v>100</v>
      </c>
      <c r="AP13">
        <f>UnitUpper!N13</f>
        <v>2</v>
      </c>
      <c r="AQ13">
        <f>UnitUpper!P13</f>
        <v>-1</v>
      </c>
      <c r="AR13">
        <f>UnitUpper!O13</f>
        <v>100</v>
      </c>
      <c r="AS13">
        <f>UnitUpper!Q13</f>
        <v>-1</v>
      </c>
      <c r="AT13" s="4">
        <v>0</v>
      </c>
      <c r="AU13" s="4">
        <v>0</v>
      </c>
      <c r="AV13">
        <f>UnitUpper!AL13</f>
        <v>1</v>
      </c>
      <c r="AW13">
        <f>UnitUpper!AZ13</f>
        <v>-1</v>
      </c>
      <c r="AX13">
        <f>UnitUpper!BA13</f>
        <v>2</v>
      </c>
      <c r="AY13" s="4">
        <v>0</v>
      </c>
    </row>
    <row r="14" spans="1:52" x14ac:dyDescent="0.25">
      <c r="A14" t="str">
        <f>UnitUpper!A14</f>
        <v>unup012</v>
      </c>
      <c r="B14" t="str">
        <f>UnitUpper!D14</f>
        <v>F.Reflect Protect</v>
      </c>
      <c r="C14" s="1" t="str">
        <f>UnitUpper!B14</f>
        <v>00209</v>
      </c>
      <c r="D14">
        <f>UnitUpper!C14</f>
        <v>2</v>
      </c>
      <c r="E14" s="4" t="s">
        <v>252</v>
      </c>
      <c r="F14" s="4">
        <v>38</v>
      </c>
      <c r="G14">
        <f>UnitUpper!AI14</f>
        <v>0</v>
      </c>
      <c r="H14" s="4">
        <v>0</v>
      </c>
      <c r="I14">
        <f>UnitUpper!AJ14</f>
        <v>3727272</v>
      </c>
      <c r="J14">
        <f>UnitUpper!AK14</f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11</v>
      </c>
      <c r="T14" s="4">
        <v>0</v>
      </c>
      <c r="U14" s="4">
        <v>0</v>
      </c>
      <c r="V14" s="4">
        <v>0</v>
      </c>
      <c r="W14">
        <f>UnitUpper!M14</f>
        <v>-1</v>
      </c>
      <c r="X14">
        <f>UnitUpper!E14</f>
        <v>1</v>
      </c>
      <c r="Y14" s="1" t="str">
        <f>UnitUpper!F14</f>
        <v>10000000</v>
      </c>
      <c r="Z14" s="4">
        <v>0</v>
      </c>
      <c r="AA14" s="4">
        <v>0</v>
      </c>
      <c r="AB14">
        <f>UnitUpper!AB14</f>
        <v>4596</v>
      </c>
      <c r="AC14">
        <f>UnitUpper!AE14</f>
        <v>23</v>
      </c>
      <c r="AD14">
        <f>UnitUpper!AF14</f>
        <v>23</v>
      </c>
      <c r="AE14">
        <f>UnitUpper!AG14</f>
        <v>23</v>
      </c>
      <c r="AF14">
        <f>UnitUpper!AH14</f>
        <v>23</v>
      </c>
      <c r="AG14">
        <f>UnitUpper!Y14</f>
        <v>0</v>
      </c>
      <c r="AH14">
        <f>UnitUpper!AC14</f>
        <v>49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>
        <f>UnitUpper!L14</f>
        <v>48</v>
      </c>
      <c r="AP14">
        <f>UnitUpper!N14</f>
        <v>2</v>
      </c>
      <c r="AQ14">
        <f>UnitUpper!P14</f>
        <v>-1</v>
      </c>
      <c r="AR14">
        <f>UnitUpper!O14</f>
        <v>95</v>
      </c>
      <c r="AS14">
        <f>UnitUpper!Q14</f>
        <v>-1</v>
      </c>
      <c r="AT14" s="4">
        <v>0</v>
      </c>
      <c r="AU14" s="4">
        <v>0</v>
      </c>
      <c r="AV14">
        <f>UnitUpper!AL14</f>
        <v>1</v>
      </c>
      <c r="AW14">
        <f>UnitUpper!AZ14</f>
        <v>-1</v>
      </c>
      <c r="AX14">
        <f>UnitUpper!BA14</f>
        <v>2</v>
      </c>
      <c r="AY14" s="4">
        <v>0</v>
      </c>
    </row>
    <row r="15" spans="1:52" x14ac:dyDescent="0.25">
      <c r="A15" t="str">
        <f>UnitUpper!A15</f>
        <v>if5pt00</v>
      </c>
      <c r="B15" t="str">
        <f>UnitUpper!D15</f>
        <v>HA Gigant Body</v>
      </c>
      <c r="C15" s="1" t="str">
        <f>UnitUpper!B15</f>
        <v>0020C</v>
      </c>
      <c r="D15">
        <f>UnitUpper!C15</f>
        <v>3</v>
      </c>
      <c r="E15" s="4" t="s">
        <v>252</v>
      </c>
      <c r="F15" s="4">
        <v>0</v>
      </c>
      <c r="G15">
        <f>UnitUpper!AI15</f>
        <v>0</v>
      </c>
      <c r="H15" s="4">
        <v>0</v>
      </c>
      <c r="I15">
        <f>UnitUpper!AJ15</f>
        <v>2100000</v>
      </c>
      <c r="J15">
        <f>UnitUpper!AK15</f>
        <v>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12</v>
      </c>
      <c r="T15" s="4">
        <v>0</v>
      </c>
      <c r="U15" s="4">
        <v>0</v>
      </c>
      <c r="V15" s="4">
        <v>0</v>
      </c>
      <c r="W15">
        <f>UnitUpper!M15</f>
        <v>-1</v>
      </c>
      <c r="X15">
        <f>UnitUpper!E15</f>
        <v>1</v>
      </c>
      <c r="Y15" s="1" t="str">
        <f>UnitUpper!F15</f>
        <v>10000000</v>
      </c>
      <c r="Z15" s="4">
        <v>0</v>
      </c>
      <c r="AA15" s="4">
        <v>0</v>
      </c>
      <c r="AB15">
        <f>UnitUpper!AB15</f>
        <v>5995</v>
      </c>
      <c r="AC15">
        <f>UnitUpper!AE15</f>
        <v>25</v>
      </c>
      <c r="AD15">
        <f>UnitUpper!AF15</f>
        <v>25</v>
      </c>
      <c r="AE15">
        <f>UnitUpper!AG15</f>
        <v>25</v>
      </c>
      <c r="AF15">
        <f>UnitUpper!AH15</f>
        <v>25</v>
      </c>
      <c r="AG15">
        <f>UnitUpper!Y15</f>
        <v>0</v>
      </c>
      <c r="AH15">
        <f>UnitUpper!AC15</f>
        <v>49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>
        <f>UnitUpper!L15</f>
        <v>51</v>
      </c>
      <c r="AP15">
        <f>UnitUpper!N15</f>
        <v>2</v>
      </c>
      <c r="AQ15">
        <f>UnitUpper!P15</f>
        <v>-1</v>
      </c>
      <c r="AR15">
        <f>UnitUpper!O15</f>
        <v>99</v>
      </c>
      <c r="AS15">
        <f>UnitUpper!Q15</f>
        <v>-1</v>
      </c>
      <c r="AT15" s="4">
        <v>0</v>
      </c>
      <c r="AU15" s="4">
        <v>0</v>
      </c>
      <c r="AV15">
        <f>UnitUpper!AL15</f>
        <v>1</v>
      </c>
      <c r="AW15">
        <f>UnitUpper!AZ15</f>
        <v>-1</v>
      </c>
      <c r="AX15">
        <f>UnitUpper!BA15</f>
        <v>2</v>
      </c>
      <c r="AY15" s="4">
        <v>0</v>
      </c>
    </row>
    <row r="16" spans="1:52" x14ac:dyDescent="0.25">
      <c r="A16" t="str">
        <f>UnitUpper!A16</f>
        <v>unup014</v>
      </c>
      <c r="B16" t="str">
        <f>UnitUpper!D16</f>
        <v>T R O S Protect</v>
      </c>
      <c r="C16" s="1" t="str">
        <f>UnitUpper!B16</f>
        <v>0020C</v>
      </c>
      <c r="D16">
        <f>UnitUpper!C16</f>
        <v>3</v>
      </c>
      <c r="E16" s="4" t="s">
        <v>252</v>
      </c>
      <c r="F16" s="4">
        <v>38</v>
      </c>
      <c r="G16">
        <f>UnitUpper!AI16</f>
        <v>0</v>
      </c>
      <c r="H16" s="4">
        <v>0</v>
      </c>
      <c r="I16">
        <f>UnitUpper!AJ16</f>
        <v>8400000</v>
      </c>
      <c r="J16">
        <f>UnitUpper!AK16</f>
        <v>1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13</v>
      </c>
      <c r="T16" s="4">
        <v>0</v>
      </c>
      <c r="U16" s="4">
        <v>0</v>
      </c>
      <c r="V16" s="4">
        <v>0</v>
      </c>
      <c r="W16">
        <f>UnitUpper!M16</f>
        <v>-1</v>
      </c>
      <c r="X16">
        <f>UnitUpper!E16</f>
        <v>1</v>
      </c>
      <c r="Y16" s="1" t="str">
        <f>UnitUpper!F16</f>
        <v>10000000</v>
      </c>
      <c r="Z16" s="4">
        <v>0</v>
      </c>
      <c r="AA16" s="4">
        <v>0</v>
      </c>
      <c r="AB16">
        <f>UnitUpper!AB16</f>
        <v>7193</v>
      </c>
      <c r="AC16">
        <f>UnitUpper!AE16</f>
        <v>27</v>
      </c>
      <c r="AD16">
        <f>UnitUpper!AF16</f>
        <v>27</v>
      </c>
      <c r="AE16">
        <f>UnitUpper!AG16</f>
        <v>27</v>
      </c>
      <c r="AF16">
        <f>UnitUpper!AH16</f>
        <v>27</v>
      </c>
      <c r="AG16">
        <f>UnitUpper!Y16</f>
        <v>0</v>
      </c>
      <c r="AH16">
        <f>UnitUpper!AC16</f>
        <v>49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>
        <f>UnitUpper!L16</f>
        <v>51</v>
      </c>
      <c r="AP16">
        <f>UnitUpper!N16</f>
        <v>2</v>
      </c>
      <c r="AQ16">
        <f>UnitUpper!P16</f>
        <v>-1</v>
      </c>
      <c r="AR16">
        <f>UnitUpper!O16</f>
        <v>99</v>
      </c>
      <c r="AS16">
        <f>UnitUpper!Q16</f>
        <v>-1</v>
      </c>
      <c r="AT16" s="4">
        <v>0</v>
      </c>
      <c r="AU16" s="4">
        <v>0</v>
      </c>
      <c r="AV16">
        <f>UnitUpper!AL16</f>
        <v>1</v>
      </c>
      <c r="AW16">
        <f>UnitUpper!AZ16</f>
        <v>-1</v>
      </c>
      <c r="AX16">
        <f>UnitUpper!BA16</f>
        <v>2</v>
      </c>
      <c r="AY16" s="4">
        <v>0</v>
      </c>
    </row>
    <row r="17" spans="1:51" x14ac:dyDescent="0.25">
      <c r="A17" t="str">
        <f>UnitUpper!A17</f>
        <v>unup015</v>
      </c>
      <c r="B17" t="str">
        <f>UnitUpper!D17</f>
        <v>A R E S Protect</v>
      </c>
      <c r="C17" s="1" t="str">
        <f>UnitUpper!B17</f>
        <v>0020C</v>
      </c>
      <c r="D17">
        <f>UnitUpper!C17</f>
        <v>3</v>
      </c>
      <c r="E17" s="4" t="s">
        <v>252</v>
      </c>
      <c r="F17" s="4">
        <v>38</v>
      </c>
      <c r="G17">
        <f>UnitUpper!AI17</f>
        <v>0</v>
      </c>
      <c r="H17" s="4">
        <v>0</v>
      </c>
      <c r="I17">
        <f>UnitUpper!AJ17</f>
        <v>18900000</v>
      </c>
      <c r="J17">
        <f>UnitUpper!AK17</f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14</v>
      </c>
      <c r="T17" s="4">
        <v>0</v>
      </c>
      <c r="U17" s="4">
        <v>0</v>
      </c>
      <c r="V17" s="4">
        <v>0</v>
      </c>
      <c r="W17">
        <f>UnitUpper!M17</f>
        <v>-1</v>
      </c>
      <c r="X17">
        <f>UnitUpper!E17</f>
        <v>1</v>
      </c>
      <c r="Y17" s="1" t="str">
        <f>UnitUpper!F17</f>
        <v>10000000</v>
      </c>
      <c r="Z17" s="4">
        <v>0</v>
      </c>
      <c r="AA17" s="4">
        <v>0</v>
      </c>
      <c r="AB17">
        <f>UnitUpper!AB17</f>
        <v>9351</v>
      </c>
      <c r="AC17">
        <f>UnitUpper!AE17</f>
        <v>30</v>
      </c>
      <c r="AD17">
        <f>UnitUpper!AF17</f>
        <v>30</v>
      </c>
      <c r="AE17">
        <f>UnitUpper!AG17</f>
        <v>30</v>
      </c>
      <c r="AF17">
        <f>UnitUpper!AH17</f>
        <v>30</v>
      </c>
      <c r="AG17">
        <f>UnitUpper!Y17</f>
        <v>0</v>
      </c>
      <c r="AH17">
        <f>UnitUpper!AC17</f>
        <v>49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>
        <f>UnitUpper!L17</f>
        <v>51</v>
      </c>
      <c r="AP17">
        <f>UnitUpper!N17</f>
        <v>2</v>
      </c>
      <c r="AQ17">
        <f>UnitUpper!P17</f>
        <v>-1</v>
      </c>
      <c r="AR17">
        <f>UnitUpper!O17</f>
        <v>99</v>
      </c>
      <c r="AS17">
        <f>UnitUpper!Q17</f>
        <v>-1</v>
      </c>
      <c r="AT17" s="4">
        <v>0</v>
      </c>
      <c r="AU17" s="4">
        <v>0</v>
      </c>
      <c r="AV17">
        <f>UnitUpper!AL17</f>
        <v>1</v>
      </c>
      <c r="AW17">
        <f>UnitUpper!AZ17</f>
        <v>-1</v>
      </c>
      <c r="AX17">
        <f>UnitUpper!BA17</f>
        <v>2</v>
      </c>
      <c r="AY17" s="4">
        <v>0</v>
      </c>
    </row>
    <row r="18" spans="1:51" x14ac:dyDescent="0.25">
      <c r="A18" t="str">
        <f>UnitUpper!A18</f>
        <v>unup016</v>
      </c>
      <c r="B18" t="str">
        <f>UnitUpper!D18</f>
        <v>Peace Keeper Protect Core</v>
      </c>
      <c r="C18" s="1" t="str">
        <f>UnitUpper!B18</f>
        <v>00212</v>
      </c>
      <c r="D18">
        <f>UnitUpper!C18</f>
        <v>7</v>
      </c>
      <c r="E18" s="4" t="s">
        <v>252</v>
      </c>
      <c r="F18" s="4">
        <v>38</v>
      </c>
      <c r="G18">
        <f>UnitUpper!AI18</f>
        <v>0</v>
      </c>
      <c r="H18" s="4">
        <v>0</v>
      </c>
      <c r="I18">
        <f>UnitUpper!AJ18</f>
        <v>2100000</v>
      </c>
      <c r="J18">
        <f>UnitUpper!AK18</f>
        <v>3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15</v>
      </c>
      <c r="T18" s="4">
        <v>0</v>
      </c>
      <c r="U18" s="4">
        <v>0</v>
      </c>
      <c r="V18" s="4">
        <v>0</v>
      </c>
      <c r="W18">
        <f>UnitUpper!M18</f>
        <v>-1</v>
      </c>
      <c r="X18">
        <f>UnitUpper!E18</f>
        <v>1</v>
      </c>
      <c r="Y18" s="1" t="str">
        <f>UnitUpper!F18</f>
        <v>10000000</v>
      </c>
      <c r="Z18" s="4">
        <v>0</v>
      </c>
      <c r="AA18" s="4">
        <v>0</v>
      </c>
      <c r="AB18">
        <f>UnitUpper!AB18</f>
        <v>10000</v>
      </c>
      <c r="AC18">
        <f>UnitUpper!AE18</f>
        <v>30</v>
      </c>
      <c r="AD18">
        <f>UnitUpper!AF18</f>
        <v>30</v>
      </c>
      <c r="AE18">
        <f>UnitUpper!AG18</f>
        <v>30</v>
      </c>
      <c r="AF18">
        <f>UnitUpper!AH18</f>
        <v>30</v>
      </c>
      <c r="AG18">
        <f>UnitUpper!Y18</f>
        <v>0</v>
      </c>
      <c r="AH18">
        <f>UnitUpper!AC18</f>
        <v>49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>
        <f>UnitUpper!L18</f>
        <v>52</v>
      </c>
      <c r="AP18">
        <f>UnitUpper!N18</f>
        <v>2</v>
      </c>
      <c r="AQ18">
        <f>UnitUpper!P18</f>
        <v>-1</v>
      </c>
      <c r="AR18">
        <f>UnitUpper!O18</f>
        <v>99</v>
      </c>
      <c r="AS18">
        <f>UnitUpper!Q18</f>
        <v>-1</v>
      </c>
      <c r="AT18" s="4">
        <v>0</v>
      </c>
      <c r="AU18" s="4">
        <v>0</v>
      </c>
      <c r="AV18">
        <f>UnitUpper!AL18</f>
        <v>3</v>
      </c>
      <c r="AW18">
        <f>UnitUpper!AZ18</f>
        <v>-1</v>
      </c>
      <c r="AX18">
        <f>UnitUpper!BA18</f>
        <v>2</v>
      </c>
      <c r="AY18" s="4">
        <v>0</v>
      </c>
    </row>
    <row r="19" spans="1:51" x14ac:dyDescent="0.25">
      <c r="A19" t="str">
        <f>UnitUpper!A19</f>
        <v>unup017</v>
      </c>
      <c r="B19" t="str">
        <f>UnitUpper!D19</f>
        <v>Guardian Protect Core</v>
      </c>
      <c r="C19" s="1" t="str">
        <f>UnitUpper!B19</f>
        <v>00212</v>
      </c>
      <c r="D19">
        <f>UnitUpper!C19</f>
        <v>7</v>
      </c>
      <c r="E19" s="4" t="s">
        <v>252</v>
      </c>
      <c r="F19" s="4">
        <v>38</v>
      </c>
      <c r="G19">
        <f>UnitUpper!AI19</f>
        <v>0</v>
      </c>
      <c r="H19" s="4">
        <v>0</v>
      </c>
      <c r="I19">
        <f>UnitUpper!AJ19</f>
        <v>8400000</v>
      </c>
      <c r="J19">
        <f>UnitUpper!AK19</f>
        <v>3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16</v>
      </c>
      <c r="T19" s="4">
        <v>0</v>
      </c>
      <c r="U19" s="4">
        <v>0</v>
      </c>
      <c r="V19" s="4">
        <v>0</v>
      </c>
      <c r="W19">
        <f>UnitUpper!M19</f>
        <v>-1</v>
      </c>
      <c r="X19">
        <f>UnitUpper!E19</f>
        <v>1</v>
      </c>
      <c r="Y19" s="1" t="str">
        <f>UnitUpper!F19</f>
        <v>10000000</v>
      </c>
      <c r="Z19" s="4">
        <v>0</v>
      </c>
      <c r="AA19" s="4">
        <v>0</v>
      </c>
      <c r="AB19">
        <f>UnitUpper!AB19</f>
        <v>13000</v>
      </c>
      <c r="AC19">
        <f>UnitUpper!AE19</f>
        <v>33</v>
      </c>
      <c r="AD19">
        <f>UnitUpper!AF19</f>
        <v>33</v>
      </c>
      <c r="AE19">
        <f>UnitUpper!AG19</f>
        <v>33</v>
      </c>
      <c r="AF19">
        <f>UnitUpper!AH19</f>
        <v>33</v>
      </c>
      <c r="AG19">
        <f>UnitUpper!Y19</f>
        <v>0</v>
      </c>
      <c r="AH19">
        <f>UnitUpper!AC19</f>
        <v>49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>
        <f>UnitUpper!L19</f>
        <v>53</v>
      </c>
      <c r="AP19">
        <f>UnitUpper!N19</f>
        <v>2</v>
      </c>
      <c r="AQ19">
        <f>UnitUpper!P19</f>
        <v>-1</v>
      </c>
      <c r="AR19">
        <f>UnitUpper!O19</f>
        <v>99</v>
      </c>
      <c r="AS19">
        <f>UnitUpper!Q19</f>
        <v>-1</v>
      </c>
      <c r="AT19" s="4">
        <v>0</v>
      </c>
      <c r="AU19" s="4">
        <v>0</v>
      </c>
      <c r="AV19">
        <f>UnitUpper!AL19</f>
        <v>3</v>
      </c>
      <c r="AW19">
        <f>UnitUpper!AZ19</f>
        <v>-1</v>
      </c>
      <c r="AX19">
        <f>UnitUpper!BA19</f>
        <v>2</v>
      </c>
      <c r="AY19" s="4">
        <v>0</v>
      </c>
    </row>
    <row r="20" spans="1:51" x14ac:dyDescent="0.25">
      <c r="A20" t="str">
        <f>UnitUpper!A20</f>
        <v>unup018</v>
      </c>
      <c r="B20" t="str">
        <f>UnitUpper!D20</f>
        <v>AA01 Titan Core</v>
      </c>
      <c r="C20" s="1" t="str">
        <f>UnitUpper!B20</f>
        <v>00212</v>
      </c>
      <c r="D20">
        <f>UnitUpper!C20</f>
        <v>7</v>
      </c>
      <c r="E20" s="4" t="s">
        <v>252</v>
      </c>
      <c r="F20" s="4">
        <v>38</v>
      </c>
      <c r="G20">
        <f>UnitUpper!AI20</f>
        <v>0</v>
      </c>
      <c r="H20" s="4">
        <v>0</v>
      </c>
      <c r="I20">
        <f>UnitUpper!AJ20</f>
        <v>18900000</v>
      </c>
      <c r="J20">
        <f>UnitUpper!AK20</f>
        <v>3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17</v>
      </c>
      <c r="T20" s="4">
        <v>0</v>
      </c>
      <c r="U20" s="4">
        <v>0</v>
      </c>
      <c r="V20" s="4">
        <v>0</v>
      </c>
      <c r="W20">
        <f>UnitUpper!M20</f>
        <v>-1</v>
      </c>
      <c r="X20">
        <f>UnitUpper!E20</f>
        <v>1</v>
      </c>
      <c r="Y20" s="1" t="str">
        <f>UnitUpper!F20</f>
        <v>10000000</v>
      </c>
      <c r="Z20" s="4">
        <v>0</v>
      </c>
      <c r="AA20" s="4">
        <v>0</v>
      </c>
      <c r="AB20">
        <f>UnitUpper!AB20</f>
        <v>16000</v>
      </c>
      <c r="AC20">
        <f>UnitUpper!AE20</f>
        <v>36</v>
      </c>
      <c r="AD20">
        <f>UnitUpper!AF20</f>
        <v>36</v>
      </c>
      <c r="AE20">
        <f>UnitUpper!AG20</f>
        <v>36</v>
      </c>
      <c r="AF20">
        <f>UnitUpper!AH20</f>
        <v>36</v>
      </c>
      <c r="AG20">
        <f>UnitUpper!Y20</f>
        <v>0</v>
      </c>
      <c r="AH20">
        <f>UnitUpper!AC20</f>
        <v>49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>
        <f>UnitUpper!L20</f>
        <v>54</v>
      </c>
      <c r="AP20">
        <f>UnitUpper!N20</f>
        <v>2</v>
      </c>
      <c r="AQ20">
        <f>UnitUpper!P20</f>
        <v>-1</v>
      </c>
      <c r="AR20">
        <f>UnitUpper!O20</f>
        <v>99</v>
      </c>
      <c r="AS20">
        <f>UnitUpper!Q20</f>
        <v>-1</v>
      </c>
      <c r="AT20" s="4">
        <v>0</v>
      </c>
      <c r="AU20" s="4">
        <v>0</v>
      </c>
      <c r="AV20">
        <f>UnitUpper!AL20</f>
        <v>3</v>
      </c>
      <c r="AW20">
        <f>UnitUpper!AZ20</f>
        <v>-1</v>
      </c>
      <c r="AX20">
        <f>UnitUpper!BA20</f>
        <v>2</v>
      </c>
      <c r="AY20" s="4">
        <v>0</v>
      </c>
    </row>
    <row r="21" spans="1:51" x14ac:dyDescent="0.25">
      <c r="A21" t="str">
        <f>UnitUpper!A21</f>
        <v>unup019</v>
      </c>
      <c r="B21" t="str">
        <f>UnitUpper!D21</f>
        <v>Venom Core</v>
      </c>
      <c r="C21" s="1" t="str">
        <f>UnitUpper!B21</f>
        <v>0022D</v>
      </c>
      <c r="D21">
        <f>UnitUpper!C21</f>
        <v>16</v>
      </c>
      <c r="E21" s="4" t="s">
        <v>252</v>
      </c>
      <c r="F21" s="4">
        <v>38</v>
      </c>
      <c r="G21">
        <f>UnitUpper!AI21</f>
        <v>0</v>
      </c>
      <c r="H21" s="4">
        <v>0</v>
      </c>
      <c r="I21">
        <f>UnitUpper!AJ21</f>
        <v>30240000</v>
      </c>
      <c r="J21">
        <f>UnitUpper!AK21</f>
        <v>3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18</v>
      </c>
      <c r="T21" s="4">
        <v>0</v>
      </c>
      <c r="U21" s="4">
        <v>0</v>
      </c>
      <c r="V21" s="4">
        <v>0</v>
      </c>
      <c r="W21">
        <f>UnitUpper!M21</f>
        <v>-1</v>
      </c>
      <c r="X21">
        <f>UnitUpper!E21</f>
        <v>1</v>
      </c>
      <c r="Y21" s="1" t="str">
        <f>UnitUpper!F21</f>
        <v>10000000</v>
      </c>
      <c r="Z21" s="4">
        <v>0</v>
      </c>
      <c r="AA21" s="4">
        <v>0</v>
      </c>
      <c r="AB21">
        <f>UnitUpper!AB21</f>
        <v>19200</v>
      </c>
      <c r="AC21">
        <f>UnitUpper!AE21</f>
        <v>37</v>
      </c>
      <c r="AD21">
        <f>UnitUpper!AF21</f>
        <v>37</v>
      </c>
      <c r="AE21">
        <f>UnitUpper!AG21</f>
        <v>37</v>
      </c>
      <c r="AF21">
        <f>UnitUpper!AH21</f>
        <v>37</v>
      </c>
      <c r="AG21">
        <f>UnitUpper!Y21</f>
        <v>0</v>
      </c>
      <c r="AH21">
        <f>UnitUpper!AC21</f>
        <v>49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>
        <f>UnitUpper!L21</f>
        <v>57</v>
      </c>
      <c r="AP21">
        <f>UnitUpper!N21</f>
        <v>2</v>
      </c>
      <c r="AQ21">
        <f>UnitUpper!P21</f>
        <v>-1</v>
      </c>
      <c r="AR21">
        <f>UnitUpper!O21</f>
        <v>99</v>
      </c>
      <c r="AS21">
        <f>UnitUpper!Q21</f>
        <v>-1</v>
      </c>
      <c r="AT21" s="4">
        <v>0</v>
      </c>
      <c r="AU21" s="4">
        <v>0</v>
      </c>
      <c r="AV21">
        <f>UnitUpper!AL21</f>
        <v>12</v>
      </c>
      <c r="AW21">
        <f>UnitUpper!AZ21</f>
        <v>-1</v>
      </c>
      <c r="AX21">
        <f>UnitUpper!BA21</f>
        <v>2</v>
      </c>
      <c r="AY21" s="4">
        <v>0</v>
      </c>
    </row>
    <row r="22" spans="1:51" x14ac:dyDescent="0.25">
      <c r="A22" t="str">
        <f>UnitUpper!A22</f>
        <v>unup020</v>
      </c>
      <c r="B22" t="str">
        <f>UnitUpper!D22</f>
        <v>Mirage Core</v>
      </c>
      <c r="C22" s="1" t="str">
        <f>UnitUpper!B22</f>
        <v>0022D</v>
      </c>
      <c r="D22">
        <f>UnitUpper!C22</f>
        <v>16</v>
      </c>
      <c r="E22" s="4" t="s">
        <v>252</v>
      </c>
      <c r="F22" s="4">
        <v>38</v>
      </c>
      <c r="G22">
        <f>UnitUpper!AI22</f>
        <v>0</v>
      </c>
      <c r="H22" s="4">
        <v>0</v>
      </c>
      <c r="I22">
        <f>UnitUpper!AJ22</f>
        <v>37800000</v>
      </c>
      <c r="J22">
        <f>UnitUpper!AK22</f>
        <v>3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19</v>
      </c>
      <c r="T22" s="4">
        <v>0</v>
      </c>
      <c r="U22" s="4">
        <v>0</v>
      </c>
      <c r="V22" s="4">
        <v>0</v>
      </c>
      <c r="W22">
        <f>UnitUpper!M22</f>
        <v>-1</v>
      </c>
      <c r="X22">
        <f>UnitUpper!E22</f>
        <v>1</v>
      </c>
      <c r="Y22" s="1" t="str">
        <f>UnitUpper!F22</f>
        <v>10000000</v>
      </c>
      <c r="Z22" s="4">
        <v>0</v>
      </c>
      <c r="AA22" s="4">
        <v>0</v>
      </c>
      <c r="AB22">
        <f>UnitUpper!AB22</f>
        <v>23040</v>
      </c>
      <c r="AC22">
        <f>UnitUpper!AE22</f>
        <v>38</v>
      </c>
      <c r="AD22">
        <f>UnitUpper!AF22</f>
        <v>38</v>
      </c>
      <c r="AE22">
        <f>UnitUpper!AG22</f>
        <v>38</v>
      </c>
      <c r="AF22">
        <f>UnitUpper!AH22</f>
        <v>38</v>
      </c>
      <c r="AG22">
        <f>UnitUpper!Y22</f>
        <v>0</v>
      </c>
      <c r="AH22">
        <f>UnitUpper!AC22</f>
        <v>49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>
        <f>UnitUpper!L22</f>
        <v>62</v>
      </c>
      <c r="AP22">
        <f>UnitUpper!N22</f>
        <v>2</v>
      </c>
      <c r="AQ22">
        <f>UnitUpper!P22</f>
        <v>-1</v>
      </c>
      <c r="AR22">
        <f>UnitUpper!O22</f>
        <v>99</v>
      </c>
      <c r="AS22">
        <f>UnitUpper!Q22</f>
        <v>-1</v>
      </c>
      <c r="AT22" s="4">
        <v>0</v>
      </c>
      <c r="AU22" s="4">
        <v>0</v>
      </c>
      <c r="AV22">
        <f>UnitUpper!AL22</f>
        <v>15</v>
      </c>
      <c r="AW22">
        <f>UnitUpper!AZ22</f>
        <v>-1</v>
      </c>
      <c r="AX22">
        <f>UnitUpper!BA22</f>
        <v>2</v>
      </c>
      <c r="AY22" s="4">
        <v>0</v>
      </c>
    </row>
    <row r="23" spans="1:51" x14ac:dyDescent="0.25">
      <c r="A23" t="str">
        <f>UnitUpper!A23</f>
        <v>unup021</v>
      </c>
      <c r="B23" t="str">
        <f>UnitUpper!D23</f>
        <v>Normal Armor</v>
      </c>
      <c r="C23" s="1" t="str">
        <f>UnitUpper!B23</f>
        <v>10214</v>
      </c>
      <c r="D23">
        <f>UnitUpper!C23</f>
        <v>4</v>
      </c>
      <c r="E23" s="4" t="s">
        <v>252</v>
      </c>
      <c r="F23" s="4">
        <v>38</v>
      </c>
      <c r="G23">
        <f>UnitUpper!AI23</f>
        <v>0</v>
      </c>
      <c r="H23" s="4">
        <v>0</v>
      </c>
      <c r="I23">
        <f>UnitUpper!AJ23</f>
        <v>100000</v>
      </c>
      <c r="J23">
        <f>UnitUpper!AK23</f>
        <v>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20</v>
      </c>
      <c r="T23" s="4">
        <v>0</v>
      </c>
      <c r="U23" s="4">
        <v>0</v>
      </c>
      <c r="V23" s="4">
        <v>0</v>
      </c>
      <c r="W23">
        <f>UnitUpper!M23</f>
        <v>-1</v>
      </c>
      <c r="X23">
        <f>UnitUpper!E23</f>
        <v>1</v>
      </c>
      <c r="Y23" s="1" t="str">
        <f>UnitUpper!F23</f>
        <v>01000000</v>
      </c>
      <c r="Z23" s="4">
        <v>0</v>
      </c>
      <c r="AA23" s="4">
        <v>0</v>
      </c>
      <c r="AB23">
        <f>UnitUpper!AB23</f>
        <v>371</v>
      </c>
      <c r="AC23">
        <f>UnitUpper!AE23</f>
        <v>3</v>
      </c>
      <c r="AD23">
        <f>UnitUpper!AF23</f>
        <v>3</v>
      </c>
      <c r="AE23">
        <f>UnitUpper!AG23</f>
        <v>3</v>
      </c>
      <c r="AF23">
        <f>UnitUpper!AH23</f>
        <v>3</v>
      </c>
      <c r="AG23">
        <f>UnitUpper!Y23</f>
        <v>0</v>
      </c>
      <c r="AH23">
        <f>UnitUpper!AC23</f>
        <v>49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>
        <f>UnitUpper!L23</f>
        <v>30</v>
      </c>
      <c r="AP23">
        <f>UnitUpper!N23</f>
        <v>2</v>
      </c>
      <c r="AQ23">
        <f>UnitUpper!P23</f>
        <v>-1</v>
      </c>
      <c r="AR23">
        <f>UnitUpper!O23</f>
        <v>1</v>
      </c>
      <c r="AS23">
        <f>UnitUpper!Q23</f>
        <v>-1</v>
      </c>
      <c r="AT23" s="4">
        <v>0</v>
      </c>
      <c r="AU23" s="4">
        <v>0</v>
      </c>
      <c r="AV23">
        <f>UnitUpper!AL23</f>
        <v>1</v>
      </c>
      <c r="AW23">
        <f>UnitUpper!AZ23</f>
        <v>-1</v>
      </c>
      <c r="AX23">
        <f>UnitUpper!BA23</f>
        <v>2</v>
      </c>
      <c r="AY23" s="4">
        <v>0</v>
      </c>
    </row>
    <row r="24" spans="1:51" x14ac:dyDescent="0.25">
      <c r="A24" t="str">
        <f>UnitUpper!A24</f>
        <v>unup022</v>
      </c>
      <c r="B24" t="str">
        <f>UnitUpper!D24</f>
        <v>Advanced Unique Core</v>
      </c>
      <c r="C24" s="1" t="str">
        <f>UnitUpper!B24</f>
        <v>1022E</v>
      </c>
      <c r="D24">
        <f>UnitUpper!C24</f>
        <v>16</v>
      </c>
      <c r="E24" s="4" t="s">
        <v>252</v>
      </c>
      <c r="F24" s="4">
        <v>38</v>
      </c>
      <c r="G24">
        <f>UnitUpper!AI24</f>
        <v>0</v>
      </c>
      <c r="H24" s="4">
        <v>0</v>
      </c>
      <c r="I24">
        <f>UnitUpper!AJ24</f>
        <v>45360000</v>
      </c>
      <c r="J24">
        <f>UnitUpper!AK24</f>
        <v>3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39</v>
      </c>
      <c r="T24" s="4">
        <v>0</v>
      </c>
      <c r="U24" s="4">
        <v>0</v>
      </c>
      <c r="V24" s="4">
        <v>0</v>
      </c>
      <c r="W24">
        <f>UnitUpper!M24</f>
        <v>-1</v>
      </c>
      <c r="X24">
        <f>UnitUpper!E24</f>
        <v>1</v>
      </c>
      <c r="Y24" s="1" t="str">
        <f>UnitUpper!F24</f>
        <v>01000000</v>
      </c>
      <c r="Z24" s="4">
        <v>0</v>
      </c>
      <c r="AA24" s="4">
        <v>0</v>
      </c>
      <c r="AB24">
        <f>UnitUpper!AB24</f>
        <v>12960</v>
      </c>
      <c r="AC24">
        <f>UnitUpper!AE24</f>
        <v>25</v>
      </c>
      <c r="AD24">
        <f>UnitUpper!AF24</f>
        <v>25</v>
      </c>
      <c r="AE24">
        <f>UnitUpper!AG24</f>
        <v>25</v>
      </c>
      <c r="AF24">
        <f>UnitUpper!AH24</f>
        <v>25</v>
      </c>
      <c r="AG24">
        <f>UnitUpper!Y24</f>
        <v>0</v>
      </c>
      <c r="AH24">
        <f>UnitUpper!AC24</f>
        <v>49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>
        <f>UnitUpper!L24</f>
        <v>67</v>
      </c>
      <c r="AP24">
        <f>UnitUpper!N24</f>
        <v>2</v>
      </c>
      <c r="AQ24">
        <f>UnitUpper!P24</f>
        <v>-1</v>
      </c>
      <c r="AR24">
        <f>UnitUpper!O24</f>
        <v>99</v>
      </c>
      <c r="AS24">
        <f>UnitUpper!Q24</f>
        <v>-1</v>
      </c>
      <c r="AT24" s="4">
        <v>0</v>
      </c>
      <c r="AU24" s="4">
        <v>0</v>
      </c>
      <c r="AV24">
        <f>UnitUpper!AL24</f>
        <v>9</v>
      </c>
      <c r="AW24">
        <f>UnitUpper!AZ24</f>
        <v>-1</v>
      </c>
      <c r="AX24">
        <f>UnitUpper!BA24</f>
        <v>2</v>
      </c>
      <c r="AY24" s="4">
        <v>0</v>
      </c>
    </row>
    <row r="25" spans="1:51" x14ac:dyDescent="0.25">
      <c r="A25" t="str">
        <f>UnitUpper!A25</f>
        <v>unup023</v>
      </c>
      <c r="B25" t="str">
        <f>UnitUpper!D25</f>
        <v>Beelzebub Catapult Core</v>
      </c>
      <c r="C25" s="1" t="str">
        <f>UnitUpper!B25</f>
        <v>10230</v>
      </c>
      <c r="D25">
        <f>UnitUpper!C25</f>
        <v>18</v>
      </c>
      <c r="E25" s="4" t="s">
        <v>252</v>
      </c>
      <c r="F25" s="4">
        <v>38</v>
      </c>
      <c r="G25">
        <f>UnitUpper!AI25</f>
        <v>0</v>
      </c>
      <c r="H25" s="4">
        <v>0</v>
      </c>
      <c r="I25">
        <f>UnitUpper!AJ25</f>
        <v>75000000</v>
      </c>
      <c r="J25">
        <f>UnitUpper!AK25</f>
        <v>3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22</v>
      </c>
      <c r="T25" s="4">
        <v>0</v>
      </c>
      <c r="U25" s="4">
        <v>0</v>
      </c>
      <c r="V25" s="4">
        <v>0</v>
      </c>
      <c r="W25">
        <f>UnitUpper!M25</f>
        <v>-1</v>
      </c>
      <c r="X25">
        <f>UnitUpper!E25</f>
        <v>1</v>
      </c>
      <c r="Y25" s="1" t="str">
        <f>UnitUpper!F25</f>
        <v>01000000</v>
      </c>
      <c r="Z25" s="4">
        <v>0</v>
      </c>
      <c r="AA25" s="4">
        <v>0</v>
      </c>
      <c r="AB25">
        <f>UnitUpper!AB25</f>
        <v>34000</v>
      </c>
      <c r="AC25">
        <f>UnitUpper!AE25</f>
        <v>25</v>
      </c>
      <c r="AD25">
        <f>UnitUpper!AF25</f>
        <v>25</v>
      </c>
      <c r="AE25">
        <f>UnitUpper!AG25</f>
        <v>25</v>
      </c>
      <c r="AF25">
        <f>UnitUpper!AH25</f>
        <v>25</v>
      </c>
      <c r="AG25">
        <f>UnitUpper!Y25</f>
        <v>0</v>
      </c>
      <c r="AH25">
        <f>UnitUpper!AC25</f>
        <v>50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>
        <f>UnitUpper!L25</f>
        <v>72</v>
      </c>
      <c r="AP25">
        <f>UnitUpper!N25</f>
        <v>2</v>
      </c>
      <c r="AQ25">
        <f>UnitUpper!P25</f>
        <v>-1</v>
      </c>
      <c r="AR25">
        <f>UnitUpper!O25</f>
        <v>99</v>
      </c>
      <c r="AS25">
        <f>UnitUpper!Q25</f>
        <v>-1</v>
      </c>
      <c r="AT25" s="4">
        <v>0</v>
      </c>
      <c r="AU25" s="4">
        <v>0</v>
      </c>
      <c r="AV25">
        <f>UnitUpper!AL25</f>
        <v>10</v>
      </c>
      <c r="AW25">
        <f>UnitUpper!AZ25</f>
        <v>-1</v>
      </c>
      <c r="AX25">
        <f>UnitUpper!BA25</f>
        <v>2</v>
      </c>
      <c r="AY25" s="4">
        <v>0</v>
      </c>
    </row>
    <row r="26" spans="1:51" x14ac:dyDescent="0.25">
      <c r="A26" t="str">
        <f>UnitUpper!A26</f>
        <v>unup024</v>
      </c>
      <c r="B26" t="str">
        <f>UnitUpper!D26</f>
        <v>Heavy Catapult Armor</v>
      </c>
      <c r="C26" s="1" t="str">
        <f>UnitUpper!B26</f>
        <v>10217</v>
      </c>
      <c r="D26">
        <f>UnitUpper!C26</f>
        <v>100</v>
      </c>
      <c r="E26" s="4" t="s">
        <v>252</v>
      </c>
      <c r="F26" s="4">
        <v>38</v>
      </c>
      <c r="G26">
        <f>UnitUpper!AI26</f>
        <v>0</v>
      </c>
      <c r="H26" s="4">
        <v>0</v>
      </c>
      <c r="I26">
        <f>UnitUpper!AJ26</f>
        <v>7100000</v>
      </c>
      <c r="J26">
        <f>UnitUpper!AK26</f>
        <v>4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23</v>
      </c>
      <c r="T26" s="4">
        <v>0</v>
      </c>
      <c r="U26" s="4">
        <v>0</v>
      </c>
      <c r="V26" s="4">
        <v>0</v>
      </c>
      <c r="W26">
        <f>UnitUpper!M26</f>
        <v>-1</v>
      </c>
      <c r="X26">
        <f>UnitUpper!E26</f>
        <v>1</v>
      </c>
      <c r="Y26" s="1" t="str">
        <f>UnitUpper!F26</f>
        <v>01000000</v>
      </c>
      <c r="Z26" s="4">
        <v>0</v>
      </c>
      <c r="AA26" s="4">
        <v>0</v>
      </c>
      <c r="AB26">
        <f>UnitUpper!AB26</f>
        <v>497</v>
      </c>
      <c r="AC26">
        <f>UnitUpper!AE26</f>
        <v>45</v>
      </c>
      <c r="AD26">
        <f>UnitUpper!AF26</f>
        <v>45</v>
      </c>
      <c r="AE26">
        <f>UnitUpper!AG26</f>
        <v>45</v>
      </c>
      <c r="AF26">
        <f>UnitUpper!AH26</f>
        <v>45</v>
      </c>
      <c r="AG26">
        <f>UnitUpper!Y26</f>
        <v>0</v>
      </c>
      <c r="AH26">
        <f>UnitUpper!AC26</f>
        <v>49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>
        <f>UnitUpper!L26</f>
        <v>100</v>
      </c>
      <c r="AP26">
        <f>UnitUpper!N26</f>
        <v>2</v>
      </c>
      <c r="AQ26">
        <f>UnitUpper!P26</f>
        <v>-1</v>
      </c>
      <c r="AR26">
        <f>UnitUpper!O26</f>
        <v>100</v>
      </c>
      <c r="AS26">
        <f>UnitUpper!Q26</f>
        <v>-1</v>
      </c>
      <c r="AT26" s="4">
        <v>0</v>
      </c>
      <c r="AU26" s="4">
        <v>0</v>
      </c>
      <c r="AV26">
        <f>UnitUpper!AL26</f>
        <v>4</v>
      </c>
      <c r="AW26">
        <f>UnitUpper!AZ26</f>
        <v>-1</v>
      </c>
      <c r="AX26">
        <f>UnitUpper!BA26</f>
        <v>2</v>
      </c>
      <c r="AY26" s="4">
        <v>0</v>
      </c>
    </row>
    <row r="27" spans="1:51" x14ac:dyDescent="0.25">
      <c r="A27" t="str">
        <f>UnitUpper!A27</f>
        <v>unup025</v>
      </c>
      <c r="B27" t="str">
        <f>UnitUpper!D27</f>
        <v>Slender Armor</v>
      </c>
      <c r="C27" s="1" t="str">
        <f>UnitUpper!B27</f>
        <v>10214</v>
      </c>
      <c r="D27">
        <f>UnitUpper!C27</f>
        <v>100</v>
      </c>
      <c r="E27" s="4" t="s">
        <v>252</v>
      </c>
      <c r="F27" s="4">
        <v>38</v>
      </c>
      <c r="G27">
        <f>UnitUpper!AI27</f>
        <v>0</v>
      </c>
      <c r="H27" s="4">
        <v>0</v>
      </c>
      <c r="I27">
        <f>UnitUpper!AJ27</f>
        <v>7100000</v>
      </c>
      <c r="J27">
        <f>UnitUpper!AK27</f>
        <v>4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24</v>
      </c>
      <c r="T27" s="4">
        <v>0</v>
      </c>
      <c r="U27" s="4">
        <v>0</v>
      </c>
      <c r="V27" s="4">
        <v>0</v>
      </c>
      <c r="W27">
        <f>UnitUpper!M27</f>
        <v>-1</v>
      </c>
      <c r="X27">
        <f>UnitUpper!E27</f>
        <v>1</v>
      </c>
      <c r="Y27" s="1" t="str">
        <f>UnitUpper!F27</f>
        <v>01000000</v>
      </c>
      <c r="Z27" s="4">
        <v>0</v>
      </c>
      <c r="AA27" s="4">
        <v>0</v>
      </c>
      <c r="AB27">
        <f>UnitUpper!AB27</f>
        <v>535</v>
      </c>
      <c r="AC27">
        <f>UnitUpper!AE27</f>
        <v>45</v>
      </c>
      <c r="AD27">
        <f>UnitUpper!AF27</f>
        <v>45</v>
      </c>
      <c r="AE27">
        <f>UnitUpper!AG27</f>
        <v>45</v>
      </c>
      <c r="AF27">
        <f>UnitUpper!AH27</f>
        <v>45</v>
      </c>
      <c r="AG27">
        <f>UnitUpper!Y27</f>
        <v>0</v>
      </c>
      <c r="AH27">
        <f>UnitUpper!AC27</f>
        <v>49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>
        <f>UnitUpper!L27</f>
        <v>100</v>
      </c>
      <c r="AP27">
        <f>UnitUpper!N27</f>
        <v>2</v>
      </c>
      <c r="AQ27">
        <f>UnitUpper!P27</f>
        <v>-1</v>
      </c>
      <c r="AR27">
        <f>UnitUpper!O27</f>
        <v>100</v>
      </c>
      <c r="AS27">
        <f>UnitUpper!Q27</f>
        <v>-1</v>
      </c>
      <c r="AT27" s="4">
        <v>0</v>
      </c>
      <c r="AU27" s="4">
        <v>0</v>
      </c>
      <c r="AV27">
        <f>UnitUpper!AL27</f>
        <v>4</v>
      </c>
      <c r="AW27">
        <f>UnitUpper!AZ27</f>
        <v>-1</v>
      </c>
      <c r="AX27">
        <f>UnitUpper!BA27</f>
        <v>2</v>
      </c>
      <c r="AY27" s="4">
        <v>0</v>
      </c>
    </row>
    <row r="28" spans="1:51" x14ac:dyDescent="0.25">
      <c r="A28" t="str">
        <f>UnitUpper!A28</f>
        <v>unup026</v>
      </c>
      <c r="B28" t="str">
        <f>UnitUpper!D28</f>
        <v>High Density Armor</v>
      </c>
      <c r="C28" s="1" t="str">
        <f>UnitUpper!B28</f>
        <v>10214</v>
      </c>
      <c r="D28">
        <f>UnitUpper!C28</f>
        <v>4</v>
      </c>
      <c r="E28" s="4" t="s">
        <v>252</v>
      </c>
      <c r="F28" s="4">
        <v>38</v>
      </c>
      <c r="G28">
        <f>UnitUpper!AI28</f>
        <v>0</v>
      </c>
      <c r="H28" s="4">
        <v>0</v>
      </c>
      <c r="I28">
        <f>UnitUpper!AJ28</f>
        <v>900000</v>
      </c>
      <c r="J28">
        <f>UnitUpper!AK28</f>
        <v>1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25</v>
      </c>
      <c r="T28" s="4">
        <v>0</v>
      </c>
      <c r="U28" s="4">
        <v>0</v>
      </c>
      <c r="V28" s="4">
        <v>0</v>
      </c>
      <c r="W28">
        <f>UnitUpper!M28</f>
        <v>-1</v>
      </c>
      <c r="X28">
        <f>UnitUpper!E28</f>
        <v>1</v>
      </c>
      <c r="Y28" s="1" t="str">
        <f>UnitUpper!F28</f>
        <v>01000000</v>
      </c>
      <c r="Z28" s="4">
        <v>0</v>
      </c>
      <c r="AA28" s="4">
        <v>0</v>
      </c>
      <c r="AB28">
        <f>UnitUpper!AB28</f>
        <v>1147</v>
      </c>
      <c r="AC28">
        <f>UnitUpper!AE28</f>
        <v>7</v>
      </c>
      <c r="AD28">
        <f>UnitUpper!AF28</f>
        <v>7</v>
      </c>
      <c r="AE28">
        <f>UnitUpper!AG28</f>
        <v>7</v>
      </c>
      <c r="AF28">
        <f>UnitUpper!AH28</f>
        <v>7</v>
      </c>
      <c r="AG28">
        <f>UnitUpper!Y28</f>
        <v>0</v>
      </c>
      <c r="AH28">
        <f>UnitUpper!AC28</f>
        <v>49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>
        <f>UnitUpper!L28</f>
        <v>38</v>
      </c>
      <c r="AP28">
        <f>UnitUpper!N28</f>
        <v>2</v>
      </c>
      <c r="AQ28">
        <f>UnitUpper!P28</f>
        <v>-1</v>
      </c>
      <c r="AR28">
        <f>UnitUpper!O28</f>
        <v>57</v>
      </c>
      <c r="AS28">
        <f>UnitUpper!Q28</f>
        <v>-1</v>
      </c>
      <c r="AT28" s="4">
        <v>0</v>
      </c>
      <c r="AU28" s="4">
        <v>0</v>
      </c>
      <c r="AV28">
        <f>UnitUpper!AL28</f>
        <v>1</v>
      </c>
      <c r="AW28">
        <f>UnitUpper!AZ28</f>
        <v>-1</v>
      </c>
      <c r="AX28">
        <f>UnitUpper!BA28</f>
        <v>2</v>
      </c>
      <c r="AY28" s="4">
        <v>0</v>
      </c>
    </row>
    <row r="29" spans="1:51" x14ac:dyDescent="0.25">
      <c r="A29" t="str">
        <f>UnitUpper!A29</f>
        <v>unup027</v>
      </c>
      <c r="B29" t="str">
        <f>UnitUpper!D29</f>
        <v>High Density Slender Armor</v>
      </c>
      <c r="C29" s="1" t="str">
        <f>UnitUpper!B29</f>
        <v>10214</v>
      </c>
      <c r="D29">
        <f>UnitUpper!C29</f>
        <v>100</v>
      </c>
      <c r="E29" s="4" t="s">
        <v>252</v>
      </c>
      <c r="F29" s="4">
        <v>38</v>
      </c>
      <c r="G29">
        <f>UnitUpper!AI29</f>
        <v>0</v>
      </c>
      <c r="H29" s="4">
        <v>0</v>
      </c>
      <c r="I29">
        <f>UnitUpper!AJ29</f>
        <v>7100000</v>
      </c>
      <c r="J29">
        <f>UnitUpper!AK29</f>
        <v>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26</v>
      </c>
      <c r="T29" s="4">
        <v>0</v>
      </c>
      <c r="U29" s="4">
        <v>0</v>
      </c>
      <c r="V29" s="4">
        <v>0</v>
      </c>
      <c r="W29">
        <f>UnitUpper!M29</f>
        <v>-1</v>
      </c>
      <c r="X29">
        <f>UnitUpper!E29</f>
        <v>1</v>
      </c>
      <c r="Y29" s="1" t="str">
        <f>UnitUpper!F29</f>
        <v>01000000</v>
      </c>
      <c r="Z29" s="4">
        <v>0</v>
      </c>
      <c r="AA29" s="4">
        <v>0</v>
      </c>
      <c r="AB29">
        <f>UnitUpper!AB29</f>
        <v>688</v>
      </c>
      <c r="AC29">
        <f>UnitUpper!AE29</f>
        <v>45</v>
      </c>
      <c r="AD29">
        <f>UnitUpper!AF29</f>
        <v>45</v>
      </c>
      <c r="AE29">
        <f>UnitUpper!AG29</f>
        <v>45</v>
      </c>
      <c r="AF29">
        <f>UnitUpper!AH29</f>
        <v>45</v>
      </c>
      <c r="AG29">
        <f>UnitUpper!Y29</f>
        <v>0</v>
      </c>
      <c r="AH29">
        <f>UnitUpper!AC29</f>
        <v>49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>
        <f>UnitUpper!L29</f>
        <v>100</v>
      </c>
      <c r="AP29">
        <f>UnitUpper!N29</f>
        <v>2</v>
      </c>
      <c r="AQ29">
        <f>UnitUpper!P29</f>
        <v>-1</v>
      </c>
      <c r="AR29">
        <f>UnitUpper!O29</f>
        <v>100</v>
      </c>
      <c r="AS29">
        <f>UnitUpper!Q29</f>
        <v>-1</v>
      </c>
      <c r="AT29" s="4">
        <v>0</v>
      </c>
      <c r="AU29" s="4">
        <v>0</v>
      </c>
      <c r="AV29">
        <f>UnitUpper!AL29</f>
        <v>4</v>
      </c>
      <c r="AW29">
        <f>UnitUpper!AZ29</f>
        <v>-1</v>
      </c>
      <c r="AX29">
        <f>UnitUpper!BA29</f>
        <v>2</v>
      </c>
      <c r="AY29" s="4">
        <v>0</v>
      </c>
    </row>
    <row r="30" spans="1:51" x14ac:dyDescent="0.25">
      <c r="A30" t="str">
        <f>UnitUpper!A30</f>
        <v>unup028</v>
      </c>
      <c r="B30" t="str">
        <f>UnitUpper!D30</f>
        <v>NotUsed</v>
      </c>
      <c r="C30" s="1" t="str">
        <f>UnitUpper!B30</f>
        <v>1021B</v>
      </c>
      <c r="D30">
        <f>UnitUpper!C30</f>
        <v>100</v>
      </c>
      <c r="E30" s="4" t="s">
        <v>252</v>
      </c>
      <c r="F30" s="4">
        <v>38</v>
      </c>
      <c r="G30">
        <f>UnitUpper!AI30</f>
        <v>0</v>
      </c>
      <c r="H30" s="4">
        <v>0</v>
      </c>
      <c r="I30">
        <f>UnitUpper!AJ30</f>
        <v>7100000</v>
      </c>
      <c r="J30">
        <f>UnitUpper!AK30</f>
        <v>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27</v>
      </c>
      <c r="T30" s="4">
        <v>0</v>
      </c>
      <c r="U30" s="4">
        <v>0</v>
      </c>
      <c r="V30" s="4">
        <v>0</v>
      </c>
      <c r="W30">
        <f>UnitUpper!M30</f>
        <v>-1</v>
      </c>
      <c r="X30">
        <f>UnitUpper!E30</f>
        <v>1</v>
      </c>
      <c r="Y30" s="1" t="str">
        <f>UnitUpper!F30</f>
        <v>01000000</v>
      </c>
      <c r="Z30" s="4">
        <v>0</v>
      </c>
      <c r="AA30" s="4">
        <v>0</v>
      </c>
      <c r="AB30">
        <f>UnitUpper!AB30</f>
        <v>76</v>
      </c>
      <c r="AC30">
        <f>UnitUpper!AE30</f>
        <v>45</v>
      </c>
      <c r="AD30">
        <f>UnitUpper!AF30</f>
        <v>45</v>
      </c>
      <c r="AE30">
        <f>UnitUpper!AG30</f>
        <v>45</v>
      </c>
      <c r="AF30">
        <f>UnitUpper!AH30</f>
        <v>45</v>
      </c>
      <c r="AG30">
        <f>UnitUpper!Y30</f>
        <v>0</v>
      </c>
      <c r="AH30">
        <f>UnitUpper!AC30</f>
        <v>49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>
        <f>UnitUpper!L30</f>
        <v>100</v>
      </c>
      <c r="AP30">
        <f>UnitUpper!N30</f>
        <v>2</v>
      </c>
      <c r="AQ30">
        <f>UnitUpper!P30</f>
        <v>-1</v>
      </c>
      <c r="AR30">
        <f>UnitUpper!O30</f>
        <v>100</v>
      </c>
      <c r="AS30">
        <f>UnitUpper!Q30</f>
        <v>-1</v>
      </c>
      <c r="AT30" s="4">
        <v>0</v>
      </c>
      <c r="AU30" s="4">
        <v>0</v>
      </c>
      <c r="AV30">
        <f>UnitUpper!AL30</f>
        <v>4</v>
      </c>
      <c r="AW30">
        <f>UnitUpper!AZ30</f>
        <v>-1</v>
      </c>
      <c r="AX30">
        <f>UnitUpper!BA30</f>
        <v>2</v>
      </c>
      <c r="AY30" s="4">
        <v>0</v>
      </c>
    </row>
    <row r="31" spans="1:51" x14ac:dyDescent="0.25">
      <c r="A31" t="str">
        <f>UnitUpper!A31</f>
        <v>unup029</v>
      </c>
      <c r="B31" t="str">
        <f>UnitUpper!D31</f>
        <v>NotUsed</v>
      </c>
      <c r="C31" s="1" t="str">
        <f>UnitUpper!B31</f>
        <v>1021C</v>
      </c>
      <c r="D31">
        <f>UnitUpper!C31</f>
        <v>100</v>
      </c>
      <c r="E31" s="4" t="s">
        <v>252</v>
      </c>
      <c r="F31" s="4">
        <v>38</v>
      </c>
      <c r="G31">
        <f>UnitUpper!AI31</f>
        <v>0</v>
      </c>
      <c r="H31" s="4">
        <v>0</v>
      </c>
      <c r="I31">
        <f>UnitUpper!AJ31</f>
        <v>7100000</v>
      </c>
      <c r="J31">
        <f>UnitUpper!AK31</f>
        <v>4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28</v>
      </c>
      <c r="T31" s="4">
        <v>0</v>
      </c>
      <c r="U31" s="4">
        <v>0</v>
      </c>
      <c r="V31" s="4">
        <v>0</v>
      </c>
      <c r="W31">
        <f>UnitUpper!M31</f>
        <v>-1</v>
      </c>
      <c r="X31">
        <f>UnitUpper!E31</f>
        <v>1</v>
      </c>
      <c r="Y31" s="1" t="str">
        <f>UnitUpper!F31</f>
        <v>01000000</v>
      </c>
      <c r="Z31" s="4">
        <v>0</v>
      </c>
      <c r="AA31" s="4">
        <v>0</v>
      </c>
      <c r="AB31">
        <f>UnitUpper!AB31</f>
        <v>76</v>
      </c>
      <c r="AC31">
        <f>UnitUpper!AE31</f>
        <v>45</v>
      </c>
      <c r="AD31">
        <f>UnitUpper!AF31</f>
        <v>45</v>
      </c>
      <c r="AE31">
        <f>UnitUpper!AG31</f>
        <v>45</v>
      </c>
      <c r="AF31">
        <f>UnitUpper!AH31</f>
        <v>45</v>
      </c>
      <c r="AG31">
        <f>UnitUpper!Y31</f>
        <v>0</v>
      </c>
      <c r="AH31">
        <f>UnitUpper!AC31</f>
        <v>49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>
        <f>UnitUpper!L31</f>
        <v>100</v>
      </c>
      <c r="AP31">
        <f>UnitUpper!N31</f>
        <v>2</v>
      </c>
      <c r="AQ31">
        <f>UnitUpper!P31</f>
        <v>-1</v>
      </c>
      <c r="AR31">
        <f>UnitUpper!O31</f>
        <v>100</v>
      </c>
      <c r="AS31">
        <f>UnitUpper!Q31</f>
        <v>-1</v>
      </c>
      <c r="AT31" s="4">
        <v>0</v>
      </c>
      <c r="AU31" s="4">
        <v>0</v>
      </c>
      <c r="AV31">
        <f>UnitUpper!AL31</f>
        <v>4</v>
      </c>
      <c r="AW31">
        <f>UnitUpper!AZ31</f>
        <v>-1</v>
      </c>
      <c r="AX31">
        <f>UnitUpper!BA31</f>
        <v>2</v>
      </c>
      <c r="AY31" s="4">
        <v>0</v>
      </c>
    </row>
    <row r="32" spans="1:51" x14ac:dyDescent="0.25">
      <c r="A32" t="str">
        <f>UnitUpper!A32</f>
        <v>unup030</v>
      </c>
      <c r="B32" t="str">
        <f>UnitUpper!D32</f>
        <v>Stock Frame Armor</v>
      </c>
      <c r="C32" s="1" t="str">
        <f>UnitUpper!B32</f>
        <v>1021D</v>
      </c>
      <c r="D32">
        <f>UnitUpper!C32</f>
        <v>5</v>
      </c>
      <c r="E32" s="4" t="s">
        <v>252</v>
      </c>
      <c r="F32" s="4">
        <v>38</v>
      </c>
      <c r="G32">
        <f>UnitUpper!AI32</f>
        <v>0</v>
      </c>
      <c r="H32" s="4">
        <v>0</v>
      </c>
      <c r="I32">
        <f>UnitUpper!AJ32</f>
        <v>1100000</v>
      </c>
      <c r="J32">
        <f>UnitUpper!AK32</f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29</v>
      </c>
      <c r="T32" s="4">
        <v>0</v>
      </c>
      <c r="U32" s="4">
        <v>0</v>
      </c>
      <c r="V32" s="4">
        <v>0</v>
      </c>
      <c r="W32">
        <f>UnitUpper!M32</f>
        <v>-1</v>
      </c>
      <c r="X32">
        <f>UnitUpper!E32</f>
        <v>1</v>
      </c>
      <c r="Y32" s="1" t="str">
        <f>UnitUpper!F32</f>
        <v>01000000</v>
      </c>
      <c r="Z32" s="4">
        <v>0</v>
      </c>
      <c r="AA32" s="4">
        <v>0</v>
      </c>
      <c r="AB32">
        <f>UnitUpper!AB32</f>
        <v>1649</v>
      </c>
      <c r="AC32">
        <f>UnitUpper!AE32</f>
        <v>9</v>
      </c>
      <c r="AD32">
        <f>UnitUpper!AF32</f>
        <v>9</v>
      </c>
      <c r="AE32">
        <f>UnitUpper!AG32</f>
        <v>9</v>
      </c>
      <c r="AF32">
        <f>UnitUpper!AH32</f>
        <v>9</v>
      </c>
      <c r="AG32">
        <f>UnitUpper!Y32</f>
        <v>0</v>
      </c>
      <c r="AH32">
        <f>UnitUpper!AC32</f>
        <v>49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>
        <f>UnitUpper!L32</f>
        <v>40</v>
      </c>
      <c r="AP32">
        <f>UnitUpper!N32</f>
        <v>2</v>
      </c>
      <c r="AQ32">
        <f>UnitUpper!P32</f>
        <v>-1</v>
      </c>
      <c r="AR32">
        <f>UnitUpper!O32</f>
        <v>70</v>
      </c>
      <c r="AS32">
        <f>UnitUpper!Q32</f>
        <v>-1</v>
      </c>
      <c r="AT32" s="4">
        <v>0</v>
      </c>
      <c r="AU32" s="4">
        <v>0</v>
      </c>
      <c r="AV32">
        <f>UnitUpper!AL32</f>
        <v>1</v>
      </c>
      <c r="AW32">
        <f>UnitUpper!AZ32</f>
        <v>-1</v>
      </c>
      <c r="AX32">
        <f>UnitUpper!BA32</f>
        <v>2</v>
      </c>
      <c r="AY32" s="4">
        <v>0</v>
      </c>
    </row>
    <row r="33" spans="1:51" x14ac:dyDescent="0.25">
      <c r="A33" t="str">
        <f>UnitUpper!A33</f>
        <v>unup031</v>
      </c>
      <c r="B33" t="str">
        <f>UnitUpper!D33</f>
        <v>NotUsed</v>
      </c>
      <c r="C33" s="1" t="str">
        <f>UnitUpper!B33</f>
        <v>1021E</v>
      </c>
      <c r="D33">
        <f>UnitUpper!C33</f>
        <v>100</v>
      </c>
      <c r="E33" s="4" t="s">
        <v>252</v>
      </c>
      <c r="F33" s="4">
        <v>38</v>
      </c>
      <c r="G33">
        <f>UnitUpper!AI33</f>
        <v>0</v>
      </c>
      <c r="H33" s="4">
        <v>0</v>
      </c>
      <c r="I33">
        <f>UnitUpper!AJ33</f>
        <v>7100000</v>
      </c>
      <c r="J33">
        <f>UnitUpper!AK33</f>
        <v>4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30</v>
      </c>
      <c r="T33" s="4">
        <v>0</v>
      </c>
      <c r="U33" s="4">
        <v>0</v>
      </c>
      <c r="V33" s="4">
        <v>0</v>
      </c>
      <c r="W33">
        <f>UnitUpper!M33</f>
        <v>-1</v>
      </c>
      <c r="X33">
        <f>UnitUpper!E33</f>
        <v>1</v>
      </c>
      <c r="Y33" s="1" t="str">
        <f>UnitUpper!F33</f>
        <v>01000000</v>
      </c>
      <c r="Z33" s="4">
        <v>0</v>
      </c>
      <c r="AA33" s="4">
        <v>0</v>
      </c>
      <c r="AB33">
        <f>UnitUpper!AB33</f>
        <v>2138</v>
      </c>
      <c r="AC33">
        <f>UnitUpper!AE33</f>
        <v>45</v>
      </c>
      <c r="AD33">
        <f>UnitUpper!AF33</f>
        <v>45</v>
      </c>
      <c r="AE33">
        <f>UnitUpper!AG33</f>
        <v>45</v>
      </c>
      <c r="AF33">
        <f>UnitUpper!AH33</f>
        <v>45</v>
      </c>
      <c r="AG33">
        <f>UnitUpper!Y33</f>
        <v>0</v>
      </c>
      <c r="AH33">
        <f>UnitUpper!AC33</f>
        <v>49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>
        <f>UnitUpper!L33</f>
        <v>100</v>
      </c>
      <c r="AP33">
        <f>UnitUpper!N33</f>
        <v>2</v>
      </c>
      <c r="AQ33">
        <f>UnitUpper!P33</f>
        <v>-1</v>
      </c>
      <c r="AR33">
        <f>UnitUpper!O33</f>
        <v>100</v>
      </c>
      <c r="AS33">
        <f>UnitUpper!Q33</f>
        <v>-1</v>
      </c>
      <c r="AT33" s="4">
        <v>0</v>
      </c>
      <c r="AU33" s="4">
        <v>0</v>
      </c>
      <c r="AV33">
        <f>UnitUpper!AL33</f>
        <v>4</v>
      </c>
      <c r="AW33">
        <f>UnitUpper!AZ33</f>
        <v>-1</v>
      </c>
      <c r="AX33">
        <f>UnitUpper!BA33</f>
        <v>2</v>
      </c>
      <c r="AY33" s="4">
        <v>0</v>
      </c>
    </row>
    <row r="34" spans="1:51" x14ac:dyDescent="0.25">
      <c r="A34" t="str">
        <f>UnitUpper!A34</f>
        <v>unup032</v>
      </c>
      <c r="B34" t="str">
        <f>UnitUpper!D34</f>
        <v>High Density Armor</v>
      </c>
      <c r="C34" s="1" t="str">
        <f>UnitUpper!B34</f>
        <v>1021D</v>
      </c>
      <c r="D34">
        <f>UnitUpper!C34</f>
        <v>5</v>
      </c>
      <c r="E34" s="4" t="s">
        <v>252</v>
      </c>
      <c r="F34" s="4">
        <v>38</v>
      </c>
      <c r="G34">
        <f>UnitUpper!AI34</f>
        <v>0</v>
      </c>
      <c r="H34" s="4">
        <v>0</v>
      </c>
      <c r="I34">
        <f>UnitUpper!AJ34</f>
        <v>3727272</v>
      </c>
      <c r="J34">
        <f>UnitUpper!AK34</f>
        <v>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31</v>
      </c>
      <c r="T34" s="4">
        <v>0</v>
      </c>
      <c r="U34" s="4">
        <v>0</v>
      </c>
      <c r="V34" s="4">
        <v>0</v>
      </c>
      <c r="W34">
        <f>UnitUpper!M34</f>
        <v>-1</v>
      </c>
      <c r="X34">
        <f>UnitUpper!E34</f>
        <v>1</v>
      </c>
      <c r="Y34" s="1" t="str">
        <f>UnitUpper!F34</f>
        <v>01000000</v>
      </c>
      <c r="Z34" s="4">
        <v>0</v>
      </c>
      <c r="AA34" s="4">
        <v>0</v>
      </c>
      <c r="AB34">
        <f>UnitUpper!AB34</f>
        <v>2591</v>
      </c>
      <c r="AC34">
        <f>UnitUpper!AE34</f>
        <v>13</v>
      </c>
      <c r="AD34">
        <f>UnitUpper!AF34</f>
        <v>13</v>
      </c>
      <c r="AE34">
        <f>UnitUpper!AG34</f>
        <v>13</v>
      </c>
      <c r="AF34">
        <f>UnitUpper!AH34</f>
        <v>13</v>
      </c>
      <c r="AG34">
        <f>UnitUpper!Y34</f>
        <v>0</v>
      </c>
      <c r="AH34">
        <f>UnitUpper!AC34</f>
        <v>49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>
        <f>UnitUpper!L34</f>
        <v>48</v>
      </c>
      <c r="AP34">
        <f>UnitUpper!N34</f>
        <v>2</v>
      </c>
      <c r="AQ34">
        <f>UnitUpper!P34</f>
        <v>-1</v>
      </c>
      <c r="AR34">
        <f>UnitUpper!O34</f>
        <v>95</v>
      </c>
      <c r="AS34">
        <f>UnitUpper!Q34</f>
        <v>-1</v>
      </c>
      <c r="AT34" s="4">
        <v>0</v>
      </c>
      <c r="AU34" s="4">
        <v>0</v>
      </c>
      <c r="AV34">
        <f>UnitUpper!AL34</f>
        <v>1</v>
      </c>
      <c r="AW34">
        <f>UnitUpper!AZ34</f>
        <v>-1</v>
      </c>
      <c r="AX34">
        <f>UnitUpper!BA34</f>
        <v>2</v>
      </c>
      <c r="AY34" s="4">
        <v>0</v>
      </c>
    </row>
    <row r="35" spans="1:51" x14ac:dyDescent="0.25">
      <c r="A35" t="str">
        <f>UnitUpper!A35</f>
        <v>unup033</v>
      </c>
      <c r="B35" t="str">
        <f>UnitUpper!D35</f>
        <v>HA Siege Armor</v>
      </c>
      <c r="C35" s="1" t="str">
        <f>UnitUpper!B35</f>
        <v>10220</v>
      </c>
      <c r="D35">
        <f>UnitUpper!C35</f>
        <v>6</v>
      </c>
      <c r="E35" s="4" t="s">
        <v>252</v>
      </c>
      <c r="F35" s="4">
        <v>38</v>
      </c>
      <c r="G35">
        <f>UnitUpper!AI35</f>
        <v>0</v>
      </c>
      <c r="H35" s="4">
        <v>0</v>
      </c>
      <c r="I35">
        <f>UnitUpper!AJ35</f>
        <v>2100000</v>
      </c>
      <c r="J35">
        <f>UnitUpper!AK35</f>
        <v>2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32</v>
      </c>
      <c r="T35" s="4">
        <v>0</v>
      </c>
      <c r="U35" s="4">
        <v>0</v>
      </c>
      <c r="V35" s="4">
        <v>0</v>
      </c>
      <c r="W35">
        <f>UnitUpper!M35</f>
        <v>-1</v>
      </c>
      <c r="X35">
        <f>UnitUpper!E35</f>
        <v>1</v>
      </c>
      <c r="Y35" s="1" t="str">
        <f>UnitUpper!F35</f>
        <v>01000000</v>
      </c>
      <c r="Z35" s="4">
        <v>0</v>
      </c>
      <c r="AA35" s="4">
        <v>0</v>
      </c>
      <c r="AB35">
        <f>UnitUpper!AB35</f>
        <v>3469</v>
      </c>
      <c r="AC35">
        <f>UnitUpper!AE35</f>
        <v>15</v>
      </c>
      <c r="AD35">
        <f>UnitUpper!AF35</f>
        <v>15</v>
      </c>
      <c r="AE35">
        <f>UnitUpper!AG35</f>
        <v>15</v>
      </c>
      <c r="AF35">
        <f>UnitUpper!AH35</f>
        <v>15</v>
      </c>
      <c r="AG35">
        <f>UnitUpper!Y35</f>
        <v>0</v>
      </c>
      <c r="AH35">
        <f>UnitUpper!AC35</f>
        <v>49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>
        <f>UnitUpper!L35</f>
        <v>51</v>
      </c>
      <c r="AP35">
        <f>UnitUpper!N35</f>
        <v>2</v>
      </c>
      <c r="AQ35">
        <f>UnitUpper!P35</f>
        <v>-1</v>
      </c>
      <c r="AR35">
        <f>UnitUpper!O35</f>
        <v>99</v>
      </c>
      <c r="AS35">
        <f>UnitUpper!Q35</f>
        <v>-1</v>
      </c>
      <c r="AT35" s="4">
        <v>0</v>
      </c>
      <c r="AU35" s="4">
        <v>0</v>
      </c>
      <c r="AV35">
        <f>UnitUpper!AL35</f>
        <v>2</v>
      </c>
      <c r="AW35">
        <f>UnitUpper!AZ35</f>
        <v>-1</v>
      </c>
      <c r="AX35">
        <f>UnitUpper!BA35</f>
        <v>2</v>
      </c>
      <c r="AY35" s="4">
        <v>0</v>
      </c>
    </row>
    <row r="36" spans="1:51" x14ac:dyDescent="0.25">
      <c r="A36" t="str">
        <f>UnitUpper!A36</f>
        <v>unup034</v>
      </c>
      <c r="B36" t="str">
        <f>UnitUpper!D36</f>
        <v>VR Strike Armor</v>
      </c>
      <c r="C36" s="1" t="str">
        <f>UnitUpper!B36</f>
        <v>10220</v>
      </c>
      <c r="D36">
        <f>UnitUpper!C36</f>
        <v>6</v>
      </c>
      <c r="E36" s="4" t="s">
        <v>252</v>
      </c>
      <c r="F36" s="4">
        <v>38</v>
      </c>
      <c r="G36">
        <f>UnitUpper!AI36</f>
        <v>0</v>
      </c>
      <c r="H36" s="4">
        <v>0</v>
      </c>
      <c r="I36">
        <f>UnitUpper!AJ36</f>
        <v>8400000</v>
      </c>
      <c r="J36">
        <f>UnitUpper!AK36</f>
        <v>5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33</v>
      </c>
      <c r="T36" s="4">
        <v>0</v>
      </c>
      <c r="U36" s="4">
        <v>0</v>
      </c>
      <c r="V36" s="4">
        <v>0</v>
      </c>
      <c r="W36">
        <f>UnitUpper!M36</f>
        <v>-1</v>
      </c>
      <c r="X36">
        <f>UnitUpper!E36</f>
        <v>1</v>
      </c>
      <c r="Y36" s="1" t="str">
        <f>UnitUpper!F36</f>
        <v>01000000</v>
      </c>
      <c r="Z36" s="4">
        <v>0</v>
      </c>
      <c r="AA36" s="4">
        <v>0</v>
      </c>
      <c r="AB36">
        <f>UnitUpper!AB36</f>
        <v>4163</v>
      </c>
      <c r="AC36">
        <f>UnitUpper!AE36</f>
        <v>16</v>
      </c>
      <c r="AD36">
        <f>UnitUpper!AF36</f>
        <v>16</v>
      </c>
      <c r="AE36">
        <f>UnitUpper!AG36</f>
        <v>16</v>
      </c>
      <c r="AF36">
        <f>UnitUpper!AH36</f>
        <v>16</v>
      </c>
      <c r="AG36">
        <f>UnitUpper!Y36</f>
        <v>0</v>
      </c>
      <c r="AH36">
        <f>UnitUpper!AC36</f>
        <v>49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>
        <f>UnitUpper!L36</f>
        <v>51</v>
      </c>
      <c r="AP36">
        <f>UnitUpper!N36</f>
        <v>2</v>
      </c>
      <c r="AQ36">
        <f>UnitUpper!P36</f>
        <v>-1</v>
      </c>
      <c r="AR36">
        <f>UnitUpper!O36</f>
        <v>99</v>
      </c>
      <c r="AS36">
        <f>UnitUpper!Q36</f>
        <v>-1</v>
      </c>
      <c r="AT36" s="4">
        <v>0</v>
      </c>
      <c r="AU36" s="4">
        <v>0</v>
      </c>
      <c r="AV36">
        <f>UnitUpper!AL36</f>
        <v>5</v>
      </c>
      <c r="AW36">
        <f>UnitUpper!AZ36</f>
        <v>-1</v>
      </c>
      <c r="AX36">
        <f>UnitUpper!BA36</f>
        <v>2</v>
      </c>
      <c r="AY36" s="4">
        <v>0</v>
      </c>
    </row>
    <row r="37" spans="1:51" x14ac:dyDescent="0.25">
      <c r="A37" t="str">
        <f>UnitUpper!A37</f>
        <v>unup035</v>
      </c>
      <c r="B37" t="str">
        <f>UnitUpper!D37</f>
        <v>Artillary Protector</v>
      </c>
      <c r="C37" s="1" t="str">
        <f>UnitUpper!B37</f>
        <v>10220</v>
      </c>
      <c r="D37">
        <f>UnitUpper!C37</f>
        <v>6</v>
      </c>
      <c r="E37" s="4" t="s">
        <v>252</v>
      </c>
      <c r="F37" s="4">
        <v>38</v>
      </c>
      <c r="G37">
        <f>UnitUpper!AI37</f>
        <v>0</v>
      </c>
      <c r="H37" s="4">
        <v>0</v>
      </c>
      <c r="I37">
        <f>UnitUpper!AJ37</f>
        <v>18900000</v>
      </c>
      <c r="J37">
        <f>UnitUpper!AK37</f>
        <v>10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34</v>
      </c>
      <c r="T37" s="4">
        <v>0</v>
      </c>
      <c r="U37" s="4">
        <v>0</v>
      </c>
      <c r="V37" s="4">
        <v>0</v>
      </c>
      <c r="W37">
        <f>UnitUpper!M37</f>
        <v>-1</v>
      </c>
      <c r="X37">
        <f>UnitUpper!E37</f>
        <v>1</v>
      </c>
      <c r="Y37" s="1" t="str">
        <f>UnitUpper!F37</f>
        <v>01000000</v>
      </c>
      <c r="Z37" s="4">
        <v>0</v>
      </c>
      <c r="AA37" s="4">
        <v>0</v>
      </c>
      <c r="AB37">
        <f>UnitUpper!AB37</f>
        <v>5411</v>
      </c>
      <c r="AC37">
        <f>UnitUpper!AE37</f>
        <v>18</v>
      </c>
      <c r="AD37">
        <f>UnitUpper!AF37</f>
        <v>18</v>
      </c>
      <c r="AE37">
        <f>UnitUpper!AG37</f>
        <v>18</v>
      </c>
      <c r="AF37">
        <f>UnitUpper!AH37</f>
        <v>18</v>
      </c>
      <c r="AG37">
        <f>UnitUpper!Y37</f>
        <v>0</v>
      </c>
      <c r="AH37">
        <f>UnitUpper!AC37</f>
        <v>49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>
        <f>UnitUpper!L37</f>
        <v>51</v>
      </c>
      <c r="AP37">
        <f>UnitUpper!N37</f>
        <v>2</v>
      </c>
      <c r="AQ37">
        <f>UnitUpper!P37</f>
        <v>-1</v>
      </c>
      <c r="AR37">
        <f>UnitUpper!O37</f>
        <v>99</v>
      </c>
      <c r="AS37">
        <f>UnitUpper!Q37</f>
        <v>-1</v>
      </c>
      <c r="AT37" s="4">
        <v>0</v>
      </c>
      <c r="AU37" s="4">
        <v>0</v>
      </c>
      <c r="AV37">
        <f>UnitUpper!AL37</f>
        <v>10</v>
      </c>
      <c r="AW37">
        <f>UnitUpper!AZ37</f>
        <v>-1</v>
      </c>
      <c r="AX37">
        <f>UnitUpper!BA37</f>
        <v>2</v>
      </c>
      <c r="AY37" s="4">
        <v>0</v>
      </c>
    </row>
    <row r="38" spans="1:51" x14ac:dyDescent="0.25">
      <c r="A38" t="str">
        <f>UnitUpper!A38</f>
        <v>unup036</v>
      </c>
      <c r="B38" t="str">
        <f>UnitUpper!D38</f>
        <v>AAA Voltage Armor</v>
      </c>
      <c r="C38" s="1" t="str">
        <f>UnitUpper!B38</f>
        <v>10226</v>
      </c>
      <c r="D38">
        <f>UnitUpper!C38</f>
        <v>8</v>
      </c>
      <c r="E38" s="4" t="s">
        <v>252</v>
      </c>
      <c r="F38" s="4">
        <v>38</v>
      </c>
      <c r="G38">
        <f>UnitUpper!AI38</f>
        <v>0</v>
      </c>
      <c r="H38" s="4">
        <v>0</v>
      </c>
      <c r="I38">
        <f>UnitUpper!AJ38</f>
        <v>2100000</v>
      </c>
      <c r="J38">
        <f>UnitUpper!AK38</f>
        <v>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35</v>
      </c>
      <c r="T38" s="4">
        <v>0</v>
      </c>
      <c r="U38" s="4">
        <v>0</v>
      </c>
      <c r="V38" s="4">
        <v>0</v>
      </c>
      <c r="W38">
        <f>UnitUpper!M38</f>
        <v>-1</v>
      </c>
      <c r="X38">
        <f>UnitUpper!E38</f>
        <v>1</v>
      </c>
      <c r="Y38" s="1" t="str">
        <f>UnitUpper!F38</f>
        <v>01000000</v>
      </c>
      <c r="Z38" s="4">
        <v>0</v>
      </c>
      <c r="AA38" s="4">
        <v>0</v>
      </c>
      <c r="AB38">
        <f>UnitUpper!AB38</f>
        <v>6000</v>
      </c>
      <c r="AC38">
        <f>UnitUpper!AE38</f>
        <v>18</v>
      </c>
      <c r="AD38">
        <f>UnitUpper!AF38</f>
        <v>18</v>
      </c>
      <c r="AE38">
        <f>UnitUpper!AG38</f>
        <v>18</v>
      </c>
      <c r="AF38">
        <f>UnitUpper!AH38</f>
        <v>18</v>
      </c>
      <c r="AG38">
        <f>UnitUpper!Y38</f>
        <v>0</v>
      </c>
      <c r="AH38">
        <f>UnitUpper!AC38</f>
        <v>49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>
        <f>UnitUpper!L38</f>
        <v>52</v>
      </c>
      <c r="AP38">
        <f>UnitUpper!N38</f>
        <v>2</v>
      </c>
      <c r="AQ38">
        <f>UnitUpper!P38</f>
        <v>-1</v>
      </c>
      <c r="AR38">
        <f>UnitUpper!O38</f>
        <v>99</v>
      </c>
      <c r="AS38">
        <f>UnitUpper!Q38</f>
        <v>-1</v>
      </c>
      <c r="AT38" s="4">
        <v>0</v>
      </c>
      <c r="AU38" s="4">
        <v>0</v>
      </c>
      <c r="AV38">
        <f>UnitUpper!AL38</f>
        <v>2</v>
      </c>
      <c r="AW38">
        <f>UnitUpper!AZ38</f>
        <v>-1</v>
      </c>
      <c r="AX38">
        <f>UnitUpper!BA38</f>
        <v>2</v>
      </c>
      <c r="AY38" s="4">
        <v>0</v>
      </c>
    </row>
    <row r="39" spans="1:51" x14ac:dyDescent="0.25">
      <c r="A39" t="str">
        <f>UnitUpper!A39</f>
        <v>unup037</v>
      </c>
      <c r="B39" t="str">
        <f>UnitUpper!D39</f>
        <v>A S Torr Core</v>
      </c>
      <c r="C39" s="1" t="str">
        <f>UnitUpper!B39</f>
        <v>10226</v>
      </c>
      <c r="D39">
        <f>UnitUpper!C39</f>
        <v>8</v>
      </c>
      <c r="E39" s="4" t="s">
        <v>252</v>
      </c>
      <c r="F39" s="4">
        <v>38</v>
      </c>
      <c r="G39">
        <f>UnitUpper!AI39</f>
        <v>0</v>
      </c>
      <c r="H39" s="4">
        <v>0</v>
      </c>
      <c r="I39">
        <f>UnitUpper!AJ39</f>
        <v>8400000</v>
      </c>
      <c r="J39">
        <f>UnitUpper!AK39</f>
        <v>5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36</v>
      </c>
      <c r="T39" s="4">
        <v>0</v>
      </c>
      <c r="U39" s="4">
        <v>0</v>
      </c>
      <c r="V39" s="4">
        <v>0</v>
      </c>
      <c r="W39">
        <f>UnitUpper!M39</f>
        <v>-1</v>
      </c>
      <c r="X39">
        <f>UnitUpper!E39</f>
        <v>1</v>
      </c>
      <c r="Y39" s="1" t="str">
        <f>UnitUpper!F39</f>
        <v>01000000</v>
      </c>
      <c r="Z39" s="4">
        <v>0</v>
      </c>
      <c r="AA39" s="4">
        <v>0</v>
      </c>
      <c r="AB39">
        <f>UnitUpper!AB39</f>
        <v>6800</v>
      </c>
      <c r="AC39">
        <f>UnitUpper!AE39</f>
        <v>19</v>
      </c>
      <c r="AD39">
        <f>UnitUpper!AF39</f>
        <v>19</v>
      </c>
      <c r="AE39">
        <f>UnitUpper!AG39</f>
        <v>19</v>
      </c>
      <c r="AF39">
        <f>UnitUpper!AH39</f>
        <v>19</v>
      </c>
      <c r="AG39">
        <f>UnitUpper!Y39</f>
        <v>0</v>
      </c>
      <c r="AH39">
        <f>UnitUpper!AC39</f>
        <v>49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>
        <f>UnitUpper!L39</f>
        <v>53</v>
      </c>
      <c r="AP39">
        <f>UnitUpper!N39</f>
        <v>2</v>
      </c>
      <c r="AQ39">
        <f>UnitUpper!P39</f>
        <v>-1</v>
      </c>
      <c r="AR39">
        <f>UnitUpper!O39</f>
        <v>99</v>
      </c>
      <c r="AS39">
        <f>UnitUpper!Q39</f>
        <v>-1</v>
      </c>
      <c r="AT39" s="4">
        <v>0</v>
      </c>
      <c r="AU39" s="4">
        <v>0</v>
      </c>
      <c r="AV39">
        <f>UnitUpper!AL39</f>
        <v>5</v>
      </c>
      <c r="AW39">
        <f>UnitUpper!AZ39</f>
        <v>-1</v>
      </c>
      <c r="AX39">
        <f>UnitUpper!BA39</f>
        <v>2</v>
      </c>
      <c r="AY39" s="4">
        <v>0</v>
      </c>
    </row>
    <row r="40" spans="1:51" x14ac:dyDescent="0.25">
      <c r="A40" t="str">
        <f>UnitUpper!A40</f>
        <v>unup038</v>
      </c>
      <c r="B40" t="str">
        <f>UnitUpper!D40</f>
        <v>Judgement Core</v>
      </c>
      <c r="C40" s="1" t="str">
        <f>UnitUpper!B40</f>
        <v>10226</v>
      </c>
      <c r="D40">
        <f>UnitUpper!C40</f>
        <v>8</v>
      </c>
      <c r="E40" s="4" t="s">
        <v>252</v>
      </c>
      <c r="F40" s="4">
        <v>38</v>
      </c>
      <c r="G40">
        <f>UnitUpper!AI40</f>
        <v>0</v>
      </c>
      <c r="H40" s="4">
        <v>0</v>
      </c>
      <c r="I40">
        <f>UnitUpper!AJ40</f>
        <v>18900000</v>
      </c>
      <c r="J40">
        <f>UnitUpper!AK40</f>
        <v>10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37</v>
      </c>
      <c r="T40" s="4">
        <v>0</v>
      </c>
      <c r="U40" s="4">
        <v>0</v>
      </c>
      <c r="V40" s="4">
        <v>0</v>
      </c>
      <c r="W40">
        <f>UnitUpper!M40</f>
        <v>-1</v>
      </c>
      <c r="X40">
        <f>UnitUpper!E40</f>
        <v>1</v>
      </c>
      <c r="Y40" s="1" t="str">
        <f>UnitUpper!F40</f>
        <v>01000000</v>
      </c>
      <c r="Z40" s="4">
        <v>0</v>
      </c>
      <c r="AA40" s="4">
        <v>0</v>
      </c>
      <c r="AB40">
        <f>UnitUpper!AB40</f>
        <v>7500</v>
      </c>
      <c r="AC40">
        <f>UnitUpper!AE40</f>
        <v>21</v>
      </c>
      <c r="AD40">
        <f>UnitUpper!AF40</f>
        <v>21</v>
      </c>
      <c r="AE40">
        <f>UnitUpper!AG40</f>
        <v>21</v>
      </c>
      <c r="AF40">
        <f>UnitUpper!AH40</f>
        <v>21</v>
      </c>
      <c r="AG40">
        <f>UnitUpper!Y40</f>
        <v>0</v>
      </c>
      <c r="AH40">
        <f>UnitUpper!AC40</f>
        <v>49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>
        <f>UnitUpper!L40</f>
        <v>54</v>
      </c>
      <c r="AP40">
        <f>UnitUpper!N40</f>
        <v>2</v>
      </c>
      <c r="AQ40">
        <f>UnitUpper!P40</f>
        <v>-1</v>
      </c>
      <c r="AR40">
        <f>UnitUpper!O40</f>
        <v>99</v>
      </c>
      <c r="AS40">
        <f>UnitUpper!Q40</f>
        <v>-1</v>
      </c>
      <c r="AT40" s="4">
        <v>0</v>
      </c>
      <c r="AU40" s="4">
        <v>0</v>
      </c>
      <c r="AV40">
        <f>UnitUpper!AL40</f>
        <v>10</v>
      </c>
      <c r="AW40">
        <f>UnitUpper!AZ40</f>
        <v>-1</v>
      </c>
      <c r="AX40">
        <f>UnitUpper!BA40</f>
        <v>2</v>
      </c>
      <c r="AY40" s="4">
        <v>0</v>
      </c>
    </row>
    <row r="41" spans="1:51" x14ac:dyDescent="0.25">
      <c r="A41" t="str">
        <f>UnitUpper!A41</f>
        <v>unup039</v>
      </c>
      <c r="B41" t="str">
        <f>UnitUpper!D41</f>
        <v>Alter Core</v>
      </c>
      <c r="C41" s="1" t="str">
        <f>UnitUpper!B41</f>
        <v>1022D</v>
      </c>
      <c r="D41">
        <f>UnitUpper!C41</f>
        <v>16</v>
      </c>
      <c r="E41" s="4" t="s">
        <v>252</v>
      </c>
      <c r="F41" s="4">
        <v>38</v>
      </c>
      <c r="G41">
        <f>UnitUpper!AI41</f>
        <v>0</v>
      </c>
      <c r="H41" s="4">
        <v>0</v>
      </c>
      <c r="I41">
        <f>UnitUpper!AJ41</f>
        <v>30240000</v>
      </c>
      <c r="J41">
        <f>UnitUpper!AK41</f>
        <v>3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38</v>
      </c>
      <c r="T41" s="4">
        <v>0</v>
      </c>
      <c r="U41" s="4">
        <v>0</v>
      </c>
      <c r="V41" s="4">
        <v>0</v>
      </c>
      <c r="W41">
        <f>UnitUpper!M41</f>
        <v>-1</v>
      </c>
      <c r="X41">
        <f>UnitUpper!E41</f>
        <v>1</v>
      </c>
      <c r="Y41" s="1" t="str">
        <f>UnitUpper!F41</f>
        <v>01000000</v>
      </c>
      <c r="Z41" s="4">
        <v>0</v>
      </c>
      <c r="AA41" s="4">
        <v>0</v>
      </c>
      <c r="AB41">
        <f>UnitUpper!AB41</f>
        <v>9000</v>
      </c>
      <c r="AC41">
        <f>UnitUpper!AE41</f>
        <v>23</v>
      </c>
      <c r="AD41">
        <f>UnitUpper!AF41</f>
        <v>23</v>
      </c>
      <c r="AE41">
        <f>UnitUpper!AG41</f>
        <v>23</v>
      </c>
      <c r="AF41">
        <f>UnitUpper!AH41</f>
        <v>23</v>
      </c>
      <c r="AG41">
        <f>UnitUpper!Y41</f>
        <v>0</v>
      </c>
      <c r="AH41">
        <f>UnitUpper!AC41</f>
        <v>49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>
        <f>UnitUpper!L41</f>
        <v>57</v>
      </c>
      <c r="AP41">
        <f>UnitUpper!N41</f>
        <v>2</v>
      </c>
      <c r="AQ41">
        <f>UnitUpper!P41</f>
        <v>-1</v>
      </c>
      <c r="AR41">
        <f>UnitUpper!O41</f>
        <v>99</v>
      </c>
      <c r="AS41">
        <f>UnitUpper!Q41</f>
        <v>-1</v>
      </c>
      <c r="AT41" s="4">
        <v>0</v>
      </c>
      <c r="AU41" s="4">
        <v>0</v>
      </c>
      <c r="AV41">
        <f>UnitUpper!AL41</f>
        <v>12</v>
      </c>
      <c r="AW41">
        <f>UnitUpper!AZ41</f>
        <v>-1</v>
      </c>
      <c r="AX41">
        <f>UnitUpper!BA41</f>
        <v>2</v>
      </c>
      <c r="AY41" s="4">
        <v>0</v>
      </c>
    </row>
    <row r="42" spans="1:51" x14ac:dyDescent="0.25">
      <c r="A42" t="str">
        <f>UnitUpper!A42</f>
        <v>unup040</v>
      </c>
      <c r="B42" t="str">
        <f>UnitUpper!D42</f>
        <v>Irregular Core</v>
      </c>
      <c r="C42" s="1" t="str">
        <f>UnitUpper!B42</f>
        <v>1022D</v>
      </c>
      <c r="D42">
        <f>UnitUpper!C42</f>
        <v>16</v>
      </c>
      <c r="E42" s="4" t="s">
        <v>252</v>
      </c>
      <c r="F42" s="4">
        <v>38</v>
      </c>
      <c r="G42">
        <f>UnitUpper!AI42</f>
        <v>0</v>
      </c>
      <c r="H42" s="4">
        <v>0</v>
      </c>
      <c r="I42">
        <f>UnitUpper!AJ42</f>
        <v>37800000</v>
      </c>
      <c r="J42">
        <f>UnitUpper!AK42</f>
        <v>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39</v>
      </c>
      <c r="T42" s="4">
        <v>0</v>
      </c>
      <c r="U42" s="4">
        <v>0</v>
      </c>
      <c r="V42" s="4">
        <v>0</v>
      </c>
      <c r="W42">
        <f>UnitUpper!M42</f>
        <v>-1</v>
      </c>
      <c r="X42">
        <f>UnitUpper!E42</f>
        <v>1</v>
      </c>
      <c r="Y42" s="1" t="str">
        <f>UnitUpper!F42</f>
        <v>01000000</v>
      </c>
      <c r="Z42" s="4">
        <v>0</v>
      </c>
      <c r="AA42" s="4">
        <v>0</v>
      </c>
      <c r="AB42">
        <f>UnitUpper!AB42</f>
        <v>10800</v>
      </c>
      <c r="AC42">
        <f>UnitUpper!AE42</f>
        <v>25</v>
      </c>
      <c r="AD42">
        <f>UnitUpper!AF42</f>
        <v>25</v>
      </c>
      <c r="AE42">
        <f>UnitUpper!AG42</f>
        <v>25</v>
      </c>
      <c r="AF42">
        <f>UnitUpper!AH42</f>
        <v>25</v>
      </c>
      <c r="AG42">
        <f>UnitUpper!Y42</f>
        <v>0</v>
      </c>
      <c r="AH42">
        <f>UnitUpper!AC42</f>
        <v>49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>
        <f>UnitUpper!L42</f>
        <v>62</v>
      </c>
      <c r="AP42">
        <f>UnitUpper!N42</f>
        <v>2</v>
      </c>
      <c r="AQ42">
        <f>UnitUpper!P42</f>
        <v>-1</v>
      </c>
      <c r="AR42">
        <f>UnitUpper!O42</f>
        <v>99</v>
      </c>
      <c r="AS42">
        <f>UnitUpper!Q42</f>
        <v>-1</v>
      </c>
      <c r="AT42" s="4">
        <v>0</v>
      </c>
      <c r="AU42" s="4">
        <v>0</v>
      </c>
      <c r="AV42">
        <f>UnitUpper!AL42</f>
        <v>15</v>
      </c>
      <c r="AW42">
        <f>UnitUpper!AZ42</f>
        <v>-1</v>
      </c>
      <c r="AX42">
        <f>UnitUpper!BA42</f>
        <v>2</v>
      </c>
      <c r="AY42" s="4">
        <v>0</v>
      </c>
    </row>
    <row r="43" spans="1:51" x14ac:dyDescent="0.25">
      <c r="A43" t="str">
        <f>UnitUpper!A43</f>
        <v>unup041</v>
      </c>
      <c r="B43" t="str">
        <f>UnitUpper!D43</f>
        <v>NotUsed</v>
      </c>
      <c r="C43" s="1" t="str">
        <f>UnitUpper!B43</f>
        <v>20228</v>
      </c>
      <c r="D43">
        <f>UnitUpper!C43</f>
        <v>100</v>
      </c>
      <c r="E43" s="4" t="s">
        <v>252</v>
      </c>
      <c r="F43" s="4">
        <v>38</v>
      </c>
      <c r="G43">
        <f>UnitUpper!AI43</f>
        <v>0</v>
      </c>
      <c r="H43" s="4">
        <v>0</v>
      </c>
      <c r="I43">
        <f>UnitUpper!AJ43</f>
        <v>0</v>
      </c>
      <c r="J43">
        <f>UnitUpper!AK43</f>
        <v>1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40</v>
      </c>
      <c r="T43" s="4">
        <v>0</v>
      </c>
      <c r="U43" s="4">
        <v>0</v>
      </c>
      <c r="V43" s="4">
        <v>0</v>
      </c>
      <c r="W43">
        <f>UnitUpper!M43</f>
        <v>-1</v>
      </c>
      <c r="X43">
        <f>UnitUpper!E43</f>
        <v>1</v>
      </c>
      <c r="Y43" s="1" t="str">
        <f>UnitUpper!F43</f>
        <v>00100000</v>
      </c>
      <c r="Z43" s="4">
        <v>0</v>
      </c>
      <c r="AA43" s="4">
        <v>0</v>
      </c>
      <c r="AB43">
        <f>UnitUpper!AB43</f>
        <v>0</v>
      </c>
      <c r="AC43">
        <f>UnitUpper!AE43</f>
        <v>0</v>
      </c>
      <c r="AD43">
        <f>UnitUpper!AF43</f>
        <v>0</v>
      </c>
      <c r="AE43">
        <f>UnitUpper!AG43</f>
        <v>0</v>
      </c>
      <c r="AF43">
        <f>UnitUpper!AH43</f>
        <v>0</v>
      </c>
      <c r="AG43">
        <f>UnitUpper!Y43</f>
        <v>0</v>
      </c>
      <c r="AH43">
        <f>UnitUpper!AC43</f>
        <v>49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>
        <f>UnitUpper!L43</f>
        <v>100</v>
      </c>
      <c r="AP43">
        <f>UnitUpper!N43</f>
        <v>2</v>
      </c>
      <c r="AQ43">
        <f>UnitUpper!P43</f>
        <v>-1</v>
      </c>
      <c r="AR43">
        <f>UnitUpper!O43</f>
        <v>100</v>
      </c>
      <c r="AS43">
        <f>UnitUpper!Q43</f>
        <v>-1</v>
      </c>
      <c r="AT43" s="4">
        <v>0</v>
      </c>
      <c r="AU43" s="4">
        <v>0</v>
      </c>
      <c r="AV43">
        <f>UnitUpper!AL43</f>
        <v>1</v>
      </c>
      <c r="AW43">
        <f>UnitUpper!AZ43</f>
        <v>-1</v>
      </c>
      <c r="AX43">
        <f>UnitUpper!BA43</f>
        <v>2</v>
      </c>
      <c r="AY43" s="4">
        <v>0</v>
      </c>
    </row>
    <row r="44" spans="1:51" x14ac:dyDescent="0.25">
      <c r="A44" t="str">
        <f>UnitUpper!A44</f>
        <v>unup042</v>
      </c>
      <c r="B44" t="str">
        <f>UnitUpper!D44</f>
        <v>NotUsed</v>
      </c>
      <c r="C44" s="1" t="str">
        <f>UnitUpper!B44</f>
        <v>20229</v>
      </c>
      <c r="D44">
        <f>UnitUpper!C44</f>
        <v>100</v>
      </c>
      <c r="E44" s="4" t="s">
        <v>252</v>
      </c>
      <c r="F44" s="4">
        <v>38</v>
      </c>
      <c r="G44">
        <f>UnitUpper!AI44</f>
        <v>0</v>
      </c>
      <c r="H44" s="4">
        <v>0</v>
      </c>
      <c r="I44">
        <f>UnitUpper!AJ44</f>
        <v>0</v>
      </c>
      <c r="J44">
        <f>UnitUpper!AK44</f>
        <v>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41</v>
      </c>
      <c r="T44" s="4">
        <v>0</v>
      </c>
      <c r="U44" s="4">
        <v>0</v>
      </c>
      <c r="V44" s="4">
        <v>0</v>
      </c>
      <c r="W44">
        <f>UnitUpper!M44</f>
        <v>-1</v>
      </c>
      <c r="X44">
        <f>UnitUpper!E44</f>
        <v>1</v>
      </c>
      <c r="Y44" s="1" t="str">
        <f>UnitUpper!F44</f>
        <v>00100000</v>
      </c>
      <c r="Z44" s="4">
        <v>0</v>
      </c>
      <c r="AA44" s="4">
        <v>0</v>
      </c>
      <c r="AB44">
        <f>UnitUpper!AB44</f>
        <v>0</v>
      </c>
      <c r="AC44">
        <f>UnitUpper!AE44</f>
        <v>0</v>
      </c>
      <c r="AD44">
        <f>UnitUpper!AF44</f>
        <v>0</v>
      </c>
      <c r="AE44">
        <f>UnitUpper!AG44</f>
        <v>0</v>
      </c>
      <c r="AF44">
        <f>UnitUpper!AH44</f>
        <v>0</v>
      </c>
      <c r="AG44">
        <f>UnitUpper!Y44</f>
        <v>0</v>
      </c>
      <c r="AH44">
        <f>UnitUpper!AC44</f>
        <v>49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>
        <f>UnitUpper!L44</f>
        <v>100</v>
      </c>
      <c r="AP44">
        <f>UnitUpper!N44</f>
        <v>2</v>
      </c>
      <c r="AQ44">
        <f>UnitUpper!P44</f>
        <v>-1</v>
      </c>
      <c r="AR44">
        <f>UnitUpper!O44</f>
        <v>100</v>
      </c>
      <c r="AS44">
        <f>UnitUpper!Q44</f>
        <v>-1</v>
      </c>
      <c r="AT44" s="4">
        <v>0</v>
      </c>
      <c r="AU44" s="4">
        <v>0</v>
      </c>
      <c r="AV44">
        <f>UnitUpper!AL44</f>
        <v>1</v>
      </c>
      <c r="AW44">
        <f>UnitUpper!AZ44</f>
        <v>-1</v>
      </c>
      <c r="AX44">
        <f>UnitUpper!BA44</f>
        <v>2</v>
      </c>
      <c r="AY44" s="4">
        <v>0</v>
      </c>
    </row>
    <row r="45" spans="1:51" x14ac:dyDescent="0.25">
      <c r="A45" t="str">
        <f>UnitUpper!A45</f>
        <v>unup043</v>
      </c>
      <c r="B45" t="str">
        <f>UnitUpper!D45</f>
        <v>NotUsed</v>
      </c>
      <c r="C45" s="1" t="str">
        <f>UnitUpper!B45</f>
        <v>2022A</v>
      </c>
      <c r="D45">
        <f>UnitUpper!C45</f>
        <v>100</v>
      </c>
      <c r="E45" s="4" t="s">
        <v>252</v>
      </c>
      <c r="F45" s="4">
        <v>38</v>
      </c>
      <c r="G45">
        <f>UnitUpper!AI45</f>
        <v>0</v>
      </c>
      <c r="H45" s="4">
        <v>0</v>
      </c>
      <c r="I45">
        <f>UnitUpper!AJ45</f>
        <v>0</v>
      </c>
      <c r="J45">
        <f>UnitUpper!AK45</f>
        <v>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42</v>
      </c>
      <c r="T45" s="4">
        <v>0</v>
      </c>
      <c r="U45" s="4">
        <v>0</v>
      </c>
      <c r="V45" s="4">
        <v>0</v>
      </c>
      <c r="W45">
        <f>UnitUpper!M45</f>
        <v>-1</v>
      </c>
      <c r="X45">
        <f>UnitUpper!E45</f>
        <v>1</v>
      </c>
      <c r="Y45" s="1" t="str">
        <f>UnitUpper!F45</f>
        <v>00100000</v>
      </c>
      <c r="Z45" s="4">
        <v>0</v>
      </c>
      <c r="AA45" s="4">
        <v>0</v>
      </c>
      <c r="AB45">
        <f>UnitUpper!AB45</f>
        <v>0</v>
      </c>
      <c r="AC45">
        <f>UnitUpper!AE45</f>
        <v>0</v>
      </c>
      <c r="AD45">
        <f>UnitUpper!AF45</f>
        <v>0</v>
      </c>
      <c r="AE45">
        <f>UnitUpper!AG45</f>
        <v>0</v>
      </c>
      <c r="AF45">
        <f>UnitUpper!AH45</f>
        <v>0</v>
      </c>
      <c r="AG45">
        <f>UnitUpper!Y45</f>
        <v>0</v>
      </c>
      <c r="AH45">
        <f>UnitUpper!AC45</f>
        <v>49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>
        <f>UnitUpper!L45</f>
        <v>100</v>
      </c>
      <c r="AP45">
        <f>UnitUpper!N45</f>
        <v>2</v>
      </c>
      <c r="AQ45">
        <f>UnitUpper!P45</f>
        <v>-1</v>
      </c>
      <c r="AR45">
        <f>UnitUpper!O45</f>
        <v>100</v>
      </c>
      <c r="AS45">
        <f>UnitUpper!Q45</f>
        <v>-1</v>
      </c>
      <c r="AT45" s="4">
        <v>0</v>
      </c>
      <c r="AU45" s="4">
        <v>0</v>
      </c>
      <c r="AV45">
        <f>UnitUpper!AL45</f>
        <v>1</v>
      </c>
      <c r="AW45">
        <f>UnitUpper!AZ45</f>
        <v>-1</v>
      </c>
      <c r="AX45">
        <f>UnitUpper!BA45</f>
        <v>2</v>
      </c>
      <c r="AY45" s="4">
        <v>0</v>
      </c>
    </row>
    <row r="46" spans="1:51" x14ac:dyDescent="0.25">
      <c r="A46" t="str">
        <f>UnitUpper!A46</f>
        <v>unup044</v>
      </c>
      <c r="B46" t="str">
        <f>UnitUpper!D46</f>
        <v>NotUsed</v>
      </c>
      <c r="C46" s="1" t="str">
        <f>UnitUpper!B46</f>
        <v>2022B</v>
      </c>
      <c r="D46">
        <f>UnitUpper!C46</f>
        <v>100</v>
      </c>
      <c r="E46" s="4" t="s">
        <v>252</v>
      </c>
      <c r="F46" s="4">
        <v>38</v>
      </c>
      <c r="G46">
        <f>UnitUpper!AI46</f>
        <v>0</v>
      </c>
      <c r="H46" s="4">
        <v>0</v>
      </c>
      <c r="I46">
        <f>UnitUpper!AJ46</f>
        <v>0</v>
      </c>
      <c r="J46">
        <f>UnitUpper!AK46</f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43</v>
      </c>
      <c r="T46" s="4">
        <v>0</v>
      </c>
      <c r="U46" s="4">
        <v>0</v>
      </c>
      <c r="V46" s="4">
        <v>0</v>
      </c>
      <c r="W46">
        <f>UnitUpper!M46</f>
        <v>-1</v>
      </c>
      <c r="X46">
        <f>UnitUpper!E46</f>
        <v>1</v>
      </c>
      <c r="Y46" s="1" t="str">
        <f>UnitUpper!F46</f>
        <v>00100000</v>
      </c>
      <c r="Z46" s="4">
        <v>0</v>
      </c>
      <c r="AA46" s="4">
        <v>0</v>
      </c>
      <c r="AB46">
        <f>UnitUpper!AB46</f>
        <v>0</v>
      </c>
      <c r="AC46">
        <f>UnitUpper!AE46</f>
        <v>0</v>
      </c>
      <c r="AD46">
        <f>UnitUpper!AF46</f>
        <v>0</v>
      </c>
      <c r="AE46">
        <f>UnitUpper!AG46</f>
        <v>0</v>
      </c>
      <c r="AF46">
        <f>UnitUpper!AH46</f>
        <v>0</v>
      </c>
      <c r="AG46">
        <f>UnitUpper!Y46</f>
        <v>0</v>
      </c>
      <c r="AH46">
        <f>UnitUpper!AC46</f>
        <v>49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>
        <f>UnitUpper!L46</f>
        <v>100</v>
      </c>
      <c r="AP46">
        <f>UnitUpper!N46</f>
        <v>2</v>
      </c>
      <c r="AQ46">
        <f>UnitUpper!P46</f>
        <v>-1</v>
      </c>
      <c r="AR46">
        <f>UnitUpper!O46</f>
        <v>100</v>
      </c>
      <c r="AS46">
        <f>UnitUpper!Q46</f>
        <v>-1</v>
      </c>
      <c r="AT46" s="4">
        <v>0</v>
      </c>
      <c r="AU46" s="4">
        <v>0</v>
      </c>
      <c r="AV46">
        <f>UnitUpper!AL46</f>
        <v>1</v>
      </c>
      <c r="AW46">
        <f>UnitUpper!AZ46</f>
        <v>-1</v>
      </c>
      <c r="AX46">
        <f>UnitUpper!BA46</f>
        <v>2</v>
      </c>
      <c r="AY46" s="4">
        <v>0</v>
      </c>
    </row>
    <row r="47" spans="1:51" x14ac:dyDescent="0.25">
      <c r="A47" t="str">
        <f>UnitUpper!A47</f>
        <v>unup045</v>
      </c>
      <c r="B47" t="str">
        <f>UnitUpper!D47</f>
        <v>NotUsed</v>
      </c>
      <c r="C47" s="1" t="str">
        <f>UnitUpper!B47</f>
        <v>2022C</v>
      </c>
      <c r="D47">
        <f>UnitUpper!C47</f>
        <v>100</v>
      </c>
      <c r="E47" s="4" t="s">
        <v>252</v>
      </c>
      <c r="F47" s="4">
        <v>38</v>
      </c>
      <c r="G47">
        <f>UnitUpper!AI47</f>
        <v>0</v>
      </c>
      <c r="H47" s="4">
        <v>0</v>
      </c>
      <c r="I47">
        <f>UnitUpper!AJ47</f>
        <v>0</v>
      </c>
      <c r="J47">
        <f>UnitUpper!AK47</f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44</v>
      </c>
      <c r="T47" s="4">
        <v>0</v>
      </c>
      <c r="U47" s="4">
        <v>0</v>
      </c>
      <c r="V47" s="4">
        <v>0</v>
      </c>
      <c r="W47">
        <f>UnitUpper!M47</f>
        <v>-1</v>
      </c>
      <c r="X47">
        <f>UnitUpper!E47</f>
        <v>1</v>
      </c>
      <c r="Y47" s="1" t="str">
        <f>UnitUpper!F47</f>
        <v>00100000</v>
      </c>
      <c r="Z47" s="4">
        <v>0</v>
      </c>
      <c r="AA47" s="4">
        <v>0</v>
      </c>
      <c r="AB47">
        <f>UnitUpper!AB47</f>
        <v>0</v>
      </c>
      <c r="AC47">
        <f>UnitUpper!AE47</f>
        <v>0</v>
      </c>
      <c r="AD47">
        <f>UnitUpper!AF47</f>
        <v>0</v>
      </c>
      <c r="AE47">
        <f>UnitUpper!AG47</f>
        <v>0</v>
      </c>
      <c r="AF47">
        <f>UnitUpper!AH47</f>
        <v>0</v>
      </c>
      <c r="AG47">
        <f>UnitUpper!Y47</f>
        <v>0</v>
      </c>
      <c r="AH47">
        <f>UnitUpper!AC47</f>
        <v>49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>
        <f>UnitUpper!L47</f>
        <v>100</v>
      </c>
      <c r="AP47">
        <f>UnitUpper!N47</f>
        <v>2</v>
      </c>
      <c r="AQ47">
        <f>UnitUpper!P47</f>
        <v>-1</v>
      </c>
      <c r="AR47">
        <f>UnitUpper!O47</f>
        <v>100</v>
      </c>
      <c r="AS47">
        <f>UnitUpper!Q47</f>
        <v>-1</v>
      </c>
      <c r="AT47" s="4">
        <v>0</v>
      </c>
      <c r="AU47" s="4">
        <v>0</v>
      </c>
      <c r="AV47">
        <f>UnitUpper!AL47</f>
        <v>1</v>
      </c>
      <c r="AW47">
        <f>UnitUpper!AZ47</f>
        <v>-1</v>
      </c>
      <c r="AX47">
        <f>UnitUpper!BA47</f>
        <v>2</v>
      </c>
      <c r="AY47" s="4">
        <v>0</v>
      </c>
    </row>
    <row r="48" spans="1:51" x14ac:dyDescent="0.25">
      <c r="A48" t="str">
        <f>UnitUpper!A48</f>
        <v>unup046</v>
      </c>
      <c r="B48" t="str">
        <f>UnitUpper!D48</f>
        <v>NotUsed</v>
      </c>
      <c r="C48" s="1" t="str">
        <f>UnitUpper!B48</f>
        <v>2022D</v>
      </c>
      <c r="D48">
        <f>UnitUpper!C48</f>
        <v>100</v>
      </c>
      <c r="E48" s="4" t="s">
        <v>252</v>
      </c>
      <c r="F48" s="4">
        <v>38</v>
      </c>
      <c r="G48">
        <f>UnitUpper!AI48</f>
        <v>0</v>
      </c>
      <c r="H48" s="4">
        <v>0</v>
      </c>
      <c r="I48">
        <f>UnitUpper!AJ48</f>
        <v>0</v>
      </c>
      <c r="J48">
        <f>UnitUpper!AK48</f>
        <v>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45</v>
      </c>
      <c r="T48" s="4">
        <v>0</v>
      </c>
      <c r="U48" s="4">
        <v>0</v>
      </c>
      <c r="V48" s="4">
        <v>0</v>
      </c>
      <c r="W48">
        <f>UnitUpper!M48</f>
        <v>-1</v>
      </c>
      <c r="X48">
        <f>UnitUpper!E48</f>
        <v>1</v>
      </c>
      <c r="Y48" s="1" t="str">
        <f>UnitUpper!F48</f>
        <v>00100000</v>
      </c>
      <c r="Z48" s="4">
        <v>0</v>
      </c>
      <c r="AA48" s="4">
        <v>0</v>
      </c>
      <c r="AB48">
        <f>UnitUpper!AB48</f>
        <v>0</v>
      </c>
      <c r="AC48">
        <f>UnitUpper!AE48</f>
        <v>0</v>
      </c>
      <c r="AD48">
        <f>UnitUpper!AF48</f>
        <v>0</v>
      </c>
      <c r="AE48">
        <f>UnitUpper!AG48</f>
        <v>0</v>
      </c>
      <c r="AF48">
        <f>UnitUpper!AH48</f>
        <v>0</v>
      </c>
      <c r="AG48">
        <f>UnitUpper!Y48</f>
        <v>0</v>
      </c>
      <c r="AH48">
        <f>UnitUpper!AC48</f>
        <v>49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>
        <f>UnitUpper!L48</f>
        <v>100</v>
      </c>
      <c r="AP48">
        <f>UnitUpper!N48</f>
        <v>2</v>
      </c>
      <c r="AQ48">
        <f>UnitUpper!P48</f>
        <v>-1</v>
      </c>
      <c r="AR48">
        <f>UnitUpper!O48</f>
        <v>100</v>
      </c>
      <c r="AS48">
        <f>UnitUpper!Q48</f>
        <v>-1</v>
      </c>
      <c r="AT48" s="4">
        <v>0</v>
      </c>
      <c r="AU48" s="4">
        <v>0</v>
      </c>
      <c r="AV48">
        <f>UnitUpper!AL48</f>
        <v>1</v>
      </c>
      <c r="AW48">
        <f>UnitUpper!AZ48</f>
        <v>-1</v>
      </c>
      <c r="AX48">
        <f>UnitUpper!BA48</f>
        <v>2</v>
      </c>
      <c r="AY48" s="4">
        <v>0</v>
      </c>
    </row>
    <row r="49" spans="1:51" x14ac:dyDescent="0.25">
      <c r="A49" t="str">
        <f>UnitUpper!A49</f>
        <v>unup047</v>
      </c>
      <c r="B49" t="str">
        <f>UnitUpper!D49</f>
        <v>NotUsed</v>
      </c>
      <c r="C49" s="1" t="str">
        <f>UnitUpper!B49</f>
        <v>2022E</v>
      </c>
      <c r="D49">
        <f>UnitUpper!C49</f>
        <v>100</v>
      </c>
      <c r="E49" s="4" t="s">
        <v>252</v>
      </c>
      <c r="F49" s="4">
        <v>38</v>
      </c>
      <c r="G49">
        <f>UnitUpper!AI49</f>
        <v>0</v>
      </c>
      <c r="H49" s="4">
        <v>0</v>
      </c>
      <c r="I49">
        <f>UnitUpper!AJ49</f>
        <v>0</v>
      </c>
      <c r="J49">
        <f>UnitUpper!AK49</f>
        <v>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46</v>
      </c>
      <c r="T49" s="4">
        <v>0</v>
      </c>
      <c r="U49" s="4">
        <v>0</v>
      </c>
      <c r="V49" s="4">
        <v>0</v>
      </c>
      <c r="W49">
        <f>UnitUpper!M49</f>
        <v>-1</v>
      </c>
      <c r="X49">
        <f>UnitUpper!E49</f>
        <v>1</v>
      </c>
      <c r="Y49" s="1" t="str">
        <f>UnitUpper!F49</f>
        <v>00100000</v>
      </c>
      <c r="Z49" s="4">
        <v>0</v>
      </c>
      <c r="AA49" s="4">
        <v>0</v>
      </c>
      <c r="AB49">
        <f>UnitUpper!AB49</f>
        <v>0</v>
      </c>
      <c r="AC49">
        <f>UnitUpper!AE49</f>
        <v>0</v>
      </c>
      <c r="AD49">
        <f>UnitUpper!AF49</f>
        <v>0</v>
      </c>
      <c r="AE49">
        <f>UnitUpper!AG49</f>
        <v>0</v>
      </c>
      <c r="AF49">
        <f>UnitUpper!AH49</f>
        <v>0</v>
      </c>
      <c r="AG49">
        <f>UnitUpper!Y49</f>
        <v>0</v>
      </c>
      <c r="AH49">
        <f>UnitUpper!AC49</f>
        <v>49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>
        <f>UnitUpper!L49</f>
        <v>100</v>
      </c>
      <c r="AP49">
        <f>UnitUpper!N49</f>
        <v>2</v>
      </c>
      <c r="AQ49">
        <f>UnitUpper!P49</f>
        <v>-1</v>
      </c>
      <c r="AR49">
        <f>UnitUpper!O49</f>
        <v>100</v>
      </c>
      <c r="AS49">
        <f>UnitUpper!Q49</f>
        <v>-1</v>
      </c>
      <c r="AT49" s="4">
        <v>0</v>
      </c>
      <c r="AU49" s="4">
        <v>0</v>
      </c>
      <c r="AV49">
        <f>UnitUpper!AL49</f>
        <v>1</v>
      </c>
      <c r="AW49">
        <f>UnitUpper!AZ49</f>
        <v>-1</v>
      </c>
      <c r="AX49">
        <f>UnitUpper!BA49</f>
        <v>2</v>
      </c>
      <c r="AY49" s="4">
        <v>0</v>
      </c>
    </row>
    <row r="50" spans="1:51" x14ac:dyDescent="0.25">
      <c r="A50" t="str">
        <f>UnitUpper!A50</f>
        <v>unup048</v>
      </c>
      <c r="B50" t="str">
        <f>UnitUpper!D50</f>
        <v>NotUsed</v>
      </c>
      <c r="C50" s="1" t="str">
        <f>UnitUpper!B50</f>
        <v>2022F</v>
      </c>
      <c r="D50">
        <f>UnitUpper!C50</f>
        <v>100</v>
      </c>
      <c r="E50" s="4" t="s">
        <v>252</v>
      </c>
      <c r="F50" s="4">
        <v>38</v>
      </c>
      <c r="G50">
        <f>UnitUpper!AI50</f>
        <v>0</v>
      </c>
      <c r="H50" s="4">
        <v>0</v>
      </c>
      <c r="I50">
        <f>UnitUpper!AJ50</f>
        <v>0</v>
      </c>
      <c r="J50">
        <f>UnitUpper!AK50</f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47</v>
      </c>
      <c r="T50" s="4">
        <v>0</v>
      </c>
      <c r="U50" s="4">
        <v>0</v>
      </c>
      <c r="V50" s="4">
        <v>0</v>
      </c>
      <c r="W50">
        <f>UnitUpper!M50</f>
        <v>-1</v>
      </c>
      <c r="X50">
        <f>UnitUpper!E50</f>
        <v>1</v>
      </c>
      <c r="Y50" s="1" t="str">
        <f>UnitUpper!F50</f>
        <v>00100000</v>
      </c>
      <c r="Z50" s="4">
        <v>0</v>
      </c>
      <c r="AA50" s="4">
        <v>0</v>
      </c>
      <c r="AB50">
        <f>UnitUpper!AB50</f>
        <v>0</v>
      </c>
      <c r="AC50">
        <f>UnitUpper!AE50</f>
        <v>0</v>
      </c>
      <c r="AD50">
        <f>UnitUpper!AF50</f>
        <v>0</v>
      </c>
      <c r="AE50">
        <f>UnitUpper!AG50</f>
        <v>0</v>
      </c>
      <c r="AF50">
        <f>UnitUpper!AH50</f>
        <v>0</v>
      </c>
      <c r="AG50">
        <f>UnitUpper!Y50</f>
        <v>0</v>
      </c>
      <c r="AH50">
        <f>UnitUpper!AC50</f>
        <v>49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>
        <f>UnitUpper!L50</f>
        <v>100</v>
      </c>
      <c r="AP50">
        <f>UnitUpper!N50</f>
        <v>2</v>
      </c>
      <c r="AQ50">
        <f>UnitUpper!P50</f>
        <v>-1</v>
      </c>
      <c r="AR50">
        <f>UnitUpper!O50</f>
        <v>100</v>
      </c>
      <c r="AS50">
        <f>UnitUpper!Q50</f>
        <v>-1</v>
      </c>
      <c r="AT50" s="4">
        <v>0</v>
      </c>
      <c r="AU50" s="4">
        <v>0</v>
      </c>
      <c r="AV50">
        <f>UnitUpper!AL50</f>
        <v>1</v>
      </c>
      <c r="AW50">
        <f>UnitUpper!AZ50</f>
        <v>-1</v>
      </c>
      <c r="AX50">
        <f>UnitUpper!BA50</f>
        <v>2</v>
      </c>
      <c r="AY50" s="4">
        <v>0</v>
      </c>
    </row>
    <row r="51" spans="1:51" x14ac:dyDescent="0.25">
      <c r="A51" t="str">
        <f>UnitUpper!A51</f>
        <v>unup049</v>
      </c>
      <c r="B51" t="str">
        <f>UnitUpper!D51</f>
        <v>NotUsed</v>
      </c>
      <c r="C51" s="1" t="str">
        <f>UnitUpper!B51</f>
        <v>20230</v>
      </c>
      <c r="D51">
        <f>UnitUpper!C51</f>
        <v>100</v>
      </c>
      <c r="E51" s="4" t="s">
        <v>252</v>
      </c>
      <c r="F51" s="4">
        <v>38</v>
      </c>
      <c r="G51">
        <f>UnitUpper!AI51</f>
        <v>0</v>
      </c>
      <c r="H51" s="4">
        <v>0</v>
      </c>
      <c r="I51">
        <f>UnitUpper!AJ51</f>
        <v>0</v>
      </c>
      <c r="J51">
        <f>UnitUpper!AK51</f>
        <v>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48</v>
      </c>
      <c r="T51" s="4">
        <v>0</v>
      </c>
      <c r="U51" s="4">
        <v>0</v>
      </c>
      <c r="V51" s="4">
        <v>0</v>
      </c>
      <c r="W51">
        <f>UnitUpper!M51</f>
        <v>-1</v>
      </c>
      <c r="X51">
        <f>UnitUpper!E51</f>
        <v>1</v>
      </c>
      <c r="Y51" s="1" t="str">
        <f>UnitUpper!F51</f>
        <v>00100000</v>
      </c>
      <c r="Z51" s="4">
        <v>0</v>
      </c>
      <c r="AA51" s="4">
        <v>0</v>
      </c>
      <c r="AB51">
        <f>UnitUpper!AB51</f>
        <v>0</v>
      </c>
      <c r="AC51">
        <f>UnitUpper!AE51</f>
        <v>0</v>
      </c>
      <c r="AD51">
        <f>UnitUpper!AF51</f>
        <v>0</v>
      </c>
      <c r="AE51">
        <f>UnitUpper!AG51</f>
        <v>0</v>
      </c>
      <c r="AF51">
        <f>UnitUpper!AH51</f>
        <v>0</v>
      </c>
      <c r="AG51">
        <f>UnitUpper!Y51</f>
        <v>0</v>
      </c>
      <c r="AH51">
        <f>UnitUpper!AC51</f>
        <v>49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>
        <f>UnitUpper!L51</f>
        <v>100</v>
      </c>
      <c r="AP51">
        <f>UnitUpper!N51</f>
        <v>2</v>
      </c>
      <c r="AQ51">
        <f>UnitUpper!P51</f>
        <v>-1</v>
      </c>
      <c r="AR51">
        <f>UnitUpper!O51</f>
        <v>100</v>
      </c>
      <c r="AS51">
        <f>UnitUpper!Q51</f>
        <v>-1</v>
      </c>
      <c r="AT51" s="4">
        <v>0</v>
      </c>
      <c r="AU51" s="4">
        <v>0</v>
      </c>
      <c r="AV51">
        <f>UnitUpper!AL51</f>
        <v>1</v>
      </c>
      <c r="AW51">
        <f>UnitUpper!AZ51</f>
        <v>-1</v>
      </c>
      <c r="AX51">
        <f>UnitUpper!BA51</f>
        <v>2</v>
      </c>
      <c r="AY51" s="4">
        <v>0</v>
      </c>
    </row>
    <row r="52" spans="1:51" x14ac:dyDescent="0.25">
      <c r="A52" t="str">
        <f>UnitUpper!A52</f>
        <v>unup050</v>
      </c>
      <c r="B52" t="str">
        <f>UnitUpper!D52</f>
        <v>NotUsed</v>
      </c>
      <c r="C52" s="1" t="str">
        <f>UnitUpper!B52</f>
        <v>20231</v>
      </c>
      <c r="D52">
        <f>UnitUpper!C52</f>
        <v>100</v>
      </c>
      <c r="E52" s="4" t="s">
        <v>252</v>
      </c>
      <c r="F52" s="4">
        <v>38</v>
      </c>
      <c r="G52">
        <f>UnitUpper!AI52</f>
        <v>0</v>
      </c>
      <c r="H52" s="4">
        <v>0</v>
      </c>
      <c r="I52">
        <f>UnitUpper!AJ52</f>
        <v>0</v>
      </c>
      <c r="J52">
        <f>UnitUpper!AK52</f>
        <v>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49</v>
      </c>
      <c r="T52" s="4">
        <v>0</v>
      </c>
      <c r="U52" s="4">
        <v>0</v>
      </c>
      <c r="V52" s="4">
        <v>0</v>
      </c>
      <c r="W52">
        <f>UnitUpper!M52</f>
        <v>-1</v>
      </c>
      <c r="X52">
        <f>UnitUpper!E52</f>
        <v>1</v>
      </c>
      <c r="Y52" s="1" t="str">
        <f>UnitUpper!F52</f>
        <v>00100000</v>
      </c>
      <c r="Z52" s="4">
        <v>0</v>
      </c>
      <c r="AA52" s="4">
        <v>0</v>
      </c>
      <c r="AB52">
        <f>UnitUpper!AB52</f>
        <v>0</v>
      </c>
      <c r="AC52">
        <f>UnitUpper!AE52</f>
        <v>0</v>
      </c>
      <c r="AD52">
        <f>UnitUpper!AF52</f>
        <v>0</v>
      </c>
      <c r="AE52">
        <f>UnitUpper!AG52</f>
        <v>0</v>
      </c>
      <c r="AF52">
        <f>UnitUpper!AH52</f>
        <v>0</v>
      </c>
      <c r="AG52">
        <f>UnitUpper!Y52</f>
        <v>0</v>
      </c>
      <c r="AH52">
        <f>UnitUpper!AC52</f>
        <v>49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>
        <f>UnitUpper!L52</f>
        <v>100</v>
      </c>
      <c r="AP52">
        <f>UnitUpper!N52</f>
        <v>2</v>
      </c>
      <c r="AQ52">
        <f>UnitUpper!P52</f>
        <v>-1</v>
      </c>
      <c r="AR52">
        <f>UnitUpper!O52</f>
        <v>100</v>
      </c>
      <c r="AS52">
        <f>UnitUpper!Q52</f>
        <v>-1</v>
      </c>
      <c r="AT52" s="4">
        <v>0</v>
      </c>
      <c r="AU52" s="4">
        <v>0</v>
      </c>
      <c r="AV52">
        <f>UnitUpper!AL52</f>
        <v>1</v>
      </c>
      <c r="AW52">
        <f>UnitUpper!AZ52</f>
        <v>-1</v>
      </c>
      <c r="AX52">
        <f>UnitUpper!BA52</f>
        <v>2</v>
      </c>
      <c r="AY52" s="4">
        <v>0</v>
      </c>
    </row>
    <row r="53" spans="1:51" x14ac:dyDescent="0.25">
      <c r="A53" t="str">
        <f>UnitUpper!A53</f>
        <v>unup051</v>
      </c>
      <c r="B53" t="str">
        <f>UnitUpper!D53</f>
        <v>NotUsed</v>
      </c>
      <c r="C53" s="1" t="str">
        <f>UnitUpper!B53</f>
        <v>20232</v>
      </c>
      <c r="D53">
        <f>UnitUpper!C53</f>
        <v>100</v>
      </c>
      <c r="E53" s="4" t="s">
        <v>252</v>
      </c>
      <c r="F53" s="4">
        <v>38</v>
      </c>
      <c r="G53">
        <f>UnitUpper!AI53</f>
        <v>0</v>
      </c>
      <c r="H53" s="4">
        <v>0</v>
      </c>
      <c r="I53">
        <f>UnitUpper!AJ53</f>
        <v>0</v>
      </c>
      <c r="J53">
        <f>UnitUpper!AK53</f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50</v>
      </c>
      <c r="T53" s="4">
        <v>0</v>
      </c>
      <c r="U53" s="4">
        <v>0</v>
      </c>
      <c r="V53" s="4">
        <v>0</v>
      </c>
      <c r="W53">
        <f>UnitUpper!M53</f>
        <v>-1</v>
      </c>
      <c r="X53">
        <f>UnitUpper!E53</f>
        <v>1</v>
      </c>
      <c r="Y53" s="1" t="str">
        <f>UnitUpper!F53</f>
        <v>00100000</v>
      </c>
      <c r="Z53" s="4">
        <v>0</v>
      </c>
      <c r="AA53" s="4">
        <v>0</v>
      </c>
      <c r="AB53">
        <f>UnitUpper!AB53</f>
        <v>0</v>
      </c>
      <c r="AC53">
        <f>UnitUpper!AE53</f>
        <v>0</v>
      </c>
      <c r="AD53">
        <f>UnitUpper!AF53</f>
        <v>0</v>
      </c>
      <c r="AE53">
        <f>UnitUpper!AG53</f>
        <v>0</v>
      </c>
      <c r="AF53">
        <f>UnitUpper!AH53</f>
        <v>0</v>
      </c>
      <c r="AG53">
        <f>UnitUpper!Y53</f>
        <v>0</v>
      </c>
      <c r="AH53">
        <f>UnitUpper!AC53</f>
        <v>49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>
        <f>UnitUpper!L53</f>
        <v>100</v>
      </c>
      <c r="AP53">
        <f>UnitUpper!N53</f>
        <v>2</v>
      </c>
      <c r="AQ53">
        <f>UnitUpper!P53</f>
        <v>-1</v>
      </c>
      <c r="AR53">
        <f>UnitUpper!O53</f>
        <v>100</v>
      </c>
      <c r="AS53">
        <f>UnitUpper!Q53</f>
        <v>-1</v>
      </c>
      <c r="AT53" s="4">
        <v>0</v>
      </c>
      <c r="AU53" s="4">
        <v>0</v>
      </c>
      <c r="AV53">
        <f>UnitUpper!AL53</f>
        <v>1</v>
      </c>
      <c r="AW53">
        <f>UnitUpper!AZ53</f>
        <v>-1</v>
      </c>
      <c r="AX53">
        <f>UnitUpper!BA53</f>
        <v>2</v>
      </c>
      <c r="AY53" s="4">
        <v>0</v>
      </c>
    </row>
    <row r="54" spans="1:51" x14ac:dyDescent="0.25">
      <c r="A54" t="str">
        <f>UnitUpper!A54</f>
        <v>unup052</v>
      </c>
      <c r="B54" t="str">
        <f>UnitUpper!D54</f>
        <v>NotUsed</v>
      </c>
      <c r="C54" s="1" t="str">
        <f>UnitUpper!B54</f>
        <v>20233</v>
      </c>
      <c r="D54">
        <f>UnitUpper!C54</f>
        <v>100</v>
      </c>
      <c r="E54" s="4" t="s">
        <v>252</v>
      </c>
      <c r="F54" s="4">
        <v>38</v>
      </c>
      <c r="G54">
        <f>UnitUpper!AI54</f>
        <v>0</v>
      </c>
      <c r="H54" s="4">
        <v>0</v>
      </c>
      <c r="I54">
        <f>UnitUpper!AJ54</f>
        <v>0</v>
      </c>
      <c r="J54">
        <f>UnitUpper!AK54</f>
        <v>1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51</v>
      </c>
      <c r="T54" s="4">
        <v>0</v>
      </c>
      <c r="U54" s="4">
        <v>0</v>
      </c>
      <c r="V54" s="4">
        <v>0</v>
      </c>
      <c r="W54">
        <f>UnitUpper!M54</f>
        <v>-1</v>
      </c>
      <c r="X54">
        <f>UnitUpper!E54</f>
        <v>1</v>
      </c>
      <c r="Y54" s="1" t="str">
        <f>UnitUpper!F54</f>
        <v>00100000</v>
      </c>
      <c r="Z54" s="4">
        <v>0</v>
      </c>
      <c r="AA54" s="4">
        <v>0</v>
      </c>
      <c r="AB54">
        <f>UnitUpper!AB54</f>
        <v>0</v>
      </c>
      <c r="AC54">
        <f>UnitUpper!AE54</f>
        <v>0</v>
      </c>
      <c r="AD54">
        <f>UnitUpper!AF54</f>
        <v>0</v>
      </c>
      <c r="AE54">
        <f>UnitUpper!AG54</f>
        <v>0</v>
      </c>
      <c r="AF54">
        <f>UnitUpper!AH54</f>
        <v>0</v>
      </c>
      <c r="AG54">
        <f>UnitUpper!Y54</f>
        <v>0</v>
      </c>
      <c r="AH54">
        <f>UnitUpper!AC54</f>
        <v>49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>
        <f>UnitUpper!L54</f>
        <v>100</v>
      </c>
      <c r="AP54">
        <f>UnitUpper!N54</f>
        <v>2</v>
      </c>
      <c r="AQ54">
        <f>UnitUpper!P54</f>
        <v>-1</v>
      </c>
      <c r="AR54">
        <f>UnitUpper!O54</f>
        <v>100</v>
      </c>
      <c r="AS54">
        <f>UnitUpper!Q54</f>
        <v>-1</v>
      </c>
      <c r="AT54" s="4">
        <v>0</v>
      </c>
      <c r="AU54" s="4">
        <v>0</v>
      </c>
      <c r="AV54">
        <f>UnitUpper!AL54</f>
        <v>1</v>
      </c>
      <c r="AW54">
        <f>UnitUpper!AZ54</f>
        <v>-1</v>
      </c>
      <c r="AX54">
        <f>UnitUpper!BA54</f>
        <v>2</v>
      </c>
      <c r="AY54" s="4">
        <v>0</v>
      </c>
    </row>
    <row r="55" spans="1:51" x14ac:dyDescent="0.25">
      <c r="A55" t="str">
        <f>UnitUpper!A55</f>
        <v>unup053</v>
      </c>
      <c r="B55" t="str">
        <f>UnitUpper!D55</f>
        <v>NotUsed</v>
      </c>
      <c r="C55" s="1" t="str">
        <f>UnitUpper!B55</f>
        <v>20234</v>
      </c>
      <c r="D55">
        <f>UnitUpper!C55</f>
        <v>100</v>
      </c>
      <c r="E55" s="4" t="s">
        <v>252</v>
      </c>
      <c r="F55" s="4">
        <v>38</v>
      </c>
      <c r="G55">
        <f>UnitUpper!AI55</f>
        <v>0</v>
      </c>
      <c r="H55" s="4">
        <v>0</v>
      </c>
      <c r="I55">
        <f>UnitUpper!AJ55</f>
        <v>0</v>
      </c>
      <c r="J55">
        <f>UnitUpper!AK55</f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52</v>
      </c>
      <c r="T55" s="4">
        <v>0</v>
      </c>
      <c r="U55" s="4">
        <v>0</v>
      </c>
      <c r="V55" s="4">
        <v>0</v>
      </c>
      <c r="W55">
        <f>UnitUpper!M55</f>
        <v>-1</v>
      </c>
      <c r="X55">
        <f>UnitUpper!E55</f>
        <v>1</v>
      </c>
      <c r="Y55" s="1" t="str">
        <f>UnitUpper!F55</f>
        <v>00100000</v>
      </c>
      <c r="Z55" s="4">
        <v>0</v>
      </c>
      <c r="AA55" s="4">
        <v>0</v>
      </c>
      <c r="AB55">
        <f>UnitUpper!AB55</f>
        <v>0</v>
      </c>
      <c r="AC55">
        <f>UnitUpper!AE55</f>
        <v>0</v>
      </c>
      <c r="AD55">
        <f>UnitUpper!AF55</f>
        <v>0</v>
      </c>
      <c r="AE55">
        <f>UnitUpper!AG55</f>
        <v>0</v>
      </c>
      <c r="AF55">
        <f>UnitUpper!AH55</f>
        <v>0</v>
      </c>
      <c r="AG55">
        <f>UnitUpper!Y55</f>
        <v>0</v>
      </c>
      <c r="AH55">
        <f>UnitUpper!AC55</f>
        <v>49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>
        <f>UnitUpper!L55</f>
        <v>100</v>
      </c>
      <c r="AP55">
        <f>UnitUpper!N55</f>
        <v>2</v>
      </c>
      <c r="AQ55">
        <f>UnitUpper!P55</f>
        <v>-1</v>
      </c>
      <c r="AR55">
        <f>UnitUpper!O55</f>
        <v>100</v>
      </c>
      <c r="AS55">
        <f>UnitUpper!Q55</f>
        <v>-1</v>
      </c>
      <c r="AT55" s="4">
        <v>0</v>
      </c>
      <c r="AU55" s="4">
        <v>0</v>
      </c>
      <c r="AV55">
        <f>UnitUpper!AL55</f>
        <v>1</v>
      </c>
      <c r="AW55">
        <f>UnitUpper!AZ55</f>
        <v>-1</v>
      </c>
      <c r="AX55">
        <f>UnitUpper!BA55</f>
        <v>2</v>
      </c>
      <c r="AY55" s="4">
        <v>0</v>
      </c>
    </row>
    <row r="56" spans="1:51" x14ac:dyDescent="0.25">
      <c r="A56" t="str">
        <f>UnitUpper!A56</f>
        <v>unup054</v>
      </c>
      <c r="B56" t="str">
        <f>UnitUpper!D56</f>
        <v>NotUsed</v>
      </c>
      <c r="C56" s="1" t="str">
        <f>UnitUpper!B56</f>
        <v>20235</v>
      </c>
      <c r="D56">
        <f>UnitUpper!C56</f>
        <v>100</v>
      </c>
      <c r="E56" s="4" t="s">
        <v>252</v>
      </c>
      <c r="F56" s="4">
        <v>38</v>
      </c>
      <c r="G56">
        <f>UnitUpper!AI56</f>
        <v>0</v>
      </c>
      <c r="H56" s="4">
        <v>0</v>
      </c>
      <c r="I56">
        <f>UnitUpper!AJ56</f>
        <v>0</v>
      </c>
      <c r="J56">
        <f>UnitUpper!AK56</f>
        <v>1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53</v>
      </c>
      <c r="T56" s="4">
        <v>0</v>
      </c>
      <c r="U56" s="4">
        <v>0</v>
      </c>
      <c r="V56" s="4">
        <v>0</v>
      </c>
      <c r="W56">
        <f>UnitUpper!M56</f>
        <v>-1</v>
      </c>
      <c r="X56">
        <f>UnitUpper!E56</f>
        <v>1</v>
      </c>
      <c r="Y56" s="1" t="str">
        <f>UnitUpper!F56</f>
        <v>00100000</v>
      </c>
      <c r="Z56" s="4">
        <v>0</v>
      </c>
      <c r="AA56" s="4">
        <v>0</v>
      </c>
      <c r="AB56">
        <f>UnitUpper!AB56</f>
        <v>0</v>
      </c>
      <c r="AC56">
        <f>UnitUpper!AE56</f>
        <v>0</v>
      </c>
      <c r="AD56">
        <f>UnitUpper!AF56</f>
        <v>0</v>
      </c>
      <c r="AE56">
        <f>UnitUpper!AG56</f>
        <v>0</v>
      </c>
      <c r="AF56">
        <f>UnitUpper!AH56</f>
        <v>0</v>
      </c>
      <c r="AG56">
        <f>UnitUpper!Y56</f>
        <v>0</v>
      </c>
      <c r="AH56">
        <f>UnitUpper!AC56</f>
        <v>49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>
        <f>UnitUpper!L56</f>
        <v>100</v>
      </c>
      <c r="AP56">
        <f>UnitUpper!N56</f>
        <v>2</v>
      </c>
      <c r="AQ56">
        <f>UnitUpper!P56</f>
        <v>-1</v>
      </c>
      <c r="AR56">
        <f>UnitUpper!O56</f>
        <v>100</v>
      </c>
      <c r="AS56">
        <f>UnitUpper!Q56</f>
        <v>-1</v>
      </c>
      <c r="AT56" s="4">
        <v>0</v>
      </c>
      <c r="AU56" s="4">
        <v>0</v>
      </c>
      <c r="AV56">
        <f>UnitUpper!AL56</f>
        <v>1</v>
      </c>
      <c r="AW56">
        <f>UnitUpper!AZ56</f>
        <v>-1</v>
      </c>
      <c r="AX56">
        <f>UnitUpper!BA56</f>
        <v>2</v>
      </c>
      <c r="AY56" s="4">
        <v>0</v>
      </c>
    </row>
    <row r="57" spans="1:51" x14ac:dyDescent="0.25">
      <c r="A57" t="str">
        <f>UnitUpper!A57</f>
        <v>unup055</v>
      </c>
      <c r="B57" t="str">
        <f>UnitUpper!D57</f>
        <v>NotUsed</v>
      </c>
      <c r="C57" s="1" t="str">
        <f>UnitUpper!B57</f>
        <v>20236</v>
      </c>
      <c r="D57">
        <f>UnitUpper!C57</f>
        <v>100</v>
      </c>
      <c r="E57" s="4" t="s">
        <v>252</v>
      </c>
      <c r="F57" s="4">
        <v>38</v>
      </c>
      <c r="G57">
        <f>UnitUpper!AI57</f>
        <v>0</v>
      </c>
      <c r="H57" s="4">
        <v>0</v>
      </c>
      <c r="I57">
        <f>UnitUpper!AJ57</f>
        <v>0</v>
      </c>
      <c r="J57">
        <f>UnitUpper!AK57</f>
        <v>1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54</v>
      </c>
      <c r="T57" s="4">
        <v>0</v>
      </c>
      <c r="U57" s="4">
        <v>0</v>
      </c>
      <c r="V57" s="4">
        <v>0</v>
      </c>
      <c r="W57">
        <f>UnitUpper!M57</f>
        <v>-1</v>
      </c>
      <c r="X57">
        <f>UnitUpper!E57</f>
        <v>1</v>
      </c>
      <c r="Y57" s="1" t="str">
        <f>UnitUpper!F57</f>
        <v>00100000</v>
      </c>
      <c r="Z57" s="4">
        <v>0</v>
      </c>
      <c r="AA57" s="4">
        <v>0</v>
      </c>
      <c r="AB57">
        <f>UnitUpper!AB57</f>
        <v>0</v>
      </c>
      <c r="AC57">
        <f>UnitUpper!AE57</f>
        <v>0</v>
      </c>
      <c r="AD57">
        <f>UnitUpper!AF57</f>
        <v>0</v>
      </c>
      <c r="AE57">
        <f>UnitUpper!AG57</f>
        <v>0</v>
      </c>
      <c r="AF57">
        <f>UnitUpper!AH57</f>
        <v>0</v>
      </c>
      <c r="AG57">
        <f>UnitUpper!Y57</f>
        <v>0</v>
      </c>
      <c r="AH57">
        <f>UnitUpper!AC57</f>
        <v>49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>
        <f>UnitUpper!L57</f>
        <v>100</v>
      </c>
      <c r="AP57">
        <f>UnitUpper!N57</f>
        <v>2</v>
      </c>
      <c r="AQ57">
        <f>UnitUpper!P57</f>
        <v>-1</v>
      </c>
      <c r="AR57">
        <f>UnitUpper!O57</f>
        <v>100</v>
      </c>
      <c r="AS57">
        <f>UnitUpper!Q57</f>
        <v>-1</v>
      </c>
      <c r="AT57" s="4">
        <v>0</v>
      </c>
      <c r="AU57" s="4">
        <v>0</v>
      </c>
      <c r="AV57">
        <f>UnitUpper!AL57</f>
        <v>1</v>
      </c>
      <c r="AW57">
        <f>UnitUpper!AZ57</f>
        <v>-1</v>
      </c>
      <c r="AX57">
        <f>UnitUpper!BA57</f>
        <v>2</v>
      </c>
      <c r="AY57" s="4">
        <v>0</v>
      </c>
    </row>
    <row r="58" spans="1:51" x14ac:dyDescent="0.25">
      <c r="A58" t="str">
        <f>UnitUpper!A58</f>
        <v>unup056</v>
      </c>
      <c r="B58" t="str">
        <f>UnitUpper!D58</f>
        <v>NotUsed</v>
      </c>
      <c r="C58" s="1" t="str">
        <f>UnitUpper!B58</f>
        <v>20237</v>
      </c>
      <c r="D58">
        <f>UnitUpper!C58</f>
        <v>100</v>
      </c>
      <c r="E58" s="4" t="s">
        <v>252</v>
      </c>
      <c r="F58" s="4">
        <v>38</v>
      </c>
      <c r="G58">
        <f>UnitUpper!AI58</f>
        <v>0</v>
      </c>
      <c r="H58" s="4">
        <v>0</v>
      </c>
      <c r="I58">
        <f>UnitUpper!AJ58</f>
        <v>0</v>
      </c>
      <c r="J58">
        <f>UnitUpper!AK58</f>
        <v>1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55</v>
      </c>
      <c r="T58" s="4">
        <v>0</v>
      </c>
      <c r="U58" s="4">
        <v>0</v>
      </c>
      <c r="V58" s="4">
        <v>0</v>
      </c>
      <c r="W58">
        <f>UnitUpper!M58</f>
        <v>-1</v>
      </c>
      <c r="X58">
        <f>UnitUpper!E58</f>
        <v>1</v>
      </c>
      <c r="Y58" s="1" t="str">
        <f>UnitUpper!F58</f>
        <v>00100000</v>
      </c>
      <c r="Z58" s="4">
        <v>0</v>
      </c>
      <c r="AA58" s="4">
        <v>0</v>
      </c>
      <c r="AB58">
        <f>UnitUpper!AB58</f>
        <v>0</v>
      </c>
      <c r="AC58">
        <f>UnitUpper!AE58</f>
        <v>0</v>
      </c>
      <c r="AD58">
        <f>UnitUpper!AF58</f>
        <v>0</v>
      </c>
      <c r="AE58">
        <f>UnitUpper!AG58</f>
        <v>0</v>
      </c>
      <c r="AF58">
        <f>UnitUpper!AH58</f>
        <v>0</v>
      </c>
      <c r="AG58">
        <f>UnitUpper!Y58</f>
        <v>0</v>
      </c>
      <c r="AH58">
        <f>UnitUpper!AC58</f>
        <v>49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>
        <f>UnitUpper!L58</f>
        <v>100</v>
      </c>
      <c r="AP58">
        <f>UnitUpper!N58</f>
        <v>2</v>
      </c>
      <c r="AQ58">
        <f>UnitUpper!P58</f>
        <v>-1</v>
      </c>
      <c r="AR58">
        <f>UnitUpper!O58</f>
        <v>100</v>
      </c>
      <c r="AS58">
        <f>UnitUpper!Q58</f>
        <v>-1</v>
      </c>
      <c r="AT58" s="4">
        <v>0</v>
      </c>
      <c r="AU58" s="4">
        <v>0</v>
      </c>
      <c r="AV58">
        <f>UnitUpper!AL58</f>
        <v>1</v>
      </c>
      <c r="AW58">
        <f>UnitUpper!AZ58</f>
        <v>-1</v>
      </c>
      <c r="AX58">
        <f>UnitUpper!BA58</f>
        <v>2</v>
      </c>
      <c r="AY58" s="4">
        <v>0</v>
      </c>
    </row>
    <row r="59" spans="1:51" x14ac:dyDescent="0.25">
      <c r="A59" t="str">
        <f>UnitUpper!A59</f>
        <v>unup057</v>
      </c>
      <c r="B59" t="str">
        <f>UnitUpper!D59</f>
        <v>NotUsed</v>
      </c>
      <c r="C59" s="1" t="str">
        <f>UnitUpper!B59</f>
        <v>20238</v>
      </c>
      <c r="D59">
        <f>UnitUpper!C59</f>
        <v>100</v>
      </c>
      <c r="E59" s="4" t="s">
        <v>252</v>
      </c>
      <c r="F59" s="4">
        <v>38</v>
      </c>
      <c r="G59">
        <f>UnitUpper!AI59</f>
        <v>0</v>
      </c>
      <c r="H59" s="4">
        <v>0</v>
      </c>
      <c r="I59">
        <f>UnitUpper!AJ59</f>
        <v>0</v>
      </c>
      <c r="J59">
        <f>UnitUpper!AK59</f>
        <v>1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56</v>
      </c>
      <c r="T59" s="4">
        <v>0</v>
      </c>
      <c r="U59" s="4">
        <v>0</v>
      </c>
      <c r="V59" s="4">
        <v>0</v>
      </c>
      <c r="W59">
        <f>UnitUpper!M59</f>
        <v>-1</v>
      </c>
      <c r="X59">
        <f>UnitUpper!E59</f>
        <v>1</v>
      </c>
      <c r="Y59" s="1" t="str">
        <f>UnitUpper!F59</f>
        <v>00100000</v>
      </c>
      <c r="Z59" s="4">
        <v>0</v>
      </c>
      <c r="AA59" s="4">
        <v>0</v>
      </c>
      <c r="AB59">
        <f>UnitUpper!AB59</f>
        <v>0</v>
      </c>
      <c r="AC59">
        <f>UnitUpper!AE59</f>
        <v>0</v>
      </c>
      <c r="AD59">
        <f>UnitUpper!AF59</f>
        <v>0</v>
      </c>
      <c r="AE59">
        <f>UnitUpper!AG59</f>
        <v>0</v>
      </c>
      <c r="AF59">
        <f>UnitUpper!AH59</f>
        <v>0</v>
      </c>
      <c r="AG59">
        <f>UnitUpper!Y59</f>
        <v>0</v>
      </c>
      <c r="AH59">
        <f>UnitUpper!AC59</f>
        <v>49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>
        <f>UnitUpper!L59</f>
        <v>100</v>
      </c>
      <c r="AP59">
        <f>UnitUpper!N59</f>
        <v>2</v>
      </c>
      <c r="AQ59">
        <f>UnitUpper!P59</f>
        <v>-1</v>
      </c>
      <c r="AR59">
        <f>UnitUpper!O59</f>
        <v>100</v>
      </c>
      <c r="AS59">
        <f>UnitUpper!Q59</f>
        <v>-1</v>
      </c>
      <c r="AT59" s="4">
        <v>0</v>
      </c>
      <c r="AU59" s="4">
        <v>0</v>
      </c>
      <c r="AV59">
        <f>UnitUpper!AL59</f>
        <v>1</v>
      </c>
      <c r="AW59">
        <f>UnitUpper!AZ59</f>
        <v>-1</v>
      </c>
      <c r="AX59">
        <f>UnitUpper!BA59</f>
        <v>2</v>
      </c>
      <c r="AY59" s="4">
        <v>0</v>
      </c>
    </row>
    <row r="60" spans="1:51" x14ac:dyDescent="0.25">
      <c r="A60" t="str">
        <f>UnitUpper!A60</f>
        <v>unup058</v>
      </c>
      <c r="B60" t="str">
        <f>UnitUpper!D60</f>
        <v>NotUsed</v>
      </c>
      <c r="C60" s="1" t="str">
        <f>UnitUpper!B60</f>
        <v>20239</v>
      </c>
      <c r="D60">
        <f>UnitUpper!C60</f>
        <v>100</v>
      </c>
      <c r="E60" s="4" t="s">
        <v>252</v>
      </c>
      <c r="F60" s="4">
        <v>38</v>
      </c>
      <c r="G60">
        <f>UnitUpper!AI60</f>
        <v>0</v>
      </c>
      <c r="H60" s="4">
        <v>0</v>
      </c>
      <c r="I60">
        <f>UnitUpper!AJ60</f>
        <v>0</v>
      </c>
      <c r="J60">
        <f>UnitUpper!AK60</f>
        <v>1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57</v>
      </c>
      <c r="T60" s="4">
        <v>0</v>
      </c>
      <c r="U60" s="4">
        <v>0</v>
      </c>
      <c r="V60" s="4">
        <v>0</v>
      </c>
      <c r="W60">
        <f>UnitUpper!M60</f>
        <v>-1</v>
      </c>
      <c r="X60">
        <f>UnitUpper!E60</f>
        <v>1</v>
      </c>
      <c r="Y60" s="1" t="str">
        <f>UnitUpper!F60</f>
        <v>00100000</v>
      </c>
      <c r="Z60" s="4">
        <v>0</v>
      </c>
      <c r="AA60" s="4">
        <v>0</v>
      </c>
      <c r="AB60">
        <f>UnitUpper!AB60</f>
        <v>0</v>
      </c>
      <c r="AC60">
        <f>UnitUpper!AE60</f>
        <v>0</v>
      </c>
      <c r="AD60">
        <f>UnitUpper!AF60</f>
        <v>0</v>
      </c>
      <c r="AE60">
        <f>UnitUpper!AG60</f>
        <v>0</v>
      </c>
      <c r="AF60">
        <f>UnitUpper!AH60</f>
        <v>0</v>
      </c>
      <c r="AG60">
        <f>UnitUpper!Y60</f>
        <v>0</v>
      </c>
      <c r="AH60">
        <f>UnitUpper!AC60</f>
        <v>49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>
        <f>UnitUpper!L60</f>
        <v>100</v>
      </c>
      <c r="AP60">
        <f>UnitUpper!N60</f>
        <v>2</v>
      </c>
      <c r="AQ60">
        <f>UnitUpper!P60</f>
        <v>-1</v>
      </c>
      <c r="AR60">
        <f>UnitUpper!O60</f>
        <v>100</v>
      </c>
      <c r="AS60">
        <f>UnitUpper!Q60</f>
        <v>-1</v>
      </c>
      <c r="AT60" s="4">
        <v>0</v>
      </c>
      <c r="AU60" s="4">
        <v>0</v>
      </c>
      <c r="AV60">
        <f>UnitUpper!AL60</f>
        <v>1</v>
      </c>
      <c r="AW60">
        <f>UnitUpper!AZ60</f>
        <v>-1</v>
      </c>
      <c r="AX60">
        <f>UnitUpper!BA60</f>
        <v>2</v>
      </c>
      <c r="AY60" s="4">
        <v>0</v>
      </c>
    </row>
    <row r="61" spans="1:51" x14ac:dyDescent="0.25">
      <c r="A61" t="str">
        <f>UnitUpper!A61</f>
        <v>unup059</v>
      </c>
      <c r="B61" t="str">
        <f>UnitUpper!D61</f>
        <v>NotUsed</v>
      </c>
      <c r="C61" s="1" t="str">
        <f>UnitUpper!B61</f>
        <v>2023A</v>
      </c>
      <c r="D61">
        <f>UnitUpper!C61</f>
        <v>100</v>
      </c>
      <c r="E61" s="4" t="s">
        <v>252</v>
      </c>
      <c r="F61" s="4">
        <v>38</v>
      </c>
      <c r="G61">
        <f>UnitUpper!AI61</f>
        <v>0</v>
      </c>
      <c r="H61" s="4">
        <v>0</v>
      </c>
      <c r="I61">
        <f>UnitUpper!AJ61</f>
        <v>0</v>
      </c>
      <c r="J61">
        <f>UnitUpper!AK61</f>
        <v>1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58</v>
      </c>
      <c r="T61" s="4">
        <v>0</v>
      </c>
      <c r="U61" s="4">
        <v>0</v>
      </c>
      <c r="V61" s="4">
        <v>0</v>
      </c>
      <c r="W61">
        <f>UnitUpper!M61</f>
        <v>-1</v>
      </c>
      <c r="X61">
        <f>UnitUpper!E61</f>
        <v>1</v>
      </c>
      <c r="Y61" s="1" t="str">
        <f>UnitUpper!F61</f>
        <v>00100000</v>
      </c>
      <c r="Z61" s="4">
        <v>0</v>
      </c>
      <c r="AA61" s="4">
        <v>0</v>
      </c>
      <c r="AB61">
        <f>UnitUpper!AB61</f>
        <v>0</v>
      </c>
      <c r="AC61">
        <f>UnitUpper!AE61</f>
        <v>0</v>
      </c>
      <c r="AD61">
        <f>UnitUpper!AF61</f>
        <v>0</v>
      </c>
      <c r="AE61">
        <f>UnitUpper!AG61</f>
        <v>0</v>
      </c>
      <c r="AF61">
        <f>UnitUpper!AH61</f>
        <v>0</v>
      </c>
      <c r="AG61">
        <f>UnitUpper!Y61</f>
        <v>0</v>
      </c>
      <c r="AH61">
        <f>UnitUpper!AC61</f>
        <v>49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>
        <f>UnitUpper!L61</f>
        <v>100</v>
      </c>
      <c r="AP61">
        <f>UnitUpper!N61</f>
        <v>2</v>
      </c>
      <c r="AQ61">
        <f>UnitUpper!P61</f>
        <v>-1</v>
      </c>
      <c r="AR61">
        <f>UnitUpper!O61</f>
        <v>100</v>
      </c>
      <c r="AS61">
        <f>UnitUpper!Q61</f>
        <v>-1</v>
      </c>
      <c r="AT61" s="4">
        <v>0</v>
      </c>
      <c r="AU61" s="4">
        <v>0</v>
      </c>
      <c r="AV61">
        <f>UnitUpper!AL61</f>
        <v>1</v>
      </c>
      <c r="AW61">
        <f>UnitUpper!AZ61</f>
        <v>-1</v>
      </c>
      <c r="AX61">
        <f>UnitUpper!BA61</f>
        <v>2</v>
      </c>
      <c r="AY61" s="4">
        <v>0</v>
      </c>
    </row>
    <row r="62" spans="1:51" x14ac:dyDescent="0.25">
      <c r="A62" t="str">
        <f>UnitUpper!A62</f>
        <v>unup060</v>
      </c>
      <c r="B62" t="str">
        <f>UnitUpper!D62</f>
        <v>NotUsed</v>
      </c>
      <c r="C62" s="1" t="str">
        <f>UnitUpper!B62</f>
        <v>2023B</v>
      </c>
      <c r="D62">
        <f>UnitUpper!C62</f>
        <v>100</v>
      </c>
      <c r="E62" s="4" t="s">
        <v>252</v>
      </c>
      <c r="F62" s="4">
        <v>38</v>
      </c>
      <c r="G62">
        <f>UnitUpper!AI62</f>
        <v>0</v>
      </c>
      <c r="H62" s="4">
        <v>0</v>
      </c>
      <c r="I62">
        <f>UnitUpper!AJ62</f>
        <v>0</v>
      </c>
      <c r="J62">
        <f>UnitUpper!AK62</f>
        <v>1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59</v>
      </c>
      <c r="T62" s="4">
        <v>0</v>
      </c>
      <c r="U62" s="4">
        <v>0</v>
      </c>
      <c r="V62" s="4">
        <v>0</v>
      </c>
      <c r="W62">
        <f>UnitUpper!M62</f>
        <v>-1</v>
      </c>
      <c r="X62">
        <f>UnitUpper!E62</f>
        <v>1</v>
      </c>
      <c r="Y62" s="1" t="str">
        <f>UnitUpper!F62</f>
        <v>00100000</v>
      </c>
      <c r="Z62" s="4">
        <v>0</v>
      </c>
      <c r="AA62" s="4">
        <v>0</v>
      </c>
      <c r="AB62">
        <f>UnitUpper!AB62</f>
        <v>0</v>
      </c>
      <c r="AC62">
        <f>UnitUpper!AE62</f>
        <v>0</v>
      </c>
      <c r="AD62">
        <f>UnitUpper!AF62</f>
        <v>0</v>
      </c>
      <c r="AE62">
        <f>UnitUpper!AG62</f>
        <v>0</v>
      </c>
      <c r="AF62">
        <f>UnitUpper!AH62</f>
        <v>0</v>
      </c>
      <c r="AG62">
        <f>UnitUpper!Y62</f>
        <v>0</v>
      </c>
      <c r="AH62">
        <f>UnitUpper!AC62</f>
        <v>49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>
        <f>UnitUpper!L62</f>
        <v>100</v>
      </c>
      <c r="AP62">
        <f>UnitUpper!N62</f>
        <v>2</v>
      </c>
      <c r="AQ62">
        <f>UnitUpper!P62</f>
        <v>-1</v>
      </c>
      <c r="AR62">
        <f>UnitUpper!O62</f>
        <v>100</v>
      </c>
      <c r="AS62">
        <f>UnitUpper!Q62</f>
        <v>-1</v>
      </c>
      <c r="AT62" s="4">
        <v>0</v>
      </c>
      <c r="AU62" s="4">
        <v>0</v>
      </c>
      <c r="AV62">
        <f>UnitUpper!AL62</f>
        <v>1</v>
      </c>
      <c r="AW62">
        <f>UnitUpper!AZ62</f>
        <v>-1</v>
      </c>
      <c r="AX62">
        <f>UnitUpper!BA62</f>
        <v>2</v>
      </c>
      <c r="AY62" s="4">
        <v>0</v>
      </c>
    </row>
    <row r="63" spans="1:51" x14ac:dyDescent="0.25">
      <c r="A63" t="str">
        <f>UnitUpper!A63</f>
        <v>unup061</v>
      </c>
      <c r="B63" t="str">
        <f>UnitUpper!D63</f>
        <v>NotUsed</v>
      </c>
      <c r="C63" s="1" t="str">
        <f>UnitUpper!B63</f>
        <v>3023C</v>
      </c>
      <c r="D63">
        <f>UnitUpper!C63</f>
        <v>100</v>
      </c>
      <c r="E63" s="4" t="s">
        <v>252</v>
      </c>
      <c r="F63" s="4">
        <v>38</v>
      </c>
      <c r="G63">
        <f>UnitUpper!AI63</f>
        <v>0</v>
      </c>
      <c r="H63" s="4">
        <v>0</v>
      </c>
      <c r="I63">
        <f>UnitUpper!AJ63</f>
        <v>0</v>
      </c>
      <c r="J63">
        <f>UnitUpper!AK63</f>
        <v>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60</v>
      </c>
      <c r="T63" s="4">
        <v>0</v>
      </c>
      <c r="U63" s="4">
        <v>0</v>
      </c>
      <c r="V63" s="4">
        <v>0</v>
      </c>
      <c r="W63">
        <f>UnitUpper!M63</f>
        <v>-1</v>
      </c>
      <c r="X63">
        <f>UnitUpper!E63</f>
        <v>1</v>
      </c>
      <c r="Y63" s="1" t="str">
        <f>UnitUpper!F63</f>
        <v>00010000</v>
      </c>
      <c r="Z63" s="4">
        <v>0</v>
      </c>
      <c r="AA63" s="4">
        <v>0</v>
      </c>
      <c r="AB63">
        <f>UnitUpper!AB63</f>
        <v>0</v>
      </c>
      <c r="AC63">
        <f>UnitUpper!AE63</f>
        <v>0</v>
      </c>
      <c r="AD63">
        <f>UnitUpper!AF63</f>
        <v>0</v>
      </c>
      <c r="AE63">
        <f>UnitUpper!AG63</f>
        <v>0</v>
      </c>
      <c r="AF63">
        <f>UnitUpper!AH63</f>
        <v>0</v>
      </c>
      <c r="AG63">
        <f>UnitUpper!Y63</f>
        <v>0</v>
      </c>
      <c r="AH63">
        <f>UnitUpper!AC63</f>
        <v>49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>
        <f>UnitUpper!L63</f>
        <v>100</v>
      </c>
      <c r="AP63">
        <f>UnitUpper!N63</f>
        <v>2</v>
      </c>
      <c r="AQ63">
        <f>UnitUpper!P63</f>
        <v>-1</v>
      </c>
      <c r="AR63">
        <f>UnitUpper!O63</f>
        <v>100</v>
      </c>
      <c r="AS63">
        <f>UnitUpper!Q63</f>
        <v>-1</v>
      </c>
      <c r="AT63" s="4">
        <v>0</v>
      </c>
      <c r="AU63" s="4">
        <v>0</v>
      </c>
      <c r="AV63">
        <f>UnitUpper!AL63</f>
        <v>1</v>
      </c>
      <c r="AW63">
        <f>UnitUpper!AZ63</f>
        <v>-1</v>
      </c>
      <c r="AX63">
        <f>UnitUpper!BA63</f>
        <v>2</v>
      </c>
      <c r="AY63" s="4">
        <v>0</v>
      </c>
    </row>
    <row r="64" spans="1:51" x14ac:dyDescent="0.25">
      <c r="A64" t="str">
        <f>UnitUpper!A64</f>
        <v>unup062</v>
      </c>
      <c r="B64" t="str">
        <f>UnitUpper!D64</f>
        <v>NotUsed</v>
      </c>
      <c r="C64" s="1" t="str">
        <f>UnitUpper!B64</f>
        <v>3023D</v>
      </c>
      <c r="D64">
        <f>UnitUpper!C64</f>
        <v>100</v>
      </c>
      <c r="E64" s="4" t="s">
        <v>252</v>
      </c>
      <c r="F64" s="4">
        <v>38</v>
      </c>
      <c r="G64">
        <f>UnitUpper!AI64</f>
        <v>0</v>
      </c>
      <c r="H64" s="4">
        <v>0</v>
      </c>
      <c r="I64">
        <f>UnitUpper!AJ64</f>
        <v>0</v>
      </c>
      <c r="J64">
        <f>UnitUpper!AK64</f>
        <v>1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61</v>
      </c>
      <c r="T64" s="4">
        <v>0</v>
      </c>
      <c r="U64" s="4">
        <v>0</v>
      </c>
      <c r="V64" s="4">
        <v>0</v>
      </c>
      <c r="W64">
        <f>UnitUpper!M64</f>
        <v>-1</v>
      </c>
      <c r="X64">
        <f>UnitUpper!E64</f>
        <v>1</v>
      </c>
      <c r="Y64" s="1" t="str">
        <f>UnitUpper!F64</f>
        <v>00010000</v>
      </c>
      <c r="Z64" s="4">
        <v>0</v>
      </c>
      <c r="AA64" s="4">
        <v>0</v>
      </c>
      <c r="AB64">
        <f>UnitUpper!AB64</f>
        <v>0</v>
      </c>
      <c r="AC64">
        <f>UnitUpper!AE64</f>
        <v>0</v>
      </c>
      <c r="AD64">
        <f>UnitUpper!AF64</f>
        <v>0</v>
      </c>
      <c r="AE64">
        <f>UnitUpper!AG64</f>
        <v>0</v>
      </c>
      <c r="AF64">
        <f>UnitUpper!AH64</f>
        <v>0</v>
      </c>
      <c r="AG64">
        <f>UnitUpper!Y64</f>
        <v>0</v>
      </c>
      <c r="AH64">
        <f>UnitUpper!AC64</f>
        <v>49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>
        <f>UnitUpper!L64</f>
        <v>100</v>
      </c>
      <c r="AP64">
        <f>UnitUpper!N64</f>
        <v>2</v>
      </c>
      <c r="AQ64">
        <f>UnitUpper!P64</f>
        <v>-1</v>
      </c>
      <c r="AR64">
        <f>UnitUpper!O64</f>
        <v>100</v>
      </c>
      <c r="AS64">
        <f>UnitUpper!Q64</f>
        <v>-1</v>
      </c>
      <c r="AT64" s="4">
        <v>0</v>
      </c>
      <c r="AU64" s="4">
        <v>0</v>
      </c>
      <c r="AV64">
        <f>UnitUpper!AL64</f>
        <v>1</v>
      </c>
      <c r="AW64">
        <f>UnitUpper!AZ64</f>
        <v>-1</v>
      </c>
      <c r="AX64">
        <f>UnitUpper!BA64</f>
        <v>2</v>
      </c>
      <c r="AY64" s="4">
        <v>0</v>
      </c>
    </row>
    <row r="65" spans="1:51" x14ac:dyDescent="0.25">
      <c r="A65" t="str">
        <f>UnitUpper!A65</f>
        <v>unup063</v>
      </c>
      <c r="B65" t="str">
        <f>UnitUpper!D65</f>
        <v>NotUsed</v>
      </c>
      <c r="C65" s="1" t="str">
        <f>UnitUpper!B65</f>
        <v>3023E</v>
      </c>
      <c r="D65">
        <f>UnitUpper!C65</f>
        <v>100</v>
      </c>
      <c r="E65" s="4" t="s">
        <v>252</v>
      </c>
      <c r="F65" s="4">
        <v>38</v>
      </c>
      <c r="G65">
        <f>UnitUpper!AI65</f>
        <v>0</v>
      </c>
      <c r="H65" s="4">
        <v>0</v>
      </c>
      <c r="I65">
        <f>UnitUpper!AJ65</f>
        <v>0</v>
      </c>
      <c r="J65">
        <f>UnitUpper!AK65</f>
        <v>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62</v>
      </c>
      <c r="T65" s="4">
        <v>0</v>
      </c>
      <c r="U65" s="4">
        <v>0</v>
      </c>
      <c r="V65" s="4">
        <v>0</v>
      </c>
      <c r="W65">
        <f>UnitUpper!M65</f>
        <v>-1</v>
      </c>
      <c r="X65">
        <f>UnitUpper!E65</f>
        <v>1</v>
      </c>
      <c r="Y65" s="1" t="str">
        <f>UnitUpper!F65</f>
        <v>00010000</v>
      </c>
      <c r="Z65" s="4">
        <v>0</v>
      </c>
      <c r="AA65" s="4">
        <v>0</v>
      </c>
      <c r="AB65">
        <f>UnitUpper!AB65</f>
        <v>0</v>
      </c>
      <c r="AC65">
        <f>UnitUpper!AE65</f>
        <v>0</v>
      </c>
      <c r="AD65">
        <f>UnitUpper!AF65</f>
        <v>0</v>
      </c>
      <c r="AE65">
        <f>UnitUpper!AG65</f>
        <v>0</v>
      </c>
      <c r="AF65">
        <f>UnitUpper!AH65</f>
        <v>0</v>
      </c>
      <c r="AG65">
        <f>UnitUpper!Y65</f>
        <v>0</v>
      </c>
      <c r="AH65">
        <f>UnitUpper!AC65</f>
        <v>49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>
        <f>UnitUpper!L65</f>
        <v>100</v>
      </c>
      <c r="AP65">
        <f>UnitUpper!N65</f>
        <v>2</v>
      </c>
      <c r="AQ65">
        <f>UnitUpper!P65</f>
        <v>-1</v>
      </c>
      <c r="AR65">
        <f>UnitUpper!O65</f>
        <v>100</v>
      </c>
      <c r="AS65">
        <f>UnitUpper!Q65</f>
        <v>-1</v>
      </c>
      <c r="AT65" s="4">
        <v>0</v>
      </c>
      <c r="AU65" s="4">
        <v>0</v>
      </c>
      <c r="AV65">
        <f>UnitUpper!AL65</f>
        <v>1</v>
      </c>
      <c r="AW65">
        <f>UnitUpper!AZ65</f>
        <v>-1</v>
      </c>
      <c r="AX65">
        <f>UnitUpper!BA65</f>
        <v>2</v>
      </c>
      <c r="AY65" s="4">
        <v>0</v>
      </c>
    </row>
    <row r="66" spans="1:51" x14ac:dyDescent="0.25">
      <c r="A66" t="str">
        <f>UnitUpper!A66</f>
        <v>unup064</v>
      </c>
      <c r="B66" t="str">
        <f>UnitUpper!D66</f>
        <v>NotUsed</v>
      </c>
      <c r="C66" s="1" t="str">
        <f>UnitUpper!B66</f>
        <v>3023F</v>
      </c>
      <c r="D66">
        <f>UnitUpper!C66</f>
        <v>100</v>
      </c>
      <c r="E66" s="4" t="s">
        <v>252</v>
      </c>
      <c r="F66" s="4">
        <v>38</v>
      </c>
      <c r="G66">
        <f>UnitUpper!AI66</f>
        <v>0</v>
      </c>
      <c r="H66" s="4">
        <v>0</v>
      </c>
      <c r="I66">
        <f>UnitUpper!AJ66</f>
        <v>0</v>
      </c>
      <c r="J66">
        <f>UnitUpper!AK66</f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63</v>
      </c>
      <c r="T66" s="4">
        <v>0</v>
      </c>
      <c r="U66" s="4">
        <v>0</v>
      </c>
      <c r="V66" s="4">
        <v>0</v>
      </c>
      <c r="W66">
        <f>UnitUpper!M66</f>
        <v>-1</v>
      </c>
      <c r="X66">
        <f>UnitUpper!E66</f>
        <v>1</v>
      </c>
      <c r="Y66" s="1" t="str">
        <f>UnitUpper!F66</f>
        <v>00010000</v>
      </c>
      <c r="Z66" s="4">
        <v>0</v>
      </c>
      <c r="AA66" s="4">
        <v>0</v>
      </c>
      <c r="AB66">
        <f>UnitUpper!AB66</f>
        <v>0</v>
      </c>
      <c r="AC66">
        <f>UnitUpper!AE66</f>
        <v>0</v>
      </c>
      <c r="AD66">
        <f>UnitUpper!AF66</f>
        <v>0</v>
      </c>
      <c r="AE66">
        <f>UnitUpper!AG66</f>
        <v>0</v>
      </c>
      <c r="AF66">
        <f>UnitUpper!AH66</f>
        <v>0</v>
      </c>
      <c r="AG66">
        <f>UnitUpper!Y66</f>
        <v>0</v>
      </c>
      <c r="AH66">
        <f>UnitUpper!AC66</f>
        <v>49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>
        <f>UnitUpper!L66</f>
        <v>100</v>
      </c>
      <c r="AP66">
        <f>UnitUpper!N66</f>
        <v>2</v>
      </c>
      <c r="AQ66">
        <f>UnitUpper!P66</f>
        <v>-1</v>
      </c>
      <c r="AR66">
        <f>UnitUpper!O66</f>
        <v>100</v>
      </c>
      <c r="AS66">
        <f>UnitUpper!Q66</f>
        <v>-1</v>
      </c>
      <c r="AT66" s="4">
        <v>0</v>
      </c>
      <c r="AU66" s="4">
        <v>0</v>
      </c>
      <c r="AV66">
        <f>UnitUpper!AL66</f>
        <v>1</v>
      </c>
      <c r="AW66">
        <f>UnitUpper!AZ66</f>
        <v>-1</v>
      </c>
      <c r="AX66">
        <f>UnitUpper!BA66</f>
        <v>2</v>
      </c>
      <c r="AY66" s="4">
        <v>0</v>
      </c>
    </row>
    <row r="67" spans="1:51" x14ac:dyDescent="0.25">
      <c r="A67" t="str">
        <f>UnitUpper!A67</f>
        <v>unup065</v>
      </c>
      <c r="B67" t="str">
        <f>UnitUpper!D67</f>
        <v>NotUsed</v>
      </c>
      <c r="C67" s="1" t="str">
        <f>UnitUpper!B67</f>
        <v>30240</v>
      </c>
      <c r="D67">
        <f>UnitUpper!C67</f>
        <v>100</v>
      </c>
      <c r="E67" s="4" t="s">
        <v>252</v>
      </c>
      <c r="F67" s="4">
        <v>38</v>
      </c>
      <c r="G67">
        <f>UnitUpper!AI67</f>
        <v>0</v>
      </c>
      <c r="H67" s="4">
        <v>0</v>
      </c>
      <c r="I67">
        <f>UnitUpper!AJ67</f>
        <v>0</v>
      </c>
      <c r="J67">
        <f>UnitUpper!AK67</f>
        <v>1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64</v>
      </c>
      <c r="T67" s="4">
        <v>0</v>
      </c>
      <c r="U67" s="4">
        <v>0</v>
      </c>
      <c r="V67" s="4">
        <v>0</v>
      </c>
      <c r="W67">
        <f>UnitUpper!M67</f>
        <v>-1</v>
      </c>
      <c r="X67">
        <f>UnitUpper!E67</f>
        <v>1</v>
      </c>
      <c r="Y67" s="1" t="str">
        <f>UnitUpper!F67</f>
        <v>00010000</v>
      </c>
      <c r="Z67" s="4">
        <v>0</v>
      </c>
      <c r="AA67" s="4">
        <v>0</v>
      </c>
      <c r="AB67">
        <f>UnitUpper!AB67</f>
        <v>0</v>
      </c>
      <c r="AC67">
        <f>UnitUpper!AE67</f>
        <v>0</v>
      </c>
      <c r="AD67">
        <f>UnitUpper!AF67</f>
        <v>0</v>
      </c>
      <c r="AE67">
        <f>UnitUpper!AG67</f>
        <v>0</v>
      </c>
      <c r="AF67">
        <f>UnitUpper!AH67</f>
        <v>0</v>
      </c>
      <c r="AG67">
        <f>UnitUpper!Y67</f>
        <v>0</v>
      </c>
      <c r="AH67">
        <f>UnitUpper!AC67</f>
        <v>49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>
        <f>UnitUpper!L67</f>
        <v>100</v>
      </c>
      <c r="AP67">
        <f>UnitUpper!N67</f>
        <v>2</v>
      </c>
      <c r="AQ67">
        <f>UnitUpper!P67</f>
        <v>-1</v>
      </c>
      <c r="AR67">
        <f>UnitUpper!O67</f>
        <v>100</v>
      </c>
      <c r="AS67">
        <f>UnitUpper!Q67</f>
        <v>-1</v>
      </c>
      <c r="AT67" s="4">
        <v>0</v>
      </c>
      <c r="AU67" s="4">
        <v>0</v>
      </c>
      <c r="AV67">
        <f>UnitUpper!AL67</f>
        <v>1</v>
      </c>
      <c r="AW67">
        <f>UnitUpper!AZ67</f>
        <v>-1</v>
      </c>
      <c r="AX67">
        <f>UnitUpper!BA67</f>
        <v>2</v>
      </c>
      <c r="AY67" s="4">
        <v>0</v>
      </c>
    </row>
    <row r="68" spans="1:51" x14ac:dyDescent="0.25">
      <c r="A68" t="str">
        <f>UnitUpper!A68</f>
        <v>unup066</v>
      </c>
      <c r="B68" t="str">
        <f>UnitUpper!D68</f>
        <v>NotUsed</v>
      </c>
      <c r="C68" s="1" t="str">
        <f>UnitUpper!B68</f>
        <v>30241</v>
      </c>
      <c r="D68">
        <f>UnitUpper!C68</f>
        <v>100</v>
      </c>
      <c r="E68" s="4" t="s">
        <v>252</v>
      </c>
      <c r="F68" s="4">
        <v>38</v>
      </c>
      <c r="G68">
        <f>UnitUpper!AI68</f>
        <v>0</v>
      </c>
      <c r="H68" s="4">
        <v>0</v>
      </c>
      <c r="I68">
        <f>UnitUpper!AJ68</f>
        <v>0</v>
      </c>
      <c r="J68">
        <f>UnitUpper!AK68</f>
        <v>1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65</v>
      </c>
      <c r="T68" s="4">
        <v>0</v>
      </c>
      <c r="U68" s="4">
        <v>0</v>
      </c>
      <c r="V68" s="4">
        <v>0</v>
      </c>
      <c r="W68">
        <f>UnitUpper!M68</f>
        <v>-1</v>
      </c>
      <c r="X68">
        <f>UnitUpper!E68</f>
        <v>1</v>
      </c>
      <c r="Y68" s="1" t="str">
        <f>UnitUpper!F68</f>
        <v>00010000</v>
      </c>
      <c r="Z68" s="4">
        <v>0</v>
      </c>
      <c r="AA68" s="4">
        <v>0</v>
      </c>
      <c r="AB68">
        <f>UnitUpper!AB68</f>
        <v>0</v>
      </c>
      <c r="AC68">
        <f>UnitUpper!AE68</f>
        <v>0</v>
      </c>
      <c r="AD68">
        <f>UnitUpper!AF68</f>
        <v>0</v>
      </c>
      <c r="AE68">
        <f>UnitUpper!AG68</f>
        <v>0</v>
      </c>
      <c r="AF68">
        <f>UnitUpper!AH68</f>
        <v>0</v>
      </c>
      <c r="AG68">
        <f>UnitUpper!Y68</f>
        <v>0</v>
      </c>
      <c r="AH68">
        <f>UnitUpper!AC68</f>
        <v>49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>
        <f>UnitUpper!L68</f>
        <v>100</v>
      </c>
      <c r="AP68">
        <f>UnitUpper!N68</f>
        <v>2</v>
      </c>
      <c r="AQ68">
        <f>UnitUpper!P68</f>
        <v>-1</v>
      </c>
      <c r="AR68">
        <f>UnitUpper!O68</f>
        <v>100</v>
      </c>
      <c r="AS68">
        <f>UnitUpper!Q68</f>
        <v>-1</v>
      </c>
      <c r="AT68" s="4">
        <v>0</v>
      </c>
      <c r="AU68" s="4">
        <v>0</v>
      </c>
      <c r="AV68">
        <f>UnitUpper!AL68</f>
        <v>1</v>
      </c>
      <c r="AW68">
        <f>UnitUpper!AZ68</f>
        <v>-1</v>
      </c>
      <c r="AX68">
        <f>UnitUpper!BA68</f>
        <v>2</v>
      </c>
      <c r="AY68" s="4">
        <v>0</v>
      </c>
    </row>
    <row r="69" spans="1:51" x14ac:dyDescent="0.25">
      <c r="A69" t="str">
        <f>UnitUpper!A69</f>
        <v>unup067</v>
      </c>
      <c r="B69" t="str">
        <f>UnitUpper!D69</f>
        <v>NotUsed</v>
      </c>
      <c r="C69" s="1" t="str">
        <f>UnitUpper!B69</f>
        <v>30242</v>
      </c>
      <c r="D69">
        <f>UnitUpper!C69</f>
        <v>100</v>
      </c>
      <c r="E69" s="4" t="s">
        <v>252</v>
      </c>
      <c r="F69" s="4">
        <v>38</v>
      </c>
      <c r="G69">
        <f>UnitUpper!AI69</f>
        <v>0</v>
      </c>
      <c r="H69" s="4">
        <v>0</v>
      </c>
      <c r="I69">
        <f>UnitUpper!AJ69</f>
        <v>0</v>
      </c>
      <c r="J69">
        <f>UnitUpper!AK69</f>
        <v>1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66</v>
      </c>
      <c r="T69" s="4">
        <v>0</v>
      </c>
      <c r="U69" s="4">
        <v>0</v>
      </c>
      <c r="V69" s="4">
        <v>0</v>
      </c>
      <c r="W69">
        <f>UnitUpper!M69</f>
        <v>-1</v>
      </c>
      <c r="X69">
        <f>UnitUpper!E69</f>
        <v>1</v>
      </c>
      <c r="Y69" s="1" t="str">
        <f>UnitUpper!F69</f>
        <v>00010000</v>
      </c>
      <c r="Z69" s="4">
        <v>0</v>
      </c>
      <c r="AA69" s="4">
        <v>0</v>
      </c>
      <c r="AB69">
        <f>UnitUpper!AB69</f>
        <v>0</v>
      </c>
      <c r="AC69">
        <f>UnitUpper!AE69</f>
        <v>0</v>
      </c>
      <c r="AD69">
        <f>UnitUpper!AF69</f>
        <v>0</v>
      </c>
      <c r="AE69">
        <f>UnitUpper!AG69</f>
        <v>0</v>
      </c>
      <c r="AF69">
        <f>UnitUpper!AH69</f>
        <v>0</v>
      </c>
      <c r="AG69">
        <f>UnitUpper!Y69</f>
        <v>0</v>
      </c>
      <c r="AH69">
        <f>UnitUpper!AC69</f>
        <v>49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>
        <f>UnitUpper!L69</f>
        <v>100</v>
      </c>
      <c r="AP69">
        <f>UnitUpper!N69</f>
        <v>2</v>
      </c>
      <c r="AQ69">
        <f>UnitUpper!P69</f>
        <v>-1</v>
      </c>
      <c r="AR69">
        <f>UnitUpper!O69</f>
        <v>100</v>
      </c>
      <c r="AS69">
        <f>UnitUpper!Q69</f>
        <v>-1</v>
      </c>
      <c r="AT69" s="4">
        <v>0</v>
      </c>
      <c r="AU69" s="4">
        <v>0</v>
      </c>
      <c r="AV69">
        <f>UnitUpper!AL69</f>
        <v>1</v>
      </c>
      <c r="AW69">
        <f>UnitUpper!AZ69</f>
        <v>-1</v>
      </c>
      <c r="AX69">
        <f>UnitUpper!BA69</f>
        <v>2</v>
      </c>
      <c r="AY69" s="4">
        <v>0</v>
      </c>
    </row>
    <row r="70" spans="1:51" x14ac:dyDescent="0.25">
      <c r="A70" t="str">
        <f>UnitUpper!A70</f>
        <v>unup068</v>
      </c>
      <c r="B70" t="str">
        <f>UnitUpper!D70</f>
        <v>NotUsed</v>
      </c>
      <c r="C70" s="1" t="str">
        <f>UnitUpper!B70</f>
        <v>30243</v>
      </c>
      <c r="D70">
        <f>UnitUpper!C70</f>
        <v>100</v>
      </c>
      <c r="E70" s="4" t="s">
        <v>252</v>
      </c>
      <c r="F70" s="4">
        <v>38</v>
      </c>
      <c r="G70">
        <f>UnitUpper!AI70</f>
        <v>0</v>
      </c>
      <c r="H70" s="4">
        <v>0</v>
      </c>
      <c r="I70">
        <f>UnitUpper!AJ70</f>
        <v>0</v>
      </c>
      <c r="J70">
        <f>UnitUpper!AK70</f>
        <v>1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67</v>
      </c>
      <c r="T70" s="4">
        <v>0</v>
      </c>
      <c r="U70" s="4">
        <v>0</v>
      </c>
      <c r="V70" s="4">
        <v>0</v>
      </c>
      <c r="W70">
        <f>UnitUpper!M70</f>
        <v>-1</v>
      </c>
      <c r="X70">
        <f>UnitUpper!E70</f>
        <v>1</v>
      </c>
      <c r="Y70" s="1" t="str">
        <f>UnitUpper!F70</f>
        <v>00010000</v>
      </c>
      <c r="Z70" s="4">
        <v>0</v>
      </c>
      <c r="AA70" s="4">
        <v>0</v>
      </c>
      <c r="AB70">
        <f>UnitUpper!AB70</f>
        <v>0</v>
      </c>
      <c r="AC70">
        <f>UnitUpper!AE70</f>
        <v>0</v>
      </c>
      <c r="AD70">
        <f>UnitUpper!AF70</f>
        <v>0</v>
      </c>
      <c r="AE70">
        <f>UnitUpper!AG70</f>
        <v>0</v>
      </c>
      <c r="AF70">
        <f>UnitUpper!AH70</f>
        <v>0</v>
      </c>
      <c r="AG70">
        <f>UnitUpper!Y70</f>
        <v>0</v>
      </c>
      <c r="AH70">
        <f>UnitUpper!AC70</f>
        <v>49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>
        <f>UnitUpper!L70</f>
        <v>100</v>
      </c>
      <c r="AP70">
        <f>UnitUpper!N70</f>
        <v>2</v>
      </c>
      <c r="AQ70">
        <f>UnitUpper!P70</f>
        <v>-1</v>
      </c>
      <c r="AR70">
        <f>UnitUpper!O70</f>
        <v>100</v>
      </c>
      <c r="AS70">
        <f>UnitUpper!Q70</f>
        <v>-1</v>
      </c>
      <c r="AT70" s="4">
        <v>0</v>
      </c>
      <c r="AU70" s="4">
        <v>0</v>
      </c>
      <c r="AV70">
        <f>UnitUpper!AL70</f>
        <v>1</v>
      </c>
      <c r="AW70">
        <f>UnitUpper!AZ70</f>
        <v>-1</v>
      </c>
      <c r="AX70">
        <f>UnitUpper!BA70</f>
        <v>2</v>
      </c>
      <c r="AY70" s="4">
        <v>0</v>
      </c>
    </row>
    <row r="71" spans="1:51" x14ac:dyDescent="0.25">
      <c r="A71" t="str">
        <f>UnitUpper!A71</f>
        <v>unup069</v>
      </c>
      <c r="B71" t="str">
        <f>UnitUpper!D71</f>
        <v>NotUsed</v>
      </c>
      <c r="C71" s="1" t="str">
        <f>UnitUpper!B71</f>
        <v>30244</v>
      </c>
      <c r="D71">
        <f>UnitUpper!C71</f>
        <v>100</v>
      </c>
      <c r="E71" s="4" t="s">
        <v>252</v>
      </c>
      <c r="F71" s="4">
        <v>38</v>
      </c>
      <c r="G71">
        <f>UnitUpper!AI71</f>
        <v>0</v>
      </c>
      <c r="H71" s="4">
        <v>0</v>
      </c>
      <c r="I71">
        <f>UnitUpper!AJ71</f>
        <v>0</v>
      </c>
      <c r="J71">
        <f>UnitUpper!AK71</f>
        <v>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68</v>
      </c>
      <c r="T71" s="4">
        <v>0</v>
      </c>
      <c r="U71" s="4">
        <v>0</v>
      </c>
      <c r="V71" s="4">
        <v>0</v>
      </c>
      <c r="W71">
        <f>UnitUpper!M71</f>
        <v>-1</v>
      </c>
      <c r="X71">
        <f>UnitUpper!E71</f>
        <v>1</v>
      </c>
      <c r="Y71" s="1" t="str">
        <f>UnitUpper!F71</f>
        <v>00010000</v>
      </c>
      <c r="Z71" s="4">
        <v>0</v>
      </c>
      <c r="AA71" s="4">
        <v>0</v>
      </c>
      <c r="AB71">
        <f>UnitUpper!AB71</f>
        <v>0</v>
      </c>
      <c r="AC71">
        <f>UnitUpper!AE71</f>
        <v>0</v>
      </c>
      <c r="AD71">
        <f>UnitUpper!AF71</f>
        <v>0</v>
      </c>
      <c r="AE71">
        <f>UnitUpper!AG71</f>
        <v>0</v>
      </c>
      <c r="AF71">
        <f>UnitUpper!AH71</f>
        <v>0</v>
      </c>
      <c r="AG71">
        <f>UnitUpper!Y71</f>
        <v>0</v>
      </c>
      <c r="AH71">
        <f>UnitUpper!AC71</f>
        <v>49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>
        <f>UnitUpper!L71</f>
        <v>100</v>
      </c>
      <c r="AP71">
        <f>UnitUpper!N71</f>
        <v>2</v>
      </c>
      <c r="AQ71">
        <f>UnitUpper!P71</f>
        <v>-1</v>
      </c>
      <c r="AR71">
        <f>UnitUpper!O71</f>
        <v>100</v>
      </c>
      <c r="AS71">
        <f>UnitUpper!Q71</f>
        <v>-1</v>
      </c>
      <c r="AT71" s="4">
        <v>0</v>
      </c>
      <c r="AU71" s="4">
        <v>0</v>
      </c>
      <c r="AV71">
        <f>UnitUpper!AL71</f>
        <v>1</v>
      </c>
      <c r="AW71">
        <f>UnitUpper!AZ71</f>
        <v>-1</v>
      </c>
      <c r="AX71">
        <f>UnitUpper!BA71</f>
        <v>2</v>
      </c>
      <c r="AY71" s="4">
        <v>0</v>
      </c>
    </row>
    <row r="72" spans="1:51" x14ac:dyDescent="0.25">
      <c r="A72" t="str">
        <f>UnitUpper!A72</f>
        <v>unup070</v>
      </c>
      <c r="B72" t="str">
        <f>UnitUpper!D72</f>
        <v>NotUsed</v>
      </c>
      <c r="C72" s="1" t="str">
        <f>UnitUpper!B72</f>
        <v>30245</v>
      </c>
      <c r="D72">
        <f>UnitUpper!C72</f>
        <v>100</v>
      </c>
      <c r="E72" s="4" t="s">
        <v>252</v>
      </c>
      <c r="F72" s="4">
        <v>38</v>
      </c>
      <c r="G72">
        <f>UnitUpper!AI72</f>
        <v>0</v>
      </c>
      <c r="H72" s="4">
        <v>0</v>
      </c>
      <c r="I72">
        <f>UnitUpper!AJ72</f>
        <v>0</v>
      </c>
      <c r="J72">
        <f>UnitUpper!AK72</f>
        <v>1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69</v>
      </c>
      <c r="T72" s="4">
        <v>0</v>
      </c>
      <c r="U72" s="4">
        <v>0</v>
      </c>
      <c r="V72" s="4">
        <v>0</v>
      </c>
      <c r="W72">
        <f>UnitUpper!M72</f>
        <v>-1</v>
      </c>
      <c r="X72">
        <f>UnitUpper!E72</f>
        <v>1</v>
      </c>
      <c r="Y72" s="1" t="str">
        <f>UnitUpper!F72</f>
        <v>00010000</v>
      </c>
      <c r="Z72" s="4">
        <v>0</v>
      </c>
      <c r="AA72" s="4">
        <v>0</v>
      </c>
      <c r="AB72">
        <f>UnitUpper!AB72</f>
        <v>0</v>
      </c>
      <c r="AC72">
        <f>UnitUpper!AE72</f>
        <v>0</v>
      </c>
      <c r="AD72">
        <f>UnitUpper!AF72</f>
        <v>0</v>
      </c>
      <c r="AE72">
        <f>UnitUpper!AG72</f>
        <v>0</v>
      </c>
      <c r="AF72">
        <f>UnitUpper!AH72</f>
        <v>0</v>
      </c>
      <c r="AG72">
        <f>UnitUpper!Y72</f>
        <v>0</v>
      </c>
      <c r="AH72">
        <f>UnitUpper!AC72</f>
        <v>49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>
        <f>UnitUpper!L72</f>
        <v>100</v>
      </c>
      <c r="AP72">
        <f>UnitUpper!N72</f>
        <v>2</v>
      </c>
      <c r="AQ72">
        <f>UnitUpper!P72</f>
        <v>-1</v>
      </c>
      <c r="AR72">
        <f>UnitUpper!O72</f>
        <v>100</v>
      </c>
      <c r="AS72">
        <f>UnitUpper!Q72</f>
        <v>-1</v>
      </c>
      <c r="AT72" s="4">
        <v>0</v>
      </c>
      <c r="AU72" s="4">
        <v>0</v>
      </c>
      <c r="AV72">
        <f>UnitUpper!AL72</f>
        <v>1</v>
      </c>
      <c r="AW72">
        <f>UnitUpper!AZ72</f>
        <v>-1</v>
      </c>
      <c r="AX72">
        <f>UnitUpper!BA72</f>
        <v>2</v>
      </c>
      <c r="AY72" s="4">
        <v>0</v>
      </c>
    </row>
    <row r="73" spans="1:51" x14ac:dyDescent="0.25">
      <c r="A73" t="str">
        <f>UnitUpper!A73</f>
        <v>unup071</v>
      </c>
      <c r="B73" t="str">
        <f>UnitUpper!D73</f>
        <v>NotUsed</v>
      </c>
      <c r="C73" s="1" t="str">
        <f>UnitUpper!B73</f>
        <v>30246</v>
      </c>
      <c r="D73">
        <f>UnitUpper!C73</f>
        <v>100</v>
      </c>
      <c r="E73" s="4" t="s">
        <v>252</v>
      </c>
      <c r="F73" s="4">
        <v>38</v>
      </c>
      <c r="G73">
        <f>UnitUpper!AI73</f>
        <v>0</v>
      </c>
      <c r="H73" s="4">
        <v>0</v>
      </c>
      <c r="I73">
        <f>UnitUpper!AJ73</f>
        <v>0</v>
      </c>
      <c r="J73">
        <f>UnitUpper!AK73</f>
        <v>1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70</v>
      </c>
      <c r="T73" s="4">
        <v>0</v>
      </c>
      <c r="U73" s="4">
        <v>0</v>
      </c>
      <c r="V73" s="4">
        <v>0</v>
      </c>
      <c r="W73">
        <f>UnitUpper!M73</f>
        <v>-1</v>
      </c>
      <c r="X73">
        <f>UnitUpper!E73</f>
        <v>1</v>
      </c>
      <c r="Y73" s="1" t="str">
        <f>UnitUpper!F73</f>
        <v>00010000</v>
      </c>
      <c r="Z73" s="4">
        <v>0</v>
      </c>
      <c r="AA73" s="4">
        <v>0</v>
      </c>
      <c r="AB73">
        <f>UnitUpper!AB73</f>
        <v>0</v>
      </c>
      <c r="AC73">
        <f>UnitUpper!AE73</f>
        <v>0</v>
      </c>
      <c r="AD73">
        <f>UnitUpper!AF73</f>
        <v>0</v>
      </c>
      <c r="AE73">
        <f>UnitUpper!AG73</f>
        <v>0</v>
      </c>
      <c r="AF73">
        <f>UnitUpper!AH73</f>
        <v>0</v>
      </c>
      <c r="AG73">
        <f>UnitUpper!Y73</f>
        <v>0</v>
      </c>
      <c r="AH73">
        <f>UnitUpper!AC73</f>
        <v>49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>
        <f>UnitUpper!L73</f>
        <v>100</v>
      </c>
      <c r="AP73">
        <f>UnitUpper!N73</f>
        <v>2</v>
      </c>
      <c r="AQ73">
        <f>UnitUpper!P73</f>
        <v>-1</v>
      </c>
      <c r="AR73">
        <f>UnitUpper!O73</f>
        <v>100</v>
      </c>
      <c r="AS73">
        <f>UnitUpper!Q73</f>
        <v>-1</v>
      </c>
      <c r="AT73" s="4">
        <v>0</v>
      </c>
      <c r="AU73" s="4">
        <v>0</v>
      </c>
      <c r="AV73">
        <f>UnitUpper!AL73</f>
        <v>1</v>
      </c>
      <c r="AW73">
        <f>UnitUpper!AZ73</f>
        <v>-1</v>
      </c>
      <c r="AX73">
        <f>UnitUpper!BA73</f>
        <v>2</v>
      </c>
      <c r="AY73" s="4">
        <v>0</v>
      </c>
    </row>
    <row r="74" spans="1:51" x14ac:dyDescent="0.25">
      <c r="A74" t="str">
        <f>UnitUpper!A74</f>
        <v>unup072</v>
      </c>
      <c r="B74" t="str">
        <f>UnitUpper!D74</f>
        <v>NotUsed</v>
      </c>
      <c r="C74" s="1" t="str">
        <f>UnitUpper!B74</f>
        <v>30247</v>
      </c>
      <c r="D74">
        <f>UnitUpper!C74</f>
        <v>100</v>
      </c>
      <c r="E74" s="4" t="s">
        <v>252</v>
      </c>
      <c r="F74" s="4">
        <v>38</v>
      </c>
      <c r="G74">
        <f>UnitUpper!AI74</f>
        <v>0</v>
      </c>
      <c r="H74" s="4">
        <v>0</v>
      </c>
      <c r="I74">
        <f>UnitUpper!AJ74</f>
        <v>0</v>
      </c>
      <c r="J74">
        <f>UnitUpper!AK74</f>
        <v>1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71</v>
      </c>
      <c r="T74" s="4">
        <v>0</v>
      </c>
      <c r="U74" s="4">
        <v>0</v>
      </c>
      <c r="V74" s="4">
        <v>0</v>
      </c>
      <c r="W74">
        <f>UnitUpper!M74</f>
        <v>-1</v>
      </c>
      <c r="X74">
        <f>UnitUpper!E74</f>
        <v>1</v>
      </c>
      <c r="Y74" s="1" t="str">
        <f>UnitUpper!F74</f>
        <v>00010000</v>
      </c>
      <c r="Z74" s="4">
        <v>0</v>
      </c>
      <c r="AA74" s="4">
        <v>0</v>
      </c>
      <c r="AB74">
        <f>UnitUpper!AB74</f>
        <v>0</v>
      </c>
      <c r="AC74">
        <f>UnitUpper!AE74</f>
        <v>0</v>
      </c>
      <c r="AD74">
        <f>UnitUpper!AF74</f>
        <v>0</v>
      </c>
      <c r="AE74">
        <f>UnitUpper!AG74</f>
        <v>0</v>
      </c>
      <c r="AF74">
        <f>UnitUpper!AH74</f>
        <v>0</v>
      </c>
      <c r="AG74">
        <f>UnitUpper!Y74</f>
        <v>0</v>
      </c>
      <c r="AH74">
        <f>UnitUpper!AC74</f>
        <v>49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>
        <f>UnitUpper!L74</f>
        <v>100</v>
      </c>
      <c r="AP74">
        <f>UnitUpper!N74</f>
        <v>2</v>
      </c>
      <c r="AQ74">
        <f>UnitUpper!P74</f>
        <v>-1</v>
      </c>
      <c r="AR74">
        <f>UnitUpper!O74</f>
        <v>100</v>
      </c>
      <c r="AS74">
        <f>UnitUpper!Q74</f>
        <v>-1</v>
      </c>
      <c r="AT74" s="4">
        <v>0</v>
      </c>
      <c r="AU74" s="4">
        <v>0</v>
      </c>
      <c r="AV74">
        <f>UnitUpper!AL74</f>
        <v>1</v>
      </c>
      <c r="AW74">
        <f>UnitUpper!AZ74</f>
        <v>-1</v>
      </c>
      <c r="AX74">
        <f>UnitUpper!BA74</f>
        <v>2</v>
      </c>
      <c r="AY74" s="4">
        <v>0</v>
      </c>
    </row>
    <row r="75" spans="1:51" x14ac:dyDescent="0.25">
      <c r="A75" t="str">
        <f>UnitUpper!A75</f>
        <v>unup073</v>
      </c>
      <c r="B75" t="str">
        <f>UnitUpper!D75</f>
        <v>NotUsed</v>
      </c>
      <c r="C75" s="1" t="str">
        <f>UnitUpper!B75</f>
        <v>30248</v>
      </c>
      <c r="D75">
        <f>UnitUpper!C75</f>
        <v>100</v>
      </c>
      <c r="E75" s="4" t="s">
        <v>252</v>
      </c>
      <c r="F75" s="4">
        <v>38</v>
      </c>
      <c r="G75">
        <f>UnitUpper!AI75</f>
        <v>0</v>
      </c>
      <c r="H75" s="4">
        <v>0</v>
      </c>
      <c r="I75">
        <f>UnitUpper!AJ75</f>
        <v>0</v>
      </c>
      <c r="J75">
        <f>UnitUpper!AK75</f>
        <v>1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72</v>
      </c>
      <c r="T75" s="4">
        <v>0</v>
      </c>
      <c r="U75" s="4">
        <v>0</v>
      </c>
      <c r="V75" s="4">
        <v>0</v>
      </c>
      <c r="W75">
        <f>UnitUpper!M75</f>
        <v>-1</v>
      </c>
      <c r="X75">
        <f>UnitUpper!E75</f>
        <v>1</v>
      </c>
      <c r="Y75" s="1" t="str">
        <f>UnitUpper!F75</f>
        <v>00010000</v>
      </c>
      <c r="Z75" s="4">
        <v>0</v>
      </c>
      <c r="AA75" s="4">
        <v>0</v>
      </c>
      <c r="AB75">
        <f>UnitUpper!AB75</f>
        <v>0</v>
      </c>
      <c r="AC75">
        <f>UnitUpper!AE75</f>
        <v>0</v>
      </c>
      <c r="AD75">
        <f>UnitUpper!AF75</f>
        <v>0</v>
      </c>
      <c r="AE75">
        <f>UnitUpper!AG75</f>
        <v>0</v>
      </c>
      <c r="AF75">
        <f>UnitUpper!AH75</f>
        <v>0</v>
      </c>
      <c r="AG75">
        <f>UnitUpper!Y75</f>
        <v>0</v>
      </c>
      <c r="AH75">
        <f>UnitUpper!AC75</f>
        <v>49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>
        <f>UnitUpper!L75</f>
        <v>100</v>
      </c>
      <c r="AP75">
        <f>UnitUpper!N75</f>
        <v>2</v>
      </c>
      <c r="AQ75">
        <f>UnitUpper!P75</f>
        <v>-1</v>
      </c>
      <c r="AR75">
        <f>UnitUpper!O75</f>
        <v>100</v>
      </c>
      <c r="AS75">
        <f>UnitUpper!Q75</f>
        <v>-1</v>
      </c>
      <c r="AT75" s="4">
        <v>0</v>
      </c>
      <c r="AU75" s="4">
        <v>0</v>
      </c>
      <c r="AV75">
        <f>UnitUpper!AL75</f>
        <v>1</v>
      </c>
      <c r="AW75">
        <f>UnitUpper!AZ75</f>
        <v>-1</v>
      </c>
      <c r="AX75">
        <f>UnitUpper!BA75</f>
        <v>2</v>
      </c>
      <c r="AY75" s="4">
        <v>0</v>
      </c>
    </row>
    <row r="76" spans="1:51" x14ac:dyDescent="0.25">
      <c r="A76" t="str">
        <f>UnitUpper!A76</f>
        <v>unup074</v>
      </c>
      <c r="B76" t="str">
        <f>UnitUpper!D76</f>
        <v>NotUsed</v>
      </c>
      <c r="C76" s="1" t="str">
        <f>UnitUpper!B76</f>
        <v>30249</v>
      </c>
      <c r="D76">
        <f>UnitUpper!C76</f>
        <v>100</v>
      </c>
      <c r="E76" s="4" t="s">
        <v>252</v>
      </c>
      <c r="F76" s="4">
        <v>38</v>
      </c>
      <c r="G76">
        <f>UnitUpper!AI76</f>
        <v>0</v>
      </c>
      <c r="H76" s="4">
        <v>0</v>
      </c>
      <c r="I76">
        <f>UnitUpper!AJ76</f>
        <v>0</v>
      </c>
      <c r="J76">
        <f>UnitUpper!AK76</f>
        <v>1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73</v>
      </c>
      <c r="T76" s="4">
        <v>0</v>
      </c>
      <c r="U76" s="4">
        <v>0</v>
      </c>
      <c r="V76" s="4">
        <v>0</v>
      </c>
      <c r="W76">
        <f>UnitUpper!M76</f>
        <v>-1</v>
      </c>
      <c r="X76">
        <f>UnitUpper!E76</f>
        <v>1</v>
      </c>
      <c r="Y76" s="1" t="str">
        <f>UnitUpper!F76</f>
        <v>00010000</v>
      </c>
      <c r="Z76" s="4">
        <v>0</v>
      </c>
      <c r="AA76" s="4">
        <v>0</v>
      </c>
      <c r="AB76">
        <f>UnitUpper!AB76</f>
        <v>0</v>
      </c>
      <c r="AC76">
        <f>UnitUpper!AE76</f>
        <v>0</v>
      </c>
      <c r="AD76">
        <f>UnitUpper!AF76</f>
        <v>0</v>
      </c>
      <c r="AE76">
        <f>UnitUpper!AG76</f>
        <v>0</v>
      </c>
      <c r="AF76">
        <f>UnitUpper!AH76</f>
        <v>0</v>
      </c>
      <c r="AG76">
        <f>UnitUpper!Y76</f>
        <v>0</v>
      </c>
      <c r="AH76">
        <f>UnitUpper!AC76</f>
        <v>49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>
        <f>UnitUpper!L76</f>
        <v>100</v>
      </c>
      <c r="AP76">
        <f>UnitUpper!N76</f>
        <v>2</v>
      </c>
      <c r="AQ76">
        <f>UnitUpper!P76</f>
        <v>-1</v>
      </c>
      <c r="AR76">
        <f>UnitUpper!O76</f>
        <v>100</v>
      </c>
      <c r="AS76">
        <f>UnitUpper!Q76</f>
        <v>-1</v>
      </c>
      <c r="AT76" s="4">
        <v>0</v>
      </c>
      <c r="AU76" s="4">
        <v>0</v>
      </c>
      <c r="AV76">
        <f>UnitUpper!AL76</f>
        <v>1</v>
      </c>
      <c r="AW76">
        <f>UnitUpper!AZ76</f>
        <v>-1</v>
      </c>
      <c r="AX76">
        <f>UnitUpper!BA76</f>
        <v>2</v>
      </c>
      <c r="AY76" s="4">
        <v>0</v>
      </c>
    </row>
    <row r="77" spans="1:51" x14ac:dyDescent="0.25">
      <c r="A77" t="str">
        <f>UnitUpper!A77</f>
        <v>unup075</v>
      </c>
      <c r="B77" t="str">
        <f>UnitUpper!D77</f>
        <v>NotUsed</v>
      </c>
      <c r="C77" s="1" t="str">
        <f>UnitUpper!B77</f>
        <v>3024A</v>
      </c>
      <c r="D77">
        <f>UnitUpper!C77</f>
        <v>100</v>
      </c>
      <c r="E77" s="4" t="s">
        <v>252</v>
      </c>
      <c r="F77" s="4">
        <v>38</v>
      </c>
      <c r="G77">
        <f>UnitUpper!AI77</f>
        <v>0</v>
      </c>
      <c r="H77" s="4">
        <v>0</v>
      </c>
      <c r="I77">
        <f>UnitUpper!AJ77</f>
        <v>0</v>
      </c>
      <c r="J77">
        <f>UnitUpper!AK77</f>
        <v>1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74</v>
      </c>
      <c r="T77" s="4">
        <v>0</v>
      </c>
      <c r="U77" s="4">
        <v>0</v>
      </c>
      <c r="V77" s="4">
        <v>0</v>
      </c>
      <c r="W77">
        <f>UnitUpper!M77</f>
        <v>-1</v>
      </c>
      <c r="X77">
        <f>UnitUpper!E77</f>
        <v>1</v>
      </c>
      <c r="Y77" s="1" t="str">
        <f>UnitUpper!F77</f>
        <v>00010000</v>
      </c>
      <c r="Z77" s="4">
        <v>0</v>
      </c>
      <c r="AA77" s="4">
        <v>0</v>
      </c>
      <c r="AB77">
        <f>UnitUpper!AB77</f>
        <v>0</v>
      </c>
      <c r="AC77">
        <f>UnitUpper!AE77</f>
        <v>0</v>
      </c>
      <c r="AD77">
        <f>UnitUpper!AF77</f>
        <v>0</v>
      </c>
      <c r="AE77">
        <f>UnitUpper!AG77</f>
        <v>0</v>
      </c>
      <c r="AF77">
        <f>UnitUpper!AH77</f>
        <v>0</v>
      </c>
      <c r="AG77">
        <f>UnitUpper!Y77</f>
        <v>0</v>
      </c>
      <c r="AH77">
        <f>UnitUpper!AC77</f>
        <v>49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>
        <f>UnitUpper!L77</f>
        <v>100</v>
      </c>
      <c r="AP77">
        <f>UnitUpper!N77</f>
        <v>2</v>
      </c>
      <c r="AQ77">
        <f>UnitUpper!P77</f>
        <v>-1</v>
      </c>
      <c r="AR77">
        <f>UnitUpper!O77</f>
        <v>100</v>
      </c>
      <c r="AS77">
        <f>UnitUpper!Q77</f>
        <v>-1</v>
      </c>
      <c r="AT77" s="4">
        <v>0</v>
      </c>
      <c r="AU77" s="4">
        <v>0</v>
      </c>
      <c r="AV77">
        <f>UnitUpper!AL77</f>
        <v>1</v>
      </c>
      <c r="AW77">
        <f>UnitUpper!AZ77</f>
        <v>-1</v>
      </c>
      <c r="AX77">
        <f>UnitUpper!BA77</f>
        <v>2</v>
      </c>
      <c r="AY77" s="4">
        <v>0</v>
      </c>
    </row>
    <row r="78" spans="1:51" x14ac:dyDescent="0.25">
      <c r="A78" t="str">
        <f>UnitUpper!A78</f>
        <v>unup076</v>
      </c>
      <c r="B78" t="str">
        <f>UnitUpper!D78</f>
        <v>NotUsed</v>
      </c>
      <c r="C78" s="1" t="str">
        <f>UnitUpper!B78</f>
        <v>3024B</v>
      </c>
      <c r="D78">
        <f>UnitUpper!C78</f>
        <v>100</v>
      </c>
      <c r="E78" s="4" t="s">
        <v>252</v>
      </c>
      <c r="F78" s="4">
        <v>38</v>
      </c>
      <c r="G78">
        <f>UnitUpper!AI78</f>
        <v>0</v>
      </c>
      <c r="H78" s="4">
        <v>0</v>
      </c>
      <c r="I78">
        <f>UnitUpper!AJ78</f>
        <v>0</v>
      </c>
      <c r="J78">
        <f>UnitUpper!AK78</f>
        <v>1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75</v>
      </c>
      <c r="T78" s="4">
        <v>0</v>
      </c>
      <c r="U78" s="4">
        <v>0</v>
      </c>
      <c r="V78" s="4">
        <v>0</v>
      </c>
      <c r="W78">
        <f>UnitUpper!M78</f>
        <v>-1</v>
      </c>
      <c r="X78">
        <f>UnitUpper!E78</f>
        <v>1</v>
      </c>
      <c r="Y78" s="1" t="str">
        <f>UnitUpper!F78</f>
        <v>00010000</v>
      </c>
      <c r="Z78" s="4">
        <v>0</v>
      </c>
      <c r="AA78" s="4">
        <v>0</v>
      </c>
      <c r="AB78">
        <f>UnitUpper!AB78</f>
        <v>0</v>
      </c>
      <c r="AC78">
        <f>UnitUpper!AE78</f>
        <v>0</v>
      </c>
      <c r="AD78">
        <f>UnitUpper!AF78</f>
        <v>0</v>
      </c>
      <c r="AE78">
        <f>UnitUpper!AG78</f>
        <v>0</v>
      </c>
      <c r="AF78">
        <f>UnitUpper!AH78</f>
        <v>0</v>
      </c>
      <c r="AG78">
        <f>UnitUpper!Y78</f>
        <v>0</v>
      </c>
      <c r="AH78">
        <f>UnitUpper!AC78</f>
        <v>49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>
        <f>UnitUpper!L78</f>
        <v>100</v>
      </c>
      <c r="AP78">
        <f>UnitUpper!N78</f>
        <v>2</v>
      </c>
      <c r="AQ78">
        <f>UnitUpper!P78</f>
        <v>-1</v>
      </c>
      <c r="AR78">
        <f>UnitUpper!O78</f>
        <v>100</v>
      </c>
      <c r="AS78">
        <f>UnitUpper!Q78</f>
        <v>-1</v>
      </c>
      <c r="AT78" s="4">
        <v>0</v>
      </c>
      <c r="AU78" s="4">
        <v>0</v>
      </c>
      <c r="AV78">
        <f>UnitUpper!AL78</f>
        <v>1</v>
      </c>
      <c r="AW78">
        <f>UnitUpper!AZ78</f>
        <v>-1</v>
      </c>
      <c r="AX78">
        <f>UnitUpper!BA78</f>
        <v>2</v>
      </c>
      <c r="AY78" s="4">
        <v>0</v>
      </c>
    </row>
    <row r="79" spans="1:51" x14ac:dyDescent="0.25">
      <c r="A79" t="str">
        <f>UnitUpper!A79</f>
        <v>unup077</v>
      </c>
      <c r="B79" t="str">
        <f>UnitUpper!D79</f>
        <v>NotUsed</v>
      </c>
      <c r="C79" s="1" t="str">
        <f>UnitUpper!B79</f>
        <v>3024C</v>
      </c>
      <c r="D79">
        <f>UnitUpper!C79</f>
        <v>100</v>
      </c>
      <c r="E79" s="4" t="s">
        <v>252</v>
      </c>
      <c r="F79" s="4">
        <v>38</v>
      </c>
      <c r="G79">
        <f>UnitUpper!AI79</f>
        <v>0</v>
      </c>
      <c r="H79" s="4">
        <v>0</v>
      </c>
      <c r="I79">
        <f>UnitUpper!AJ79</f>
        <v>0</v>
      </c>
      <c r="J79">
        <f>UnitUpper!AK79</f>
        <v>1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76</v>
      </c>
      <c r="T79" s="4">
        <v>0</v>
      </c>
      <c r="U79" s="4">
        <v>0</v>
      </c>
      <c r="V79" s="4">
        <v>0</v>
      </c>
      <c r="W79">
        <f>UnitUpper!M79</f>
        <v>-1</v>
      </c>
      <c r="X79">
        <f>UnitUpper!E79</f>
        <v>1</v>
      </c>
      <c r="Y79" s="1" t="str">
        <f>UnitUpper!F79</f>
        <v>00010000</v>
      </c>
      <c r="Z79" s="4">
        <v>0</v>
      </c>
      <c r="AA79" s="4">
        <v>0</v>
      </c>
      <c r="AB79">
        <f>UnitUpper!AB79</f>
        <v>0</v>
      </c>
      <c r="AC79">
        <f>UnitUpper!AE79</f>
        <v>0</v>
      </c>
      <c r="AD79">
        <f>UnitUpper!AF79</f>
        <v>0</v>
      </c>
      <c r="AE79">
        <f>UnitUpper!AG79</f>
        <v>0</v>
      </c>
      <c r="AF79">
        <f>UnitUpper!AH79</f>
        <v>0</v>
      </c>
      <c r="AG79">
        <f>UnitUpper!Y79</f>
        <v>0</v>
      </c>
      <c r="AH79">
        <f>UnitUpper!AC79</f>
        <v>49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>
        <f>UnitUpper!L79</f>
        <v>100</v>
      </c>
      <c r="AP79">
        <f>UnitUpper!N79</f>
        <v>2</v>
      </c>
      <c r="AQ79">
        <f>UnitUpper!P79</f>
        <v>-1</v>
      </c>
      <c r="AR79">
        <f>UnitUpper!O79</f>
        <v>100</v>
      </c>
      <c r="AS79">
        <f>UnitUpper!Q79</f>
        <v>-1</v>
      </c>
      <c r="AT79" s="4">
        <v>0</v>
      </c>
      <c r="AU79" s="4">
        <v>0</v>
      </c>
      <c r="AV79">
        <f>UnitUpper!AL79</f>
        <v>1</v>
      </c>
      <c r="AW79">
        <f>UnitUpper!AZ79</f>
        <v>-1</v>
      </c>
      <c r="AX79">
        <f>UnitUpper!BA79</f>
        <v>2</v>
      </c>
      <c r="AY79" s="4">
        <v>0</v>
      </c>
    </row>
    <row r="80" spans="1:51" x14ac:dyDescent="0.25">
      <c r="A80" t="str">
        <f>UnitUpper!A80</f>
        <v>unup078</v>
      </c>
      <c r="B80" t="str">
        <f>UnitUpper!D80</f>
        <v>NotUsed</v>
      </c>
      <c r="C80" s="1" t="str">
        <f>UnitUpper!B80</f>
        <v>3024D</v>
      </c>
      <c r="D80">
        <f>UnitUpper!C80</f>
        <v>100</v>
      </c>
      <c r="E80" s="4" t="s">
        <v>252</v>
      </c>
      <c r="F80" s="4">
        <v>38</v>
      </c>
      <c r="G80">
        <f>UnitUpper!AI80</f>
        <v>0</v>
      </c>
      <c r="H80" s="4">
        <v>0</v>
      </c>
      <c r="I80">
        <f>UnitUpper!AJ80</f>
        <v>0</v>
      </c>
      <c r="J80">
        <f>UnitUpper!AK80</f>
        <v>1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77</v>
      </c>
      <c r="T80" s="4">
        <v>0</v>
      </c>
      <c r="U80" s="4">
        <v>0</v>
      </c>
      <c r="V80" s="4">
        <v>0</v>
      </c>
      <c r="W80">
        <f>UnitUpper!M80</f>
        <v>-1</v>
      </c>
      <c r="X80">
        <f>UnitUpper!E80</f>
        <v>1</v>
      </c>
      <c r="Y80" s="1" t="str">
        <f>UnitUpper!F80</f>
        <v>00010000</v>
      </c>
      <c r="Z80" s="4">
        <v>0</v>
      </c>
      <c r="AA80" s="4">
        <v>0</v>
      </c>
      <c r="AB80">
        <f>UnitUpper!AB80</f>
        <v>0</v>
      </c>
      <c r="AC80">
        <f>UnitUpper!AE80</f>
        <v>0</v>
      </c>
      <c r="AD80">
        <f>UnitUpper!AF80</f>
        <v>0</v>
      </c>
      <c r="AE80">
        <f>UnitUpper!AG80</f>
        <v>0</v>
      </c>
      <c r="AF80">
        <f>UnitUpper!AH80</f>
        <v>0</v>
      </c>
      <c r="AG80">
        <f>UnitUpper!Y80</f>
        <v>0</v>
      </c>
      <c r="AH80">
        <f>UnitUpper!AC80</f>
        <v>49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>
        <f>UnitUpper!L80</f>
        <v>100</v>
      </c>
      <c r="AP80">
        <f>UnitUpper!N80</f>
        <v>2</v>
      </c>
      <c r="AQ80">
        <f>UnitUpper!P80</f>
        <v>-1</v>
      </c>
      <c r="AR80">
        <f>UnitUpper!O80</f>
        <v>100</v>
      </c>
      <c r="AS80">
        <f>UnitUpper!Q80</f>
        <v>-1</v>
      </c>
      <c r="AT80" s="4">
        <v>0</v>
      </c>
      <c r="AU80" s="4">
        <v>0</v>
      </c>
      <c r="AV80">
        <f>UnitUpper!AL80</f>
        <v>1</v>
      </c>
      <c r="AW80">
        <f>UnitUpper!AZ80</f>
        <v>-1</v>
      </c>
      <c r="AX80">
        <f>UnitUpper!BA80</f>
        <v>2</v>
      </c>
      <c r="AY80" s="4">
        <v>0</v>
      </c>
    </row>
    <row r="81" spans="1:51" x14ac:dyDescent="0.25">
      <c r="A81" t="str">
        <f>UnitUpper!A81</f>
        <v>unup079</v>
      </c>
      <c r="B81" t="str">
        <f>UnitUpper!D81</f>
        <v>NotUsed</v>
      </c>
      <c r="C81" s="1" t="str">
        <f>UnitUpper!B81</f>
        <v>3024E</v>
      </c>
      <c r="D81">
        <f>UnitUpper!C81</f>
        <v>100</v>
      </c>
      <c r="E81" s="4" t="s">
        <v>252</v>
      </c>
      <c r="F81" s="4">
        <v>38</v>
      </c>
      <c r="G81">
        <f>UnitUpper!AI81</f>
        <v>0</v>
      </c>
      <c r="H81" s="4">
        <v>0</v>
      </c>
      <c r="I81">
        <f>UnitUpper!AJ81</f>
        <v>0</v>
      </c>
      <c r="J81">
        <f>UnitUpper!AK81</f>
        <v>1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78</v>
      </c>
      <c r="T81" s="4">
        <v>0</v>
      </c>
      <c r="U81" s="4">
        <v>0</v>
      </c>
      <c r="V81" s="4">
        <v>0</v>
      </c>
      <c r="W81">
        <f>UnitUpper!M81</f>
        <v>-1</v>
      </c>
      <c r="X81">
        <f>UnitUpper!E81</f>
        <v>1</v>
      </c>
      <c r="Y81" s="1" t="str">
        <f>UnitUpper!F81</f>
        <v>00010000</v>
      </c>
      <c r="Z81" s="4">
        <v>0</v>
      </c>
      <c r="AA81" s="4">
        <v>0</v>
      </c>
      <c r="AB81">
        <f>UnitUpper!AB81</f>
        <v>0</v>
      </c>
      <c r="AC81">
        <f>UnitUpper!AE81</f>
        <v>0</v>
      </c>
      <c r="AD81">
        <f>UnitUpper!AF81</f>
        <v>0</v>
      </c>
      <c r="AE81">
        <f>UnitUpper!AG81</f>
        <v>0</v>
      </c>
      <c r="AF81">
        <f>UnitUpper!AH81</f>
        <v>0</v>
      </c>
      <c r="AG81">
        <f>UnitUpper!Y81</f>
        <v>0</v>
      </c>
      <c r="AH81">
        <f>UnitUpper!AC81</f>
        <v>49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>
        <f>UnitUpper!L81</f>
        <v>100</v>
      </c>
      <c r="AP81">
        <f>UnitUpper!N81</f>
        <v>2</v>
      </c>
      <c r="AQ81">
        <f>UnitUpper!P81</f>
        <v>-1</v>
      </c>
      <c r="AR81">
        <f>UnitUpper!O81</f>
        <v>100</v>
      </c>
      <c r="AS81">
        <f>UnitUpper!Q81</f>
        <v>-1</v>
      </c>
      <c r="AT81" s="4">
        <v>0</v>
      </c>
      <c r="AU81" s="4">
        <v>0</v>
      </c>
      <c r="AV81">
        <f>UnitUpper!AL81</f>
        <v>1</v>
      </c>
      <c r="AW81">
        <f>UnitUpper!AZ81</f>
        <v>-1</v>
      </c>
      <c r="AX81">
        <f>UnitUpper!BA81</f>
        <v>2</v>
      </c>
      <c r="AY81" s="4">
        <v>0</v>
      </c>
    </row>
    <row r="82" spans="1:51" x14ac:dyDescent="0.25">
      <c r="A82" t="str">
        <f>UnitUpper!A82</f>
        <v>unup080</v>
      </c>
      <c r="B82" t="str">
        <f>UnitUpper!D82</f>
        <v>NotUsed</v>
      </c>
      <c r="C82" s="1" t="str">
        <f>UnitUpper!B82</f>
        <v>3024F</v>
      </c>
      <c r="D82">
        <f>UnitUpper!C82</f>
        <v>100</v>
      </c>
      <c r="E82" s="4" t="s">
        <v>252</v>
      </c>
      <c r="F82" s="4">
        <v>38</v>
      </c>
      <c r="G82">
        <f>UnitUpper!AI82</f>
        <v>0</v>
      </c>
      <c r="H82" s="4">
        <v>0</v>
      </c>
      <c r="I82">
        <f>UnitUpper!AJ82</f>
        <v>0</v>
      </c>
      <c r="J82">
        <f>UnitUpper!AK82</f>
        <v>1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79</v>
      </c>
      <c r="T82" s="4">
        <v>0</v>
      </c>
      <c r="U82" s="4">
        <v>0</v>
      </c>
      <c r="V82" s="4">
        <v>0</v>
      </c>
      <c r="W82">
        <f>UnitUpper!M82</f>
        <v>-1</v>
      </c>
      <c r="X82">
        <f>UnitUpper!E82</f>
        <v>1</v>
      </c>
      <c r="Y82" s="1" t="str">
        <f>UnitUpper!F82</f>
        <v>00010000</v>
      </c>
      <c r="Z82" s="4">
        <v>0</v>
      </c>
      <c r="AA82" s="4">
        <v>0</v>
      </c>
      <c r="AB82">
        <f>UnitUpper!AB82</f>
        <v>0</v>
      </c>
      <c r="AC82">
        <f>UnitUpper!AE82</f>
        <v>0</v>
      </c>
      <c r="AD82">
        <f>UnitUpper!AF82</f>
        <v>0</v>
      </c>
      <c r="AE82">
        <f>UnitUpper!AG82</f>
        <v>0</v>
      </c>
      <c r="AF82">
        <f>UnitUpper!AH82</f>
        <v>0</v>
      </c>
      <c r="AG82">
        <f>UnitUpper!Y82</f>
        <v>0</v>
      </c>
      <c r="AH82">
        <f>UnitUpper!AC82</f>
        <v>49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>
        <f>UnitUpper!L82</f>
        <v>100</v>
      </c>
      <c r="AP82">
        <f>UnitUpper!N82</f>
        <v>2</v>
      </c>
      <c r="AQ82">
        <f>UnitUpper!P82</f>
        <v>-1</v>
      </c>
      <c r="AR82">
        <f>UnitUpper!O82</f>
        <v>100</v>
      </c>
      <c r="AS82">
        <f>UnitUpper!Q82</f>
        <v>-1</v>
      </c>
      <c r="AT82" s="4">
        <v>0</v>
      </c>
      <c r="AU82" s="4">
        <v>0</v>
      </c>
      <c r="AV82">
        <f>UnitUpper!AL82</f>
        <v>1</v>
      </c>
      <c r="AW82">
        <f>UnitUpper!AZ82</f>
        <v>-1</v>
      </c>
      <c r="AX82">
        <f>UnitUpper!BA82</f>
        <v>2</v>
      </c>
      <c r="AY82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workbookViewId="0">
      <pane ySplit="2" topLeftCell="A6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219</v>
      </c>
      <c r="C1" s="2" t="s">
        <v>3</v>
      </c>
    </row>
    <row r="2" spans="1:3" x14ac:dyDescent="0.25">
      <c r="A2" s="2" t="s">
        <v>202</v>
      </c>
      <c r="B2" s="2" t="s">
        <v>220</v>
      </c>
      <c r="C2" s="2"/>
    </row>
    <row r="3" spans="1:3" x14ac:dyDescent="0.25">
      <c r="A3" s="4">
        <v>0</v>
      </c>
      <c r="B3" s="4" t="s">
        <v>249</v>
      </c>
      <c r="C3" s="2"/>
    </row>
    <row r="4" spans="1:3" x14ac:dyDescent="0.25">
      <c r="A4" s="4">
        <v>1</v>
      </c>
      <c r="B4" s="4" t="s">
        <v>250</v>
      </c>
      <c r="C4" s="2"/>
    </row>
    <row r="5" spans="1:3" x14ac:dyDescent="0.25">
      <c r="A5" s="4">
        <v>2</v>
      </c>
      <c r="B5" s="4" t="s">
        <v>250</v>
      </c>
      <c r="C5" s="2"/>
    </row>
    <row r="6" spans="1:3" x14ac:dyDescent="0.25">
      <c r="A6" s="4">
        <v>3</v>
      </c>
      <c r="B6" s="4" t="s">
        <v>250</v>
      </c>
      <c r="C6" s="2"/>
    </row>
    <row r="7" spans="1:3" x14ac:dyDescent="0.25">
      <c r="A7" s="4">
        <v>4</v>
      </c>
      <c r="B7" s="4" t="s">
        <v>250</v>
      </c>
      <c r="C7" s="2"/>
    </row>
    <row r="8" spans="1:3" x14ac:dyDescent="0.25">
      <c r="A8" s="4">
        <v>5</v>
      </c>
      <c r="B8" s="4" t="s">
        <v>250</v>
      </c>
      <c r="C8" s="2"/>
    </row>
    <row r="9" spans="1:3" x14ac:dyDescent="0.25">
      <c r="A9" s="4">
        <v>6</v>
      </c>
      <c r="B9" s="4" t="s">
        <v>250</v>
      </c>
      <c r="C9" s="2"/>
    </row>
    <row r="10" spans="1:3" x14ac:dyDescent="0.25">
      <c r="A10" s="4">
        <v>7</v>
      </c>
      <c r="B10" s="4" t="s">
        <v>250</v>
      </c>
      <c r="C10" s="2"/>
    </row>
    <row r="11" spans="1:3" x14ac:dyDescent="0.25">
      <c r="A11" s="4">
        <v>8</v>
      </c>
      <c r="B11" s="4" t="s">
        <v>250</v>
      </c>
      <c r="C11" s="2"/>
    </row>
    <row r="12" spans="1:3" x14ac:dyDescent="0.25">
      <c r="A12" s="4">
        <v>9</v>
      </c>
      <c r="B12" s="4" t="s">
        <v>250</v>
      </c>
      <c r="C12" s="2"/>
    </row>
    <row r="13" spans="1:3" x14ac:dyDescent="0.25">
      <c r="A13" s="4">
        <v>10</v>
      </c>
      <c r="B13" s="4" t="s">
        <v>250</v>
      </c>
      <c r="C13" s="2"/>
    </row>
    <row r="14" spans="1:3" x14ac:dyDescent="0.25">
      <c r="A14" s="4">
        <v>11</v>
      </c>
      <c r="B14" s="4" t="s">
        <v>250</v>
      </c>
      <c r="C14" s="2"/>
    </row>
    <row r="15" spans="1:3" x14ac:dyDescent="0.25">
      <c r="A15" s="4">
        <v>12</v>
      </c>
      <c r="B15" s="4" t="s">
        <v>250</v>
      </c>
      <c r="C15" s="2"/>
    </row>
    <row r="16" spans="1:3" x14ac:dyDescent="0.25">
      <c r="A16" s="4">
        <v>13</v>
      </c>
      <c r="B16" s="4" t="s">
        <v>250</v>
      </c>
      <c r="C16" s="2"/>
    </row>
    <row r="17" spans="1:3" x14ac:dyDescent="0.25">
      <c r="A17" s="4">
        <v>14</v>
      </c>
      <c r="B17" s="4" t="s">
        <v>250</v>
      </c>
      <c r="C17" s="2"/>
    </row>
    <row r="18" spans="1:3" x14ac:dyDescent="0.25">
      <c r="A18" s="4">
        <v>15</v>
      </c>
      <c r="B18" s="4" t="s">
        <v>250</v>
      </c>
      <c r="C18" s="2"/>
    </row>
    <row r="19" spans="1:3" x14ac:dyDescent="0.25">
      <c r="A19" s="4">
        <v>16</v>
      </c>
      <c r="B19" s="4" t="s">
        <v>250</v>
      </c>
      <c r="C19" s="2"/>
    </row>
    <row r="20" spans="1:3" x14ac:dyDescent="0.25">
      <c r="A20" s="4">
        <v>17</v>
      </c>
      <c r="B20" s="4" t="s">
        <v>250</v>
      </c>
      <c r="C20" s="2"/>
    </row>
    <row r="21" spans="1:3" x14ac:dyDescent="0.25">
      <c r="A21" s="4">
        <v>18</v>
      </c>
      <c r="B21" s="4" t="s">
        <v>250</v>
      </c>
      <c r="C21" s="2"/>
    </row>
    <row r="22" spans="1:3" x14ac:dyDescent="0.25">
      <c r="A22" s="4">
        <v>19</v>
      </c>
      <c r="B22" s="4" t="s">
        <v>250</v>
      </c>
      <c r="C22" s="2"/>
    </row>
    <row r="23" spans="1:3" x14ac:dyDescent="0.25">
      <c r="A23" s="4">
        <v>20</v>
      </c>
      <c r="B23" s="4" t="s">
        <v>251</v>
      </c>
      <c r="C23" s="2"/>
    </row>
    <row r="24" spans="1:3" x14ac:dyDescent="0.25">
      <c r="A24" s="4">
        <v>21</v>
      </c>
      <c r="B24" s="4" t="s">
        <v>250</v>
      </c>
      <c r="C24" s="2"/>
    </row>
    <row r="25" spans="1:3" x14ac:dyDescent="0.25">
      <c r="A25" s="4">
        <v>22</v>
      </c>
      <c r="B25" s="4" t="s">
        <v>250</v>
      </c>
      <c r="C25" s="2"/>
    </row>
    <row r="26" spans="1:3" x14ac:dyDescent="0.25">
      <c r="A26" s="4">
        <v>23</v>
      </c>
      <c r="B26" s="4" t="s">
        <v>250</v>
      </c>
      <c r="C26" s="2"/>
    </row>
    <row r="27" spans="1:3" x14ac:dyDescent="0.25">
      <c r="A27" s="4">
        <v>24</v>
      </c>
      <c r="B27" s="4" t="s">
        <v>250</v>
      </c>
      <c r="C27" s="2"/>
    </row>
    <row r="28" spans="1:3" x14ac:dyDescent="0.25">
      <c r="A28" s="4">
        <v>25</v>
      </c>
      <c r="B28" s="4" t="s">
        <v>250</v>
      </c>
      <c r="C28" s="2"/>
    </row>
    <row r="29" spans="1:3" x14ac:dyDescent="0.25">
      <c r="A29" s="4">
        <v>26</v>
      </c>
      <c r="B29" s="4" t="s">
        <v>250</v>
      </c>
      <c r="C29" s="2"/>
    </row>
    <row r="30" spans="1:3" x14ac:dyDescent="0.25">
      <c r="A30" s="4">
        <v>27</v>
      </c>
      <c r="B30" s="4" t="s">
        <v>250</v>
      </c>
      <c r="C30" s="2"/>
    </row>
    <row r="31" spans="1:3" x14ac:dyDescent="0.25">
      <c r="A31" s="4">
        <v>28</v>
      </c>
      <c r="B31" s="4" t="s">
        <v>250</v>
      </c>
      <c r="C31" s="2"/>
    </row>
    <row r="32" spans="1:3" x14ac:dyDescent="0.25">
      <c r="A32" s="4">
        <v>29</v>
      </c>
      <c r="B32" s="4" t="s">
        <v>250</v>
      </c>
      <c r="C32" s="2"/>
    </row>
    <row r="33" spans="1:3" x14ac:dyDescent="0.25">
      <c r="A33" s="4">
        <v>30</v>
      </c>
      <c r="B33" s="4" t="s">
        <v>250</v>
      </c>
      <c r="C33" s="2"/>
    </row>
    <row r="34" spans="1:3" x14ac:dyDescent="0.25">
      <c r="A34" s="4">
        <v>31</v>
      </c>
      <c r="B34" s="4" t="s">
        <v>250</v>
      </c>
      <c r="C34" s="2"/>
    </row>
    <row r="35" spans="1:3" x14ac:dyDescent="0.25">
      <c r="A35" s="4">
        <v>32</v>
      </c>
      <c r="B35" s="4" t="s">
        <v>250</v>
      </c>
      <c r="C35" s="2"/>
    </row>
    <row r="36" spans="1:3" x14ac:dyDescent="0.25">
      <c r="A36" s="4">
        <v>33</v>
      </c>
      <c r="B36" s="4" t="s">
        <v>250</v>
      </c>
      <c r="C36" s="2"/>
    </row>
    <row r="37" spans="1:3" x14ac:dyDescent="0.25">
      <c r="A37" s="4">
        <v>34</v>
      </c>
      <c r="B37" s="4" t="s">
        <v>250</v>
      </c>
      <c r="C37" s="2"/>
    </row>
    <row r="38" spans="1:3" x14ac:dyDescent="0.25">
      <c r="A38" s="4">
        <v>35</v>
      </c>
      <c r="B38" s="4" t="s">
        <v>250</v>
      </c>
      <c r="C38" s="2"/>
    </row>
    <row r="39" spans="1:3" x14ac:dyDescent="0.25">
      <c r="A39" s="4">
        <v>36</v>
      </c>
      <c r="B39" s="4" t="s">
        <v>250</v>
      </c>
      <c r="C39" s="2"/>
    </row>
    <row r="40" spans="1:3" x14ac:dyDescent="0.25">
      <c r="A40" s="4">
        <v>37</v>
      </c>
      <c r="B40" s="4" t="s">
        <v>250</v>
      </c>
      <c r="C40" s="2"/>
    </row>
    <row r="41" spans="1:3" x14ac:dyDescent="0.25">
      <c r="A41" s="4">
        <v>38</v>
      </c>
      <c r="B41" s="4" t="s">
        <v>250</v>
      </c>
      <c r="C41" s="2"/>
    </row>
    <row r="42" spans="1:3" x14ac:dyDescent="0.25">
      <c r="A42" s="4">
        <v>39</v>
      </c>
      <c r="B42" s="4" t="s">
        <v>250</v>
      </c>
      <c r="C42" s="2"/>
    </row>
    <row r="43" spans="1:3" x14ac:dyDescent="0.25">
      <c r="A43" s="4">
        <v>40</v>
      </c>
      <c r="B43" s="4" t="s">
        <v>250</v>
      </c>
      <c r="C43" s="2"/>
    </row>
    <row r="44" spans="1:3" x14ac:dyDescent="0.25">
      <c r="A44" s="4">
        <v>41</v>
      </c>
      <c r="B44" s="4" t="s">
        <v>250</v>
      </c>
      <c r="C44" s="2"/>
    </row>
    <row r="45" spans="1:3" x14ac:dyDescent="0.25">
      <c r="A45" s="4">
        <v>42</v>
      </c>
      <c r="B45" s="4" t="s">
        <v>250</v>
      </c>
      <c r="C45" s="2"/>
    </row>
    <row r="46" spans="1:3" x14ac:dyDescent="0.25">
      <c r="A46" s="4">
        <v>43</v>
      </c>
      <c r="B46" s="4" t="s">
        <v>250</v>
      </c>
      <c r="C46" s="2"/>
    </row>
    <row r="47" spans="1:3" x14ac:dyDescent="0.25">
      <c r="A47" s="4">
        <v>44</v>
      </c>
      <c r="B47" s="4" t="s">
        <v>250</v>
      </c>
      <c r="C47" s="2"/>
    </row>
    <row r="48" spans="1:3" x14ac:dyDescent="0.25">
      <c r="A48" s="4">
        <v>45</v>
      </c>
      <c r="B48" s="4" t="s">
        <v>250</v>
      </c>
      <c r="C48" s="2"/>
    </row>
    <row r="49" spans="1:3" x14ac:dyDescent="0.25">
      <c r="A49" s="4">
        <v>46</v>
      </c>
      <c r="B49" s="4" t="s">
        <v>250</v>
      </c>
      <c r="C49" s="2"/>
    </row>
    <row r="50" spans="1:3" x14ac:dyDescent="0.25">
      <c r="A50" s="4">
        <v>47</v>
      </c>
      <c r="B50" s="4" t="s">
        <v>250</v>
      </c>
      <c r="C50" s="2"/>
    </row>
    <row r="51" spans="1:3" x14ac:dyDescent="0.25">
      <c r="A51" s="4">
        <v>48</v>
      </c>
      <c r="B51" s="4" t="s">
        <v>250</v>
      </c>
      <c r="C51" s="2"/>
    </row>
    <row r="52" spans="1:3" x14ac:dyDescent="0.25">
      <c r="A52" s="4">
        <v>49</v>
      </c>
      <c r="B52" s="4" t="s">
        <v>250</v>
      </c>
      <c r="C52" s="2"/>
    </row>
    <row r="53" spans="1:3" x14ac:dyDescent="0.25">
      <c r="A53" s="4">
        <v>50</v>
      </c>
      <c r="B53" s="4" t="s">
        <v>250</v>
      </c>
      <c r="C53" s="2"/>
    </row>
    <row r="54" spans="1:3" x14ac:dyDescent="0.25">
      <c r="A54" s="4">
        <v>51</v>
      </c>
      <c r="B54" s="4" t="s">
        <v>250</v>
      </c>
      <c r="C54" s="2"/>
    </row>
    <row r="55" spans="1:3" x14ac:dyDescent="0.25">
      <c r="A55" s="4">
        <v>52</v>
      </c>
      <c r="B55" s="4" t="s">
        <v>250</v>
      </c>
      <c r="C55" s="2"/>
    </row>
    <row r="56" spans="1:3" x14ac:dyDescent="0.25">
      <c r="A56" s="4">
        <v>53</v>
      </c>
      <c r="B56" s="4" t="s">
        <v>250</v>
      </c>
      <c r="C56" s="2"/>
    </row>
    <row r="57" spans="1:3" x14ac:dyDescent="0.25">
      <c r="A57" s="4">
        <v>54</v>
      </c>
      <c r="B57" s="4" t="s">
        <v>250</v>
      </c>
      <c r="C57" s="2"/>
    </row>
    <row r="58" spans="1:3" x14ac:dyDescent="0.25">
      <c r="A58" s="4">
        <v>55</v>
      </c>
      <c r="B58" s="4" t="s">
        <v>250</v>
      </c>
      <c r="C58" s="2"/>
    </row>
    <row r="59" spans="1:3" x14ac:dyDescent="0.25">
      <c r="A59" s="4">
        <v>56</v>
      </c>
      <c r="B59" s="4" t="s">
        <v>250</v>
      </c>
      <c r="C59" s="2"/>
    </row>
    <row r="60" spans="1:3" x14ac:dyDescent="0.25">
      <c r="A60" s="4">
        <v>57</v>
      </c>
      <c r="B60" s="4" t="s">
        <v>250</v>
      </c>
      <c r="C60" s="2"/>
    </row>
    <row r="61" spans="1:3" x14ac:dyDescent="0.25">
      <c r="A61" s="4">
        <v>58</v>
      </c>
      <c r="B61" s="4" t="s">
        <v>250</v>
      </c>
      <c r="C61" s="2"/>
    </row>
    <row r="62" spans="1:3" x14ac:dyDescent="0.25">
      <c r="A62" s="4">
        <v>59</v>
      </c>
      <c r="B62" s="4" t="s">
        <v>250</v>
      </c>
      <c r="C62" s="2"/>
    </row>
    <row r="63" spans="1:3" x14ac:dyDescent="0.25">
      <c r="A63" s="4">
        <v>60</v>
      </c>
      <c r="B63" s="4" t="s">
        <v>250</v>
      </c>
      <c r="C63" s="2"/>
    </row>
    <row r="64" spans="1:3" x14ac:dyDescent="0.25">
      <c r="A64" s="4">
        <v>61</v>
      </c>
      <c r="B64" s="4" t="s">
        <v>250</v>
      </c>
      <c r="C64" s="2"/>
    </row>
    <row r="65" spans="1:3" x14ac:dyDescent="0.25">
      <c r="A65" s="4">
        <v>62</v>
      </c>
      <c r="B65" s="4" t="s">
        <v>250</v>
      </c>
      <c r="C65" s="2"/>
    </row>
    <row r="66" spans="1:3" x14ac:dyDescent="0.25">
      <c r="A66" s="4">
        <v>63</v>
      </c>
      <c r="B66" s="4" t="s">
        <v>250</v>
      </c>
      <c r="C66" s="2"/>
    </row>
    <row r="67" spans="1:3" x14ac:dyDescent="0.25">
      <c r="A67" s="4">
        <v>64</v>
      </c>
      <c r="B67" s="4" t="s">
        <v>250</v>
      </c>
      <c r="C67" s="2"/>
    </row>
    <row r="68" spans="1:3" x14ac:dyDescent="0.25">
      <c r="A68" s="4">
        <v>65</v>
      </c>
      <c r="B68" s="4" t="s">
        <v>250</v>
      </c>
      <c r="C68" s="2"/>
    </row>
    <row r="69" spans="1:3" x14ac:dyDescent="0.25">
      <c r="A69" s="4">
        <v>66</v>
      </c>
      <c r="B69" s="4" t="s">
        <v>250</v>
      </c>
      <c r="C69" s="2"/>
    </row>
    <row r="70" spans="1:3" x14ac:dyDescent="0.25">
      <c r="A70" s="4">
        <v>67</v>
      </c>
      <c r="B70" s="4" t="s">
        <v>250</v>
      </c>
      <c r="C70" s="2"/>
    </row>
    <row r="71" spans="1:3" x14ac:dyDescent="0.25">
      <c r="A71" s="4">
        <v>68</v>
      </c>
      <c r="B71" s="4" t="s">
        <v>250</v>
      </c>
      <c r="C71" s="2"/>
    </row>
    <row r="72" spans="1:3" x14ac:dyDescent="0.25">
      <c r="A72" s="4">
        <v>69</v>
      </c>
      <c r="B72" s="4" t="s">
        <v>250</v>
      </c>
      <c r="C72" s="2"/>
    </row>
    <row r="73" spans="1:3" x14ac:dyDescent="0.25">
      <c r="A73" s="4">
        <v>70</v>
      </c>
      <c r="B73" s="4" t="s">
        <v>250</v>
      </c>
      <c r="C73" s="2"/>
    </row>
    <row r="74" spans="1:3" x14ac:dyDescent="0.25">
      <c r="A74" s="4">
        <v>71</v>
      </c>
      <c r="B74" s="4" t="s">
        <v>250</v>
      </c>
      <c r="C74" s="2"/>
    </row>
    <row r="75" spans="1:3" x14ac:dyDescent="0.25">
      <c r="A75" s="4">
        <v>72</v>
      </c>
      <c r="B75" s="4" t="s">
        <v>250</v>
      </c>
      <c r="C75" s="2"/>
    </row>
    <row r="76" spans="1:3" x14ac:dyDescent="0.25">
      <c r="A76" s="4">
        <v>73</v>
      </c>
      <c r="B76" s="4" t="s">
        <v>250</v>
      </c>
      <c r="C76" s="2"/>
    </row>
    <row r="77" spans="1:3" x14ac:dyDescent="0.25">
      <c r="A77" s="4">
        <v>74</v>
      </c>
      <c r="B77" s="4" t="s">
        <v>250</v>
      </c>
      <c r="C77" s="2"/>
    </row>
    <row r="78" spans="1:3" x14ac:dyDescent="0.25">
      <c r="A78" s="4">
        <v>75</v>
      </c>
      <c r="B78" s="4" t="s">
        <v>250</v>
      </c>
      <c r="C78" s="2"/>
    </row>
    <row r="79" spans="1:3" x14ac:dyDescent="0.25">
      <c r="A79" s="4">
        <v>76</v>
      </c>
      <c r="B79" s="4" t="s">
        <v>250</v>
      </c>
      <c r="C79" s="2"/>
    </row>
    <row r="80" spans="1:3" x14ac:dyDescent="0.25">
      <c r="A80" s="4">
        <v>77</v>
      </c>
      <c r="B80" s="4" t="s">
        <v>250</v>
      </c>
      <c r="C80" s="2"/>
    </row>
    <row r="81" spans="1:3" x14ac:dyDescent="0.25">
      <c r="A81" s="4">
        <v>78</v>
      </c>
      <c r="B81" s="4" t="s">
        <v>250</v>
      </c>
      <c r="C81" s="2"/>
    </row>
    <row r="82" spans="1:3" x14ac:dyDescent="0.25">
      <c r="A82" s="4">
        <v>79</v>
      </c>
      <c r="B82" s="4" t="s">
        <v>250</v>
      </c>
      <c r="C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UnitUpper</vt:lpstr>
      <vt:lpstr>38decrypt</vt:lpstr>
      <vt:lpstr>38desc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2025-12-18T04:44:52Z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2025-12-17T11:22:05Z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23d4b225-f206-4754-90ff-e050f13df3fe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