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50CAA8E5-DB51-4EB7-B9E1-513E69844AD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ttleDungeonItem" sheetId="1" r:id="rId1"/>
    <sheet name="23decrypt" sheetId="3" r:id="rId2"/>
    <sheet name="23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0" i="3" l="1"/>
  <c r="AD50" i="3"/>
  <c r="AB50" i="3"/>
  <c r="AA50" i="3"/>
  <c r="Z50" i="3"/>
  <c r="Y50" i="3"/>
  <c r="X50" i="3"/>
  <c r="V50" i="3"/>
  <c r="T50" i="3"/>
  <c r="AE49" i="3"/>
  <c r="AD49" i="3"/>
  <c r="AB49" i="3"/>
  <c r="AA49" i="3"/>
  <c r="Z49" i="3"/>
  <c r="Y49" i="3"/>
  <c r="X49" i="3"/>
  <c r="V49" i="3"/>
  <c r="T49" i="3"/>
  <c r="R50" i="3"/>
  <c r="Q50" i="3"/>
  <c r="P50" i="3"/>
  <c r="O50" i="3"/>
  <c r="N50" i="3"/>
  <c r="M50" i="3"/>
  <c r="L50" i="3"/>
  <c r="K50" i="3"/>
  <c r="J50" i="3"/>
  <c r="I50" i="3"/>
  <c r="G50" i="3"/>
  <c r="E50" i="3"/>
  <c r="D50" i="3"/>
  <c r="C50" i="3"/>
  <c r="B50" i="3"/>
  <c r="A50" i="3"/>
  <c r="R49" i="3"/>
  <c r="Q49" i="3"/>
  <c r="P49" i="3"/>
  <c r="O49" i="3"/>
  <c r="N49" i="3"/>
  <c r="M49" i="3"/>
  <c r="L49" i="3"/>
  <c r="K49" i="3"/>
  <c r="J49" i="3"/>
  <c r="I49" i="3"/>
  <c r="G49" i="3"/>
  <c r="E49" i="3"/>
  <c r="D49" i="3"/>
  <c r="C49" i="3"/>
  <c r="B49" i="3"/>
  <c r="A49" i="3"/>
  <c r="R48" i="3"/>
  <c r="Q48" i="3"/>
  <c r="P48" i="3"/>
  <c r="O48" i="3"/>
  <c r="N48" i="3"/>
  <c r="M48" i="3"/>
  <c r="L48" i="3"/>
  <c r="K48" i="3"/>
  <c r="J48" i="3"/>
  <c r="I48" i="3"/>
  <c r="G48" i="3"/>
  <c r="E48" i="3"/>
  <c r="D48" i="3"/>
  <c r="C48" i="3"/>
  <c r="B48" i="3"/>
  <c r="A48" i="3"/>
  <c r="R47" i="3"/>
  <c r="Q47" i="3"/>
  <c r="P47" i="3"/>
  <c r="O47" i="3"/>
  <c r="N47" i="3"/>
  <c r="M47" i="3"/>
  <c r="L47" i="3"/>
  <c r="K47" i="3"/>
  <c r="J47" i="3"/>
  <c r="I47" i="3"/>
  <c r="G47" i="3"/>
  <c r="E47" i="3"/>
  <c r="D47" i="3"/>
  <c r="C47" i="3"/>
  <c r="B47" i="3"/>
  <c r="A47" i="3"/>
  <c r="R46" i="3"/>
  <c r="Q46" i="3"/>
  <c r="P46" i="3"/>
  <c r="O46" i="3"/>
  <c r="N46" i="3"/>
  <c r="M46" i="3"/>
  <c r="L46" i="3"/>
  <c r="K46" i="3"/>
  <c r="J46" i="3"/>
  <c r="I46" i="3"/>
  <c r="G46" i="3"/>
  <c r="E46" i="3"/>
  <c r="D46" i="3"/>
  <c r="C46" i="3"/>
  <c r="B46" i="3"/>
  <c r="A46" i="3"/>
  <c r="R45" i="3"/>
  <c r="Q45" i="3"/>
  <c r="P45" i="3"/>
  <c r="O45" i="3"/>
  <c r="N45" i="3"/>
  <c r="M45" i="3"/>
  <c r="L45" i="3"/>
  <c r="K45" i="3"/>
  <c r="J45" i="3"/>
  <c r="I45" i="3"/>
  <c r="G45" i="3"/>
  <c r="E45" i="3"/>
  <c r="D45" i="3"/>
  <c r="C45" i="3"/>
  <c r="B45" i="3"/>
  <c r="A45" i="3"/>
  <c r="R44" i="3"/>
  <c r="Q44" i="3"/>
  <c r="P44" i="3"/>
  <c r="O44" i="3"/>
  <c r="N44" i="3"/>
  <c r="M44" i="3"/>
  <c r="L44" i="3"/>
  <c r="K44" i="3"/>
  <c r="J44" i="3"/>
  <c r="I44" i="3"/>
  <c r="G44" i="3"/>
  <c r="E44" i="3"/>
  <c r="D44" i="3"/>
  <c r="C44" i="3"/>
  <c r="B44" i="3"/>
  <c r="A44" i="3"/>
  <c r="R43" i="3"/>
  <c r="Q43" i="3"/>
  <c r="P43" i="3"/>
  <c r="O43" i="3"/>
  <c r="N43" i="3"/>
  <c r="M43" i="3"/>
  <c r="L43" i="3"/>
  <c r="K43" i="3"/>
  <c r="J43" i="3"/>
  <c r="I43" i="3"/>
  <c r="G43" i="3"/>
  <c r="E43" i="3"/>
  <c r="D43" i="3"/>
  <c r="C43" i="3"/>
  <c r="B43" i="3"/>
  <c r="A43" i="3"/>
  <c r="R42" i="3"/>
  <c r="Q42" i="3"/>
  <c r="P42" i="3"/>
  <c r="O42" i="3"/>
  <c r="N42" i="3"/>
  <c r="M42" i="3"/>
  <c r="L42" i="3"/>
  <c r="K42" i="3"/>
  <c r="J42" i="3"/>
  <c r="I42" i="3"/>
  <c r="G42" i="3"/>
  <c r="E42" i="3"/>
  <c r="D42" i="3"/>
  <c r="C42" i="3"/>
  <c r="B42" i="3"/>
  <c r="A42" i="3"/>
  <c r="R41" i="3"/>
  <c r="Q41" i="3"/>
  <c r="P41" i="3"/>
  <c r="O41" i="3"/>
  <c r="N41" i="3"/>
  <c r="M41" i="3"/>
  <c r="L41" i="3"/>
  <c r="K41" i="3"/>
  <c r="J41" i="3"/>
  <c r="I41" i="3"/>
  <c r="G41" i="3"/>
  <c r="E41" i="3"/>
  <c r="D41" i="3"/>
  <c r="C41" i="3"/>
  <c r="B41" i="3"/>
  <c r="A41" i="3"/>
  <c r="R40" i="3"/>
  <c r="Q40" i="3"/>
  <c r="P40" i="3"/>
  <c r="O40" i="3"/>
  <c r="N40" i="3"/>
  <c r="M40" i="3"/>
  <c r="L40" i="3"/>
  <c r="K40" i="3"/>
  <c r="J40" i="3"/>
  <c r="I40" i="3"/>
  <c r="G40" i="3"/>
  <c r="E40" i="3"/>
  <c r="D40" i="3"/>
  <c r="C40" i="3"/>
  <c r="B40" i="3"/>
  <c r="A40" i="3"/>
  <c r="R39" i="3"/>
  <c r="Q39" i="3"/>
  <c r="P39" i="3"/>
  <c r="O39" i="3"/>
  <c r="N39" i="3"/>
  <c r="M39" i="3"/>
  <c r="L39" i="3"/>
  <c r="K39" i="3"/>
  <c r="J39" i="3"/>
  <c r="I39" i="3"/>
  <c r="G39" i="3"/>
  <c r="E39" i="3"/>
  <c r="D39" i="3"/>
  <c r="C39" i="3"/>
  <c r="B39" i="3"/>
  <c r="A39" i="3"/>
  <c r="R38" i="3"/>
  <c r="Q38" i="3"/>
  <c r="P38" i="3"/>
  <c r="O38" i="3"/>
  <c r="N38" i="3"/>
  <c r="M38" i="3"/>
  <c r="L38" i="3"/>
  <c r="K38" i="3"/>
  <c r="J38" i="3"/>
  <c r="I38" i="3"/>
  <c r="G38" i="3"/>
  <c r="E38" i="3"/>
  <c r="D38" i="3"/>
  <c r="C38" i="3"/>
  <c r="B38" i="3"/>
  <c r="A38" i="3"/>
  <c r="R37" i="3"/>
  <c r="Q37" i="3"/>
  <c r="P37" i="3"/>
  <c r="O37" i="3"/>
  <c r="N37" i="3"/>
  <c r="M37" i="3"/>
  <c r="L37" i="3"/>
  <c r="K37" i="3"/>
  <c r="J37" i="3"/>
  <c r="I37" i="3"/>
  <c r="G37" i="3"/>
  <c r="E37" i="3"/>
  <c r="D37" i="3"/>
  <c r="C37" i="3"/>
  <c r="B37" i="3"/>
  <c r="A37" i="3"/>
  <c r="R36" i="3"/>
  <c r="Q36" i="3"/>
  <c r="P36" i="3"/>
  <c r="O36" i="3"/>
  <c r="N36" i="3"/>
  <c r="M36" i="3"/>
  <c r="L36" i="3"/>
  <c r="K36" i="3"/>
  <c r="J36" i="3"/>
  <c r="I36" i="3"/>
  <c r="G36" i="3"/>
  <c r="E36" i="3"/>
  <c r="D36" i="3"/>
  <c r="C36" i="3"/>
  <c r="B36" i="3"/>
  <c r="A36" i="3"/>
  <c r="R35" i="3"/>
  <c r="Q35" i="3"/>
  <c r="P35" i="3"/>
  <c r="O35" i="3"/>
  <c r="N35" i="3"/>
  <c r="M35" i="3"/>
  <c r="L35" i="3"/>
  <c r="K35" i="3"/>
  <c r="J35" i="3"/>
  <c r="I35" i="3"/>
  <c r="G35" i="3"/>
  <c r="E35" i="3"/>
  <c r="D35" i="3"/>
  <c r="C35" i="3"/>
  <c r="B35" i="3"/>
  <c r="A35" i="3"/>
  <c r="R34" i="3"/>
  <c r="Q34" i="3"/>
  <c r="P34" i="3"/>
  <c r="O34" i="3"/>
  <c r="N34" i="3"/>
  <c r="M34" i="3"/>
  <c r="L34" i="3"/>
  <c r="K34" i="3"/>
  <c r="J34" i="3"/>
  <c r="I34" i="3"/>
  <c r="G34" i="3"/>
  <c r="E34" i="3"/>
  <c r="D34" i="3"/>
  <c r="C34" i="3"/>
  <c r="B34" i="3"/>
  <c r="A34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E48" i="3"/>
  <c r="AD48" i="3"/>
  <c r="AB48" i="3"/>
  <c r="AA48" i="3"/>
  <c r="Z48" i="3"/>
  <c r="Y48" i="3"/>
  <c r="X48" i="3"/>
  <c r="V48" i="3"/>
  <c r="T48" i="3"/>
  <c r="AE47" i="3"/>
  <c r="AD47" i="3"/>
  <c r="AB47" i="3"/>
  <c r="AA47" i="3"/>
  <c r="Z47" i="3"/>
  <c r="Y47" i="3"/>
  <c r="X47" i="3"/>
  <c r="V47" i="3"/>
  <c r="T47" i="3"/>
  <c r="AE46" i="3"/>
  <c r="AD46" i="3"/>
  <c r="AB46" i="3"/>
  <c r="AA46" i="3"/>
  <c r="Z46" i="3"/>
  <c r="Y46" i="3"/>
  <c r="X46" i="3"/>
  <c r="V46" i="3"/>
  <c r="T46" i="3"/>
  <c r="AE45" i="3"/>
  <c r="AD45" i="3"/>
  <c r="AB45" i="3"/>
  <c r="AA45" i="3"/>
  <c r="Z45" i="3"/>
  <c r="Y45" i="3"/>
  <c r="X45" i="3"/>
  <c r="V45" i="3"/>
  <c r="T45" i="3"/>
  <c r="AE44" i="3"/>
  <c r="AD44" i="3"/>
  <c r="AB44" i="3"/>
  <c r="AA44" i="3"/>
  <c r="Z44" i="3"/>
  <c r="Y44" i="3"/>
  <c r="X44" i="3"/>
  <c r="V44" i="3"/>
  <c r="T44" i="3"/>
  <c r="AE43" i="3"/>
  <c r="AD43" i="3"/>
  <c r="AB43" i="3"/>
  <c r="AA43" i="3"/>
  <c r="Z43" i="3"/>
  <c r="Y43" i="3"/>
  <c r="X43" i="3"/>
  <c r="V43" i="3"/>
  <c r="T43" i="3"/>
  <c r="AE42" i="3"/>
  <c r="AD42" i="3"/>
  <c r="AB42" i="3"/>
  <c r="AA42" i="3"/>
  <c r="Z42" i="3"/>
  <c r="Y42" i="3"/>
  <c r="X42" i="3"/>
  <c r="V42" i="3"/>
  <c r="T42" i="3"/>
  <c r="AE41" i="3"/>
  <c r="AD41" i="3"/>
  <c r="AB41" i="3"/>
  <c r="AA41" i="3"/>
  <c r="Z41" i="3"/>
  <c r="Y41" i="3"/>
  <c r="X41" i="3"/>
  <c r="V41" i="3"/>
  <c r="T41" i="3"/>
  <c r="AE40" i="3"/>
  <c r="AD40" i="3"/>
  <c r="AB40" i="3"/>
  <c r="AA40" i="3"/>
  <c r="Z40" i="3"/>
  <c r="Y40" i="3"/>
  <c r="X40" i="3"/>
  <c r="V40" i="3"/>
  <c r="T40" i="3"/>
  <c r="AE39" i="3"/>
  <c r="AD39" i="3"/>
  <c r="AB39" i="3"/>
  <c r="AA39" i="3"/>
  <c r="Z39" i="3"/>
  <c r="Y39" i="3"/>
  <c r="X39" i="3"/>
  <c r="V39" i="3"/>
  <c r="T39" i="3"/>
  <c r="AE38" i="3"/>
  <c r="AD38" i="3"/>
  <c r="AB38" i="3"/>
  <c r="AA38" i="3"/>
  <c r="Z38" i="3"/>
  <c r="Y38" i="3"/>
  <c r="X38" i="3"/>
  <c r="V38" i="3"/>
  <c r="T38" i="3"/>
  <c r="AE37" i="3"/>
  <c r="AD37" i="3"/>
  <c r="AB37" i="3"/>
  <c r="AA37" i="3"/>
  <c r="Z37" i="3"/>
  <c r="Y37" i="3"/>
  <c r="X37" i="3"/>
  <c r="V37" i="3"/>
  <c r="T37" i="3"/>
  <c r="AE36" i="3"/>
  <c r="AD36" i="3"/>
  <c r="AB36" i="3"/>
  <c r="AA36" i="3"/>
  <c r="Z36" i="3"/>
  <c r="Y36" i="3"/>
  <c r="X36" i="3"/>
  <c r="V36" i="3"/>
  <c r="T36" i="3"/>
  <c r="AE35" i="3"/>
  <c r="AD35" i="3"/>
  <c r="AB35" i="3"/>
  <c r="AA35" i="3"/>
  <c r="Z35" i="3"/>
  <c r="Y35" i="3"/>
  <c r="X35" i="3"/>
  <c r="V35" i="3"/>
  <c r="T35" i="3"/>
  <c r="AE34" i="3"/>
  <c r="AD34" i="3"/>
  <c r="AB34" i="3"/>
  <c r="AA34" i="3"/>
  <c r="Z34" i="3"/>
  <c r="Y34" i="3"/>
  <c r="X34" i="3"/>
  <c r="V34" i="3"/>
  <c r="T34" i="3"/>
  <c r="AE33" i="3"/>
  <c r="AD33" i="3"/>
  <c r="AB33" i="3"/>
  <c r="AA33" i="3"/>
  <c r="Z33" i="3"/>
  <c r="Y33" i="3"/>
  <c r="X33" i="3"/>
  <c r="V33" i="3"/>
  <c r="T33" i="3"/>
  <c r="AE32" i="3"/>
  <c r="AD32" i="3"/>
  <c r="AB32" i="3"/>
  <c r="AA32" i="3"/>
  <c r="Z32" i="3"/>
  <c r="Y32" i="3"/>
  <c r="X32" i="3"/>
  <c r="V32" i="3"/>
  <c r="T32" i="3"/>
  <c r="AE31" i="3"/>
  <c r="AD31" i="3"/>
  <c r="AB31" i="3"/>
  <c r="AA31" i="3"/>
  <c r="Z31" i="3"/>
  <c r="Y31" i="3"/>
  <c r="X31" i="3"/>
  <c r="V31" i="3"/>
  <c r="T31" i="3"/>
  <c r="AE30" i="3"/>
  <c r="AD30" i="3"/>
  <c r="AB30" i="3"/>
  <c r="AA30" i="3"/>
  <c r="Z30" i="3"/>
  <c r="Y30" i="3"/>
  <c r="X30" i="3"/>
  <c r="V30" i="3"/>
  <c r="T30" i="3"/>
  <c r="AE29" i="3"/>
  <c r="AD29" i="3"/>
  <c r="AB29" i="3"/>
  <c r="AA29" i="3"/>
  <c r="Z29" i="3"/>
  <c r="Y29" i="3"/>
  <c r="X29" i="3"/>
  <c r="V29" i="3"/>
  <c r="T29" i="3"/>
  <c r="AE28" i="3"/>
  <c r="AD28" i="3"/>
  <c r="AB28" i="3"/>
  <c r="AA28" i="3"/>
  <c r="Z28" i="3"/>
  <c r="Y28" i="3"/>
  <c r="X28" i="3"/>
  <c r="V28" i="3"/>
  <c r="T28" i="3"/>
  <c r="AE27" i="3"/>
  <c r="AD27" i="3"/>
  <c r="AB27" i="3"/>
  <c r="AA27" i="3"/>
  <c r="Z27" i="3"/>
  <c r="Y27" i="3"/>
  <c r="X27" i="3"/>
  <c r="V27" i="3"/>
  <c r="T27" i="3"/>
  <c r="AE26" i="3"/>
  <c r="AD26" i="3"/>
  <c r="AB26" i="3"/>
  <c r="AA26" i="3"/>
  <c r="Z26" i="3"/>
  <c r="Y26" i="3"/>
  <c r="X26" i="3"/>
  <c r="V26" i="3"/>
  <c r="T26" i="3"/>
  <c r="AE25" i="3"/>
  <c r="AD25" i="3"/>
  <c r="AB25" i="3"/>
  <c r="AA25" i="3"/>
  <c r="Z25" i="3"/>
  <c r="Y25" i="3"/>
  <c r="X25" i="3"/>
  <c r="V25" i="3"/>
  <c r="T25" i="3"/>
  <c r="AE24" i="3"/>
  <c r="AD24" i="3"/>
  <c r="AB24" i="3"/>
  <c r="AA24" i="3"/>
  <c r="Z24" i="3"/>
  <c r="Y24" i="3"/>
  <c r="X24" i="3"/>
  <c r="V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AE23" i="3"/>
  <c r="AD23" i="3"/>
  <c r="AB23" i="3"/>
  <c r="AA23" i="3"/>
  <c r="Z23" i="3"/>
  <c r="Y23" i="3"/>
  <c r="X23" i="3"/>
  <c r="V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AE22" i="3"/>
  <c r="AD22" i="3"/>
  <c r="AB22" i="3"/>
  <c r="AA22" i="3"/>
  <c r="Z22" i="3"/>
  <c r="Y22" i="3"/>
  <c r="X22" i="3"/>
  <c r="V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AE21" i="3"/>
  <c r="AD21" i="3"/>
  <c r="AB21" i="3"/>
  <c r="AA21" i="3"/>
  <c r="Z21" i="3"/>
  <c r="Y21" i="3"/>
  <c r="X21" i="3"/>
  <c r="V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AE20" i="3"/>
  <c r="AD20" i="3"/>
  <c r="AB20" i="3"/>
  <c r="AA20" i="3"/>
  <c r="Z20" i="3"/>
  <c r="Y20" i="3"/>
  <c r="X20" i="3"/>
  <c r="V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AE19" i="3"/>
  <c r="AD19" i="3"/>
  <c r="AB19" i="3"/>
  <c r="AA19" i="3"/>
  <c r="Z19" i="3"/>
  <c r="Y19" i="3"/>
  <c r="X19" i="3"/>
  <c r="V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AE18" i="3"/>
  <c r="AD18" i="3"/>
  <c r="AB18" i="3"/>
  <c r="AA18" i="3"/>
  <c r="Z18" i="3"/>
  <c r="Y18" i="3"/>
  <c r="X18" i="3"/>
  <c r="V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AE17" i="3"/>
  <c r="AD17" i="3"/>
  <c r="AB17" i="3"/>
  <c r="AA17" i="3"/>
  <c r="Z17" i="3"/>
  <c r="Y17" i="3"/>
  <c r="X17" i="3"/>
  <c r="V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AE16" i="3"/>
  <c r="AD16" i="3"/>
  <c r="AB16" i="3"/>
  <c r="AA16" i="3"/>
  <c r="Z16" i="3"/>
  <c r="Y16" i="3"/>
  <c r="X16" i="3"/>
  <c r="V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AE15" i="3"/>
  <c r="AD15" i="3"/>
  <c r="AB15" i="3"/>
  <c r="AA15" i="3"/>
  <c r="Z15" i="3"/>
  <c r="Y15" i="3"/>
  <c r="X15" i="3"/>
  <c r="V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AE14" i="3"/>
  <c r="AD14" i="3"/>
  <c r="AB14" i="3"/>
  <c r="AA14" i="3"/>
  <c r="Z14" i="3"/>
  <c r="Y14" i="3"/>
  <c r="X14" i="3"/>
  <c r="V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AE13" i="3"/>
  <c r="AD13" i="3"/>
  <c r="AB13" i="3"/>
  <c r="AA13" i="3"/>
  <c r="Z13" i="3"/>
  <c r="Y13" i="3"/>
  <c r="X13" i="3"/>
  <c r="V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AE12" i="3"/>
  <c r="AD12" i="3"/>
  <c r="AB12" i="3"/>
  <c r="AA12" i="3"/>
  <c r="Z12" i="3"/>
  <c r="Y12" i="3"/>
  <c r="X12" i="3"/>
  <c r="V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AE11" i="3"/>
  <c r="AD11" i="3"/>
  <c r="AB11" i="3"/>
  <c r="AA11" i="3"/>
  <c r="Z11" i="3"/>
  <c r="Y11" i="3"/>
  <c r="X11" i="3"/>
  <c r="V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AE10" i="3"/>
  <c r="AD10" i="3"/>
  <c r="AB10" i="3"/>
  <c r="AA10" i="3"/>
  <c r="Z10" i="3"/>
  <c r="Y10" i="3"/>
  <c r="X10" i="3"/>
  <c r="V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AE9" i="3"/>
  <c r="AD9" i="3"/>
  <c r="AB9" i="3"/>
  <c r="AA9" i="3"/>
  <c r="Z9" i="3"/>
  <c r="Y9" i="3"/>
  <c r="X9" i="3"/>
  <c r="V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AE8" i="3"/>
  <c r="AD8" i="3"/>
  <c r="AB8" i="3"/>
  <c r="AA8" i="3"/>
  <c r="Z8" i="3"/>
  <c r="Y8" i="3"/>
  <c r="X8" i="3"/>
  <c r="V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AE7" i="3"/>
  <c r="AD7" i="3"/>
  <c r="AB7" i="3"/>
  <c r="AA7" i="3"/>
  <c r="Z7" i="3"/>
  <c r="Y7" i="3"/>
  <c r="X7" i="3"/>
  <c r="V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AE6" i="3"/>
  <c r="AD6" i="3"/>
  <c r="AB6" i="3"/>
  <c r="AA6" i="3"/>
  <c r="Z6" i="3"/>
  <c r="Y6" i="3"/>
  <c r="X6" i="3"/>
  <c r="V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AE5" i="3"/>
  <c r="AD5" i="3"/>
  <c r="AB5" i="3"/>
  <c r="AA5" i="3"/>
  <c r="Z5" i="3"/>
  <c r="Y5" i="3"/>
  <c r="X5" i="3"/>
  <c r="V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AE4" i="3"/>
  <c r="AD4" i="3"/>
  <c r="AB4" i="3"/>
  <c r="AA4" i="3"/>
  <c r="Z4" i="3"/>
  <c r="Y4" i="3"/>
  <c r="X4" i="3"/>
  <c r="V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AE3" i="3"/>
  <c r="AD3" i="3"/>
  <c r="AB3" i="3"/>
  <c r="AA3" i="3"/>
  <c r="Z3" i="3"/>
  <c r="Y3" i="3"/>
  <c r="X3" i="3"/>
  <c r="V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AE2" i="3"/>
  <c r="AD2" i="3"/>
  <c r="AB2" i="3"/>
  <c r="AA2" i="3"/>
  <c r="Z2" i="3"/>
  <c r="Y2" i="3"/>
  <c r="X2" i="3"/>
  <c r="V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<sst xmlns="http://schemas.openxmlformats.org/spreadsheetml/2006/main" count="553" uniqueCount="248">
  <si>
    <t>string[64]</t>
  </si>
  <si>
    <t>dword</t>
  </si>
  <si>
    <t>float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</si>
  <si>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</si>
  <si>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</si>
  <si>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</si>
  <si>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</si>
  <si>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</si>
  <si>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</si>
  <si>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</si>
  <si>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</si>
  <si>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</si>
  <si>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MapCode</t>
  </si>
  <si>
    <t>DummyName</t>
  </si>
  <si>
    <t>GenMob</t>
  </si>
  <si>
    <t>Money</t>
  </si>
  <si>
    <t>StdPrice</t>
  </si>
  <si>
    <t>StdPoint</t>
  </si>
  <si>
    <t>GoldPoint</t>
  </si>
  <si>
    <t>KillPoint</t>
  </si>
  <si>
    <t>ProcPoint</t>
  </si>
  <si>
    <t>StorePrice</t>
  </si>
  <si>
    <t>IsQualification</t>
  </si>
  <si>
    <t>MobAdd</t>
  </si>
  <si>
    <t>TerminateTime</t>
  </si>
  <si>
    <t>EndIF</t>
  </si>
  <si>
    <t>MobID</t>
  </si>
  <si>
    <t>MobCount</t>
  </si>
  <si>
    <t>IsItemLooting</t>
  </si>
  <si>
    <t>Exp</t>
  </si>
  <si>
    <t>Dalant</t>
  </si>
  <si>
    <t>Gold</t>
  </si>
  <si>
    <t>IsSell</t>
  </si>
  <si>
    <t>IsExchange</t>
  </si>
  <si>
    <t>IsGround</t>
  </si>
  <si>
    <t>IsStore</t>
  </si>
  <si>
    <t>IsNormAcc</t>
  </si>
  <si>
    <t>ToolTip</t>
  </si>
  <si>
    <t>MissionIndex</t>
  </si>
  <si>
    <t>IsTime</t>
  </si>
  <si>
    <t>ixbdn25</t>
  </si>
  <si>
    <t>A30D00</t>
  </si>
  <si>
    <t>Dungeon00</t>
  </si>
  <si>
    <t>_</t>
  </si>
  <si>
    <t>-1</t>
  </si>
  <si>
    <t>ixm001</t>
  </si>
  <si>
    <t>ixbdp25</t>
  </si>
  <si>
    <t>A30D01</t>
  </si>
  <si>
    <t>041A3</t>
  </si>
  <si>
    <t>ixm002</t>
  </si>
  <si>
    <t>ixbdn20</t>
  </si>
  <si>
    <t>A30D02</t>
  </si>
  <si>
    <t>ixbdp20</t>
  </si>
  <si>
    <t>A30D03</t>
  </si>
  <si>
    <t>ixkey01</t>
  </si>
  <si>
    <t>A30D04</t>
  </si>
  <si>
    <t>Dungeon00_1520_winBoss</t>
  </si>
  <si>
    <t>ixkey02</t>
  </si>
  <si>
    <t>A30D05</t>
  </si>
  <si>
    <t>Dungeon00_2125_flmBoss</t>
  </si>
  <si>
    <t>ixkey03</t>
  </si>
  <si>
    <t>A30D06</t>
  </si>
  <si>
    <t>Dungeon00_2125_snt</t>
  </si>
  <si>
    <t>ixkey04</t>
  </si>
  <si>
    <t>A30D07</t>
  </si>
  <si>
    <t>Dungeon00_2630_grmBoss</t>
  </si>
  <si>
    <t>ixkey05</t>
  </si>
  <si>
    <t>A30D08</t>
  </si>
  <si>
    <t>Dungeon00_2630_gaf</t>
  </si>
  <si>
    <t>ixkey06</t>
  </si>
  <si>
    <t>A30D09</t>
  </si>
  <si>
    <t>Dungeon00_2630_huBoss</t>
  </si>
  <si>
    <t>ixkey07</t>
  </si>
  <si>
    <t>A30D0A</t>
  </si>
  <si>
    <t>Dungeon00_3135_splBoss</t>
  </si>
  <si>
    <t>ixkey08</t>
  </si>
  <si>
    <t>A30D0B</t>
  </si>
  <si>
    <t>Dungeon00_3135_bolBoss</t>
  </si>
  <si>
    <t>ixkey09</t>
  </si>
  <si>
    <t>A30D0C</t>
  </si>
  <si>
    <t>Dungeon00_3135_sizl</t>
  </si>
  <si>
    <t>ixkey10</t>
  </si>
  <si>
    <t>A30D0D</t>
  </si>
  <si>
    <t>Dungeon00_3135_arg</t>
  </si>
  <si>
    <t>ixkey11</t>
  </si>
  <si>
    <t>A30D0E</t>
  </si>
  <si>
    <t>Dungeon00_3640_lizBoss</t>
  </si>
  <si>
    <t>ixkey12</t>
  </si>
  <si>
    <t>A30D0F</t>
  </si>
  <si>
    <t>Dungeon00_3640_crlBoss</t>
  </si>
  <si>
    <t>ixkey13</t>
  </si>
  <si>
    <t>A30D10</t>
  </si>
  <si>
    <t>Dungeon00_3640_lav</t>
  </si>
  <si>
    <t>ixkey14</t>
  </si>
  <si>
    <t>A30D11</t>
  </si>
  <si>
    <t>Dungeon00_3640_vaf</t>
  </si>
  <si>
    <t>ixkey15</t>
  </si>
  <si>
    <t>A30D12</t>
  </si>
  <si>
    <t>Dungeon00_4145_cldBoss</t>
  </si>
  <si>
    <t>ixkey16</t>
  </si>
  <si>
    <t>A30D13</t>
  </si>
  <si>
    <t>Dungeon00_4145_hobBoss</t>
  </si>
  <si>
    <t>ixkey17</t>
  </si>
  <si>
    <t>A30D14</t>
  </si>
  <si>
    <t>Dungeon00_4145_thrn</t>
  </si>
  <si>
    <t>ixkey18</t>
  </si>
  <si>
    <t>A30D15</t>
  </si>
  <si>
    <t>Dungeon00_4145_king</t>
  </si>
  <si>
    <t>ixkey19</t>
  </si>
  <si>
    <t>A30D16</t>
  </si>
  <si>
    <t>Dungeon00_4145_pasBoss</t>
  </si>
  <si>
    <t>ixkey20</t>
  </si>
  <si>
    <t>A30D17</t>
  </si>
  <si>
    <t>Dungeon00_4650_sntBoss</t>
  </si>
  <si>
    <t>ixkey21</t>
  </si>
  <si>
    <t>A30D18</t>
  </si>
  <si>
    <t>Dungeon00_4650_helBoss</t>
  </si>
  <si>
    <t>ixkey22</t>
  </si>
  <si>
    <t>A30D19</t>
  </si>
  <si>
    <t>Dungeon00_4650_ana</t>
  </si>
  <si>
    <t>ixkey23</t>
  </si>
  <si>
    <t>A30D1A</t>
  </si>
  <si>
    <t>Dungeon00_4650_kali</t>
  </si>
  <si>
    <t>ixkey24</t>
  </si>
  <si>
    <t>A30D1B</t>
  </si>
  <si>
    <t>Dungeon00_4650_trnBoss</t>
  </si>
  <si>
    <t>ixkey25</t>
  </si>
  <si>
    <t>A30D1C</t>
  </si>
  <si>
    <t>DarkHole_01</t>
  </si>
  <si>
    <t>ixkey26</t>
  </si>
  <si>
    <t>A30D1D</t>
  </si>
  <si>
    <t>Dungeon00_50_horaMechanic</t>
  </si>
  <si>
    <t>ixkey27</t>
  </si>
  <si>
    <t>A30D1E</t>
  </si>
  <si>
    <t>Dungeon00_50_horaIInfernal</t>
  </si>
  <si>
    <t>ixkey28</t>
  </si>
  <si>
    <t>A30D1F</t>
  </si>
  <si>
    <t>Dungeon00_50_horaKali</t>
  </si>
  <si>
    <t>ixkey29</t>
  </si>
  <si>
    <t>A30D20</t>
  </si>
  <si>
    <t>Dungeon00_50_horaTrn</t>
  </si>
  <si>
    <t>ixkey30</t>
  </si>
  <si>
    <t>A30D21</t>
  </si>
  <si>
    <t>Dungeon00_50_horaRex</t>
  </si>
  <si>
    <t>ixkey31</t>
  </si>
  <si>
    <t>A30D22</t>
  </si>
  <si>
    <t>DarkHole_02</t>
  </si>
  <si>
    <t>ixkey32</t>
  </si>
  <si>
    <t>A30D23</t>
  </si>
  <si>
    <t>DarkHole_08</t>
  </si>
  <si>
    <t>ixbde25</t>
  </si>
  <si>
    <t>dungeon00_Evnt_30</t>
  </si>
  <si>
    <t>ixbde35</t>
  </si>
  <si>
    <t>dungeon00_Evnt_3140</t>
  </si>
  <si>
    <t>ixbde40</t>
  </si>
  <si>
    <t>dungeon00_Evnt_41</t>
  </si>
  <si>
    <t>ixbee25</t>
  </si>
  <si>
    <t>dungeon00_EvntRe_30</t>
  </si>
  <si>
    <t>ixbee35</t>
  </si>
  <si>
    <t>dungeon00_EvntRe_3140</t>
  </si>
  <si>
    <t>ixbee40</t>
  </si>
  <si>
    <t>dungeon00_EvntRe_41</t>
  </si>
  <si>
    <t>ixins01</t>
  </si>
  <si>
    <t>A30D30</t>
  </si>
  <si>
    <t>instant_01</t>
  </si>
  <si>
    <t>ixins02</t>
  </si>
  <si>
    <t>A30D31</t>
  </si>
  <si>
    <t>instant_02</t>
  </si>
  <si>
    <t>ixins03</t>
  </si>
  <si>
    <t>A30D32</t>
  </si>
  <si>
    <t>instant_03</t>
  </si>
  <si>
    <t>ixins04</t>
  </si>
  <si>
    <t>A30D33</t>
  </si>
  <si>
    <t>instant_04</t>
  </si>
  <si>
    <t>clcode</t>
  </si>
  <si>
    <t>xeh</t>
  </si>
  <si>
    <t>stb</t>
  </si>
  <si>
    <t>byte</t>
  </si>
  <si>
    <t>word</t>
  </si>
  <si>
    <t>long</t>
  </si>
  <si>
    <t>Count</t>
  </si>
  <si>
    <t>ListID</t>
  </si>
  <si>
    <t>none</t>
  </si>
  <si>
    <t>Descript</t>
  </si>
  <si>
    <t>ISCash</t>
  </si>
  <si>
    <t>UpLvLim</t>
  </si>
  <si>
    <t>hz</t>
  </si>
  <si>
    <t>text</t>
  </si>
  <si>
    <t>desc</t>
  </si>
  <si>
    <t>Unk</t>
  </si>
  <si>
    <t>0</t>
  </si>
  <si>
    <t>Battle Dungeon Gate</t>
  </si>
  <si>
    <t>Gateway Generating Key</t>
  </si>
  <si>
    <t>Normal Battle-Dungeon Gate</t>
  </si>
  <si>
    <t>Battle Dungeon Key for wing type monsters(Difficulty : 15~20).</t>
  </si>
  <si>
    <t>Battle Dungeon Key for flem type monsters(Difficulty : 21~25).</t>
  </si>
  <si>
    <t>Battle Dungeon Key for Snatcher type monsters(Difficulty : 21~25).</t>
  </si>
  <si>
    <t>Battle Dungeon Key for Grumble type monsters(Difficulty : 26~30).</t>
  </si>
  <si>
    <t>Battle Dungeon Key for Gaff type monsters(Difficulty : 26~30).</t>
  </si>
  <si>
    <t>Battle Dungeon Key for HuGaff type monsters(Difficulty : 26~30).</t>
  </si>
  <si>
    <t>Battle Dungeon Key for Splinter type monsters(Difficulty : 31~35).</t>
  </si>
  <si>
    <t>Battle Dungeon Key for Volcanic type monsters(Difficulty : 31~35).</t>
  </si>
  <si>
    <t>Battle Dungeon Key for Sizzler type monsters(Difficulty : 31~35).</t>
  </si>
  <si>
    <t>Battle Dungeon Key for Argol type monsters(Difficulty : 31~35).</t>
  </si>
  <si>
    <t>Event Dungeon25~30</t>
  </si>
  <si>
    <t>Event Dungeon31~35</t>
  </si>
  <si>
    <t>Event Dungeon36~40</t>
  </si>
  <si>
    <t>Event Dungeon30</t>
  </si>
  <si>
    <t>Event Dungeon35</t>
  </si>
  <si>
    <t>Event Dungeon40</t>
  </si>
  <si>
    <t>Gateway creation key</t>
  </si>
  <si>
    <t>A dimension tranfer Gate Creation Key[The Present]</t>
  </si>
  <si>
    <t>A dimension tranfer Gate Creation Key[The Future]</t>
  </si>
  <si>
    <t>Battle Dungeon Key for Lizard type monsters(Difficulty : 36~40).</t>
  </si>
  <si>
    <t>Battle Dungeon Key for Crawler type monsters(Difficulty : 36~40).</t>
  </si>
  <si>
    <t>Battle Dungeon Key for Lava type monsters(Difficulty : 36~40).</t>
  </si>
  <si>
    <t>Battle Dungeon Key for Vafer type monsters(Difficulty : 36~40).</t>
  </si>
  <si>
    <t>Battle Dungeon Key for Clod type monsters(Difficulty : 41~45).</t>
  </si>
  <si>
    <t>Battle Dungeon Key for Hobo type monsters(Difficulty : 41~45).</t>
  </si>
  <si>
    <t>Battle Dungeon Key for Ash type monsters(Difficulty : 41~45).</t>
  </si>
  <si>
    <t>Battle Dungeon Key for Tweezer type monsters(Difficulty : 41~45).</t>
  </si>
  <si>
    <t>Battle Dungeon Key for Passer type monsters(Difficulty : 41~45).</t>
  </si>
  <si>
    <t>Battle Dungeon Key for Snatcher kind monsters(Difficulty : 45~49).</t>
  </si>
  <si>
    <t>Battle Dungeon Key for Heller kind monsters(Difficulty : 45~49).</t>
  </si>
  <si>
    <t>Battle Dungeon Key for Anabola kind monsters(Difficulty : 45~49).</t>
  </si>
  <si>
    <t>Battle Dungeon Key for Caliana kind monsters(Difficulty : 45~49).</t>
  </si>
  <si>
    <t>Battle Dungeon Key for Tuncoat kind monsters(Difficulty : 45~49).</t>
  </si>
  <si>
    <t>A key to open the Dark Hole Battle Dungeon Gate(Difficulty : 45~49).</t>
  </si>
  <si>
    <t>Ultimate Raid Dungeon only for Lv 50~Lv 55.[Hora Mechanic BattleDungeon]</t>
  </si>
  <si>
    <t>Ultimate Raid Dungeon only for Lv 50~Lv 55.[Hora Infernal BattleDungeon]</t>
  </si>
  <si>
    <t>Ultimate Raid Dungeon only for Lv 50~Lv 55.[Hora Caliana BattleDungeon]</t>
  </si>
  <si>
    <t>Ultimate Raid Dungeon only for Lv 50~Lv 55.[Hora Tuncoat BattleDungeon]</t>
  </si>
  <si>
    <t>Ultimate Raid Dungeon only for Lv 50~Lv 55.[Hora Rex BattleDungeon]</t>
  </si>
  <si>
    <t>Instance dungeon for 48~51LV user.</t>
  </si>
  <si>
    <t>Instance dungeon for 45~60LV user.</t>
  </si>
  <si>
    <t>Ring for adventurer. Avoidance 100%</t>
  </si>
  <si>
    <t>Key for other dimension.only for 56~66Lv</t>
  </si>
  <si>
    <t>11111000</t>
  </si>
  <si>
    <t>ixkey33</t>
  </si>
  <si>
    <t>ixkey34</t>
  </si>
  <si>
    <t>Ancient Gateway Key</t>
  </si>
  <si>
    <t>Shiny Saint Gateway Key</t>
  </si>
  <si>
    <t>Cursed Gateway Key</t>
  </si>
  <si>
    <t>Lethal Gateway Key</t>
  </si>
  <si>
    <t>Ancient raid dungeon.&lt;br&gt;&lt;font color='8dacda'&gt;[Note]&lt;/font&gt;&lt;br&gt;Get a chance to obtain &lt;font color='ffcc00'&gt;Ancient Accessory&lt;/font&gt;.&lt;br&gt;&lt;font color='8dacda'&gt;[Difficulty]&lt;/font&gt;&lt;br&gt;Level 65~70</t>
  </si>
  <si>
    <t>Shining raid dungeon. &lt;br&gt;&lt;font color='8dacda'&gt;[Note]&lt;/font&gt;&lt;br&gt;Get a chance to obtain &lt;font color='ffcc00'&gt;Shiny Weapons&lt;/font&gt;.&lt;br&gt;&lt;font color='8dacda'&gt;[Difficulty]&lt;/font&gt;&lt;br&gt;Level 65~70</t>
  </si>
  <si>
    <t>Cursed Gateway Key filled with enemies.&lt;br&gt;&lt;font color='8dacda'&gt;[Note]&lt;/font&gt;&lt;br&gt;Get a chance to obtain &lt;font color='ffcc00'&gt;Patron Armors and other Powerful items&lt;/font&gt;&lt;br&gt;&lt;font color='8dacda'&gt;[Difficulty]&lt;/font&gt;&lt;br&gt;Level 67~70</t>
  </si>
  <si>
    <t>Lethal Gateway Key filled with enemies.&lt;br&gt;&lt;font color='8dacda'&gt;[Note]&lt;/font&gt;&lt;br&gt;Get a chance to obtain &lt;font color='ffcc00'&gt;Patron Weapons and other Powerful items&lt;/font&gt;&lt;br&gt;&lt;font color='8dacda'&gt;[Difficulty]&lt;/font&gt;&lt;br&gt;Level 67~70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</si>
</sst>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"/>
  <sheetViews>
    <sheetView workbookViewId="0">
      <pane xSplit="1" ySplit="2" topLeftCell="Q27" activePane="bottomRight" state="frozen"/>
      <selection pane="topRight" activeCell="B1" sqref="B1"/>
      <selection pane="bottomLeft" activeCell="A3" sqref="A3"/>
      <selection pane="bottomRight" activeCell="AF47" sqref="AF47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9.44140625" bestFit="1" customWidth="1"/>
    <col min="4" max="4" width="6.6640625" bestFit="1" customWidth="1"/>
    <col min="5" max="5" width="43.5546875" bestFit="1" customWidth="1"/>
    <col min="6" max="6" width="7.44140625" bestFit="1" customWidth="1"/>
    <col min="7" max="7" width="7.109375" bestFit="1" customWidth="1"/>
    <col min="8" max="8" width="9.44140625" bestFit="1" customWidth="1"/>
    <col min="9" max="9" width="28" bestFit="1" customWidth="1"/>
    <col min="10" max="10" width="13.33203125" bestFit="1" customWidth="1"/>
    <col min="11" max="11" width="8.5546875" bestFit="1" customWidth="1"/>
    <col min="12" max="12" width="7.109375" bestFit="1" customWidth="1"/>
    <col min="13" max="13" width="8.33203125" bestFit="1" customWidth="1"/>
    <col min="14" max="14" width="8.5546875" bestFit="1" customWidth="1"/>
    <col min="15" max="15" width="9.88671875" bestFit="1" customWidth="1"/>
    <col min="16" max="16" width="8.5546875" bestFit="1" customWidth="1"/>
    <col min="17" max="17" width="9.5546875" bestFit="1" customWidth="1"/>
    <col min="18" max="18" width="10.109375" bestFit="1" customWidth="1"/>
    <col min="19" max="19" width="14" bestFit="1" customWidth="1"/>
    <col min="20" max="20" width="8.5546875" bestFit="1" customWidth="1"/>
    <col min="21" max="21" width="14.6640625" bestFit="1" customWidth="1"/>
    <col min="22" max="22" width="6.6640625" bestFit="1" customWidth="1"/>
    <col min="23" max="23" width="9.44140625" bestFit="1" customWidth="1"/>
    <col min="24" max="24" width="10.33203125" bestFit="1" customWidth="1"/>
    <col min="25" max="25" width="13.33203125" bestFit="1" customWidth="1"/>
    <col min="26" max="26" width="6.6640625" bestFit="1" customWidth="1"/>
    <col min="27" max="27" width="8" bestFit="1" customWidth="1"/>
    <col min="28" max="29" width="6.6640625" bestFit="1" customWidth="1"/>
    <col min="30" max="30" width="10.6640625" bestFit="1" customWidth="1"/>
    <col min="31" max="31" width="9" bestFit="1" customWidth="1"/>
    <col min="32" max="32" width="7.109375" bestFit="1" customWidth="1"/>
    <col min="33" max="33" width="10.44140625" bestFit="1" customWidth="1"/>
    <col min="34" max="34" width="9.44140625" bestFit="1" customWidth="1"/>
    <col min="35" max="35" width="12.88671875" bestFit="1" customWidth="1"/>
    <col min="36" max="36" width="6.88671875" bestFit="1" customWidth="1"/>
    <col min="37" max="37" width="4.6640625" bestFit="1" customWidth="1"/>
  </cols>
  <sheetData>
    <row r="1" spans="1:37" x14ac:dyDescent="0.3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1</v>
      </c>
      <c r="V1" s="2" t="s">
        <v>1</v>
      </c>
      <c r="W1" s="2" t="s">
        <v>0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0</v>
      </c>
      <c r="AI1" s="2" t="s">
        <v>0</v>
      </c>
      <c r="AJ1" s="2" t="s">
        <v>1</v>
      </c>
      <c r="AK1" s="2" t="s">
        <v>3</v>
      </c>
    </row>
    <row r="2" spans="1:37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/>
    </row>
    <row r="3" spans="1:37" x14ac:dyDescent="0.3">
      <c r="A3" s="3" t="s">
        <v>40</v>
      </c>
      <c r="B3" s="3">
        <v>1</v>
      </c>
      <c r="C3" s="3" t="s">
        <v>41</v>
      </c>
      <c r="D3" s="3">
        <v>1</v>
      </c>
      <c r="E3" s="3" t="s">
        <v>191</v>
      </c>
      <c r="F3" s="2">
        <v>781</v>
      </c>
      <c r="G3" s="2">
        <v>300</v>
      </c>
      <c r="H3" s="3" t="s">
        <v>237</v>
      </c>
      <c r="I3" s="2" t="s">
        <v>42</v>
      </c>
      <c r="J3" s="2" t="s">
        <v>43</v>
      </c>
      <c r="K3" s="2">
        <v>0</v>
      </c>
      <c r="L3" s="3">
        <v>0</v>
      </c>
      <c r="M3" s="3">
        <v>20000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2">
        <v>0</v>
      </c>
      <c r="U3" s="3">
        <v>300</v>
      </c>
      <c r="V3" s="3">
        <v>1</v>
      </c>
      <c r="W3" s="3" t="s">
        <v>44</v>
      </c>
      <c r="X3" s="3">
        <v>200</v>
      </c>
      <c r="Y3" s="2">
        <v>0</v>
      </c>
      <c r="Z3" s="2">
        <v>0</v>
      </c>
      <c r="AA3" s="3">
        <v>10000</v>
      </c>
      <c r="AB3" s="3">
        <v>0</v>
      </c>
      <c r="AC3" s="3">
        <v>1</v>
      </c>
      <c r="AD3" s="3">
        <v>1</v>
      </c>
      <c r="AE3" s="3">
        <v>1</v>
      </c>
      <c r="AF3" s="3">
        <v>0</v>
      </c>
      <c r="AG3" s="2">
        <v>1</v>
      </c>
      <c r="AH3" s="2" t="str">
        <f>"t"&amp;A3</f>
        <v>tixbdn25</v>
      </c>
      <c r="AI3" s="2" t="s">
        <v>45</v>
      </c>
      <c r="AJ3" s="3">
        <v>0</v>
      </c>
      <c r="AK3" s="2"/>
    </row>
    <row r="4" spans="1:37" x14ac:dyDescent="0.3">
      <c r="A4" s="3" t="s">
        <v>46</v>
      </c>
      <c r="B4" s="3">
        <v>1</v>
      </c>
      <c r="C4" s="3" t="s">
        <v>47</v>
      </c>
      <c r="D4" s="3">
        <v>1</v>
      </c>
      <c r="E4" s="3" t="s">
        <v>191</v>
      </c>
      <c r="F4" s="2">
        <v>781</v>
      </c>
      <c r="G4" s="2">
        <v>300</v>
      </c>
      <c r="H4" s="3" t="s">
        <v>237</v>
      </c>
      <c r="I4" s="2" t="s">
        <v>42</v>
      </c>
      <c r="J4" s="2" t="s">
        <v>43</v>
      </c>
      <c r="K4" s="2">
        <v>1</v>
      </c>
      <c r="L4" s="3">
        <v>0</v>
      </c>
      <c r="M4" s="3">
        <v>20000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1</v>
      </c>
      <c r="T4" s="2">
        <v>0</v>
      </c>
      <c r="U4" s="3">
        <v>300</v>
      </c>
      <c r="V4" s="3">
        <v>2</v>
      </c>
      <c r="W4" s="3" t="s">
        <v>48</v>
      </c>
      <c r="X4" s="3">
        <v>1</v>
      </c>
      <c r="Y4" s="2">
        <v>0</v>
      </c>
      <c r="Z4" s="2">
        <v>0</v>
      </c>
      <c r="AA4" s="3">
        <v>10000</v>
      </c>
      <c r="AB4" s="3">
        <v>0</v>
      </c>
      <c r="AC4" s="3">
        <v>1</v>
      </c>
      <c r="AD4" s="3">
        <v>1</v>
      </c>
      <c r="AE4" s="3">
        <v>1</v>
      </c>
      <c r="AF4" s="3">
        <v>0</v>
      </c>
      <c r="AG4" s="2">
        <v>1</v>
      </c>
      <c r="AH4" s="2" t="str">
        <f t="shared" ref="AH4:AH50" si="0">"t"&amp;A4</f>
        <v>tixbdp25</v>
      </c>
      <c r="AI4" s="2" t="s">
        <v>49</v>
      </c>
      <c r="AJ4" s="3">
        <v>0</v>
      </c>
      <c r="AK4" s="2"/>
    </row>
    <row r="5" spans="1:37" x14ac:dyDescent="0.3">
      <c r="A5" s="3" t="s">
        <v>50</v>
      </c>
      <c r="B5" s="3">
        <v>1</v>
      </c>
      <c r="C5" s="3" t="s">
        <v>51</v>
      </c>
      <c r="D5" s="3">
        <v>1</v>
      </c>
      <c r="E5" s="3" t="s">
        <v>191</v>
      </c>
      <c r="F5" s="2">
        <v>781</v>
      </c>
      <c r="G5" s="2">
        <v>300</v>
      </c>
      <c r="H5" s="3" t="s">
        <v>237</v>
      </c>
      <c r="I5" s="2" t="s">
        <v>42</v>
      </c>
      <c r="J5" s="2" t="s">
        <v>43</v>
      </c>
      <c r="K5" s="2">
        <v>0</v>
      </c>
      <c r="L5" s="3">
        <v>0</v>
      </c>
      <c r="M5" s="3">
        <v>10000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2">
        <v>0</v>
      </c>
      <c r="U5" s="3">
        <v>300</v>
      </c>
      <c r="V5" s="3">
        <v>1</v>
      </c>
      <c r="W5" s="3" t="s">
        <v>44</v>
      </c>
      <c r="X5" s="3">
        <v>300</v>
      </c>
      <c r="Y5" s="2">
        <v>0</v>
      </c>
      <c r="Z5" s="2">
        <v>0</v>
      </c>
      <c r="AA5" s="3">
        <v>10000</v>
      </c>
      <c r="AB5" s="3">
        <v>0</v>
      </c>
      <c r="AC5" s="3">
        <v>1</v>
      </c>
      <c r="AD5" s="3">
        <v>1</v>
      </c>
      <c r="AE5" s="3">
        <v>1</v>
      </c>
      <c r="AF5" s="3">
        <v>0</v>
      </c>
      <c r="AG5" s="2">
        <v>1</v>
      </c>
      <c r="AH5" s="2" t="str">
        <f t="shared" si="0"/>
        <v>tixbdn20</v>
      </c>
      <c r="AI5" s="2" t="s">
        <v>190</v>
      </c>
      <c r="AJ5" s="3">
        <v>0</v>
      </c>
      <c r="AK5" s="2"/>
    </row>
    <row r="6" spans="1:37" x14ac:dyDescent="0.3">
      <c r="A6" s="3" t="s">
        <v>52</v>
      </c>
      <c r="B6" s="3">
        <v>1</v>
      </c>
      <c r="C6" s="3" t="s">
        <v>53</v>
      </c>
      <c r="D6" s="3">
        <v>1</v>
      </c>
      <c r="E6" s="3" t="s">
        <v>191</v>
      </c>
      <c r="F6" s="2">
        <v>781</v>
      </c>
      <c r="G6" s="2">
        <v>300</v>
      </c>
      <c r="H6" s="3" t="s">
        <v>237</v>
      </c>
      <c r="I6" s="2" t="s">
        <v>42</v>
      </c>
      <c r="J6" s="2" t="s">
        <v>43</v>
      </c>
      <c r="K6" s="2">
        <v>1</v>
      </c>
      <c r="L6" s="3">
        <v>0</v>
      </c>
      <c r="M6" s="3">
        <v>10000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1</v>
      </c>
      <c r="T6" s="2">
        <v>0</v>
      </c>
      <c r="U6" s="3">
        <v>300</v>
      </c>
      <c r="V6" s="3">
        <v>1</v>
      </c>
      <c r="W6" s="3" t="s">
        <v>44</v>
      </c>
      <c r="X6" s="3">
        <v>300</v>
      </c>
      <c r="Y6" s="2">
        <v>0</v>
      </c>
      <c r="Z6" s="2">
        <v>0</v>
      </c>
      <c r="AA6" s="3">
        <v>10000</v>
      </c>
      <c r="AB6" s="3">
        <v>0</v>
      </c>
      <c r="AC6" s="3">
        <v>1</v>
      </c>
      <c r="AD6" s="3">
        <v>1</v>
      </c>
      <c r="AE6" s="3">
        <v>1</v>
      </c>
      <c r="AF6" s="3">
        <v>0</v>
      </c>
      <c r="AG6" s="2">
        <v>1</v>
      </c>
      <c r="AH6" s="2" t="str">
        <f t="shared" si="0"/>
        <v>tixbdp20</v>
      </c>
      <c r="AI6" s="2" t="s">
        <v>190</v>
      </c>
      <c r="AJ6" s="3">
        <v>0</v>
      </c>
      <c r="AK6" s="2"/>
    </row>
    <row r="7" spans="1:37" x14ac:dyDescent="0.3">
      <c r="A7" s="3" t="s">
        <v>54</v>
      </c>
      <c r="B7" s="3">
        <v>1</v>
      </c>
      <c r="C7" s="3" t="s">
        <v>55</v>
      </c>
      <c r="D7" s="3">
        <v>2</v>
      </c>
      <c r="E7" s="3" t="s">
        <v>192</v>
      </c>
      <c r="F7" s="2">
        <v>781</v>
      </c>
      <c r="G7" s="2">
        <v>300</v>
      </c>
      <c r="H7" s="3" t="s">
        <v>237</v>
      </c>
      <c r="I7" s="2" t="s">
        <v>56</v>
      </c>
      <c r="J7" s="2" t="s">
        <v>43</v>
      </c>
      <c r="K7" s="2">
        <v>0</v>
      </c>
      <c r="L7" s="3">
        <v>0</v>
      </c>
      <c r="M7" s="3">
        <v>5000</v>
      </c>
      <c r="N7" s="3">
        <v>0</v>
      </c>
      <c r="O7" s="3">
        <v>0</v>
      </c>
      <c r="P7" s="3">
        <v>0</v>
      </c>
      <c r="Q7" s="3">
        <v>0</v>
      </c>
      <c r="R7" s="3">
        <v>100</v>
      </c>
      <c r="S7" s="3">
        <v>1</v>
      </c>
      <c r="T7" s="2">
        <v>0</v>
      </c>
      <c r="U7" s="3">
        <v>300</v>
      </c>
      <c r="V7" s="3">
        <v>1</v>
      </c>
      <c r="W7" s="3" t="s">
        <v>44</v>
      </c>
      <c r="X7" s="3">
        <v>300</v>
      </c>
      <c r="Y7" s="2">
        <v>0</v>
      </c>
      <c r="Z7" s="2">
        <v>0</v>
      </c>
      <c r="AA7" s="3">
        <v>10000</v>
      </c>
      <c r="AB7" s="3">
        <v>0</v>
      </c>
      <c r="AC7" s="3">
        <v>1</v>
      </c>
      <c r="AD7" s="3">
        <v>1</v>
      </c>
      <c r="AE7" s="3">
        <v>1</v>
      </c>
      <c r="AF7" s="3">
        <v>1</v>
      </c>
      <c r="AG7" s="2">
        <v>1</v>
      </c>
      <c r="AH7" s="2" t="str">
        <f t="shared" si="0"/>
        <v>tixkey01</v>
      </c>
      <c r="AI7" s="2" t="s">
        <v>190</v>
      </c>
      <c r="AJ7" s="3">
        <v>0</v>
      </c>
      <c r="AK7" s="2"/>
    </row>
    <row r="8" spans="1:37" x14ac:dyDescent="0.3">
      <c r="A8" s="3" t="s">
        <v>57</v>
      </c>
      <c r="B8" s="3">
        <v>1</v>
      </c>
      <c r="C8" s="3" t="s">
        <v>58</v>
      </c>
      <c r="D8" s="3">
        <v>2</v>
      </c>
      <c r="E8" s="3" t="s">
        <v>192</v>
      </c>
      <c r="F8" s="2">
        <v>781</v>
      </c>
      <c r="G8" s="2">
        <v>300</v>
      </c>
      <c r="H8" s="3" t="s">
        <v>237</v>
      </c>
      <c r="I8" s="2" t="s">
        <v>59</v>
      </c>
      <c r="J8" s="2" t="s">
        <v>43</v>
      </c>
      <c r="K8" s="2">
        <v>0</v>
      </c>
      <c r="L8" s="3">
        <v>0</v>
      </c>
      <c r="M8" s="3">
        <v>5000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</v>
      </c>
      <c r="T8" s="2">
        <v>0</v>
      </c>
      <c r="U8" s="3">
        <v>300</v>
      </c>
      <c r="V8" s="3">
        <v>1</v>
      </c>
      <c r="W8" s="3" t="s">
        <v>44</v>
      </c>
      <c r="X8" s="3">
        <v>300</v>
      </c>
      <c r="Y8" s="2">
        <v>0</v>
      </c>
      <c r="Z8" s="2">
        <v>0</v>
      </c>
      <c r="AA8" s="3">
        <v>10000</v>
      </c>
      <c r="AB8" s="3">
        <v>0</v>
      </c>
      <c r="AC8" s="3">
        <v>1</v>
      </c>
      <c r="AD8" s="3">
        <v>1</v>
      </c>
      <c r="AE8" s="3">
        <v>1</v>
      </c>
      <c r="AF8" s="3">
        <v>1</v>
      </c>
      <c r="AG8" s="2">
        <v>1</v>
      </c>
      <c r="AH8" s="2" t="str">
        <f t="shared" si="0"/>
        <v>tixkey02</v>
      </c>
      <c r="AI8" s="2" t="s">
        <v>190</v>
      </c>
      <c r="AJ8" s="3">
        <v>0</v>
      </c>
      <c r="AK8" s="2"/>
    </row>
    <row r="9" spans="1:37" x14ac:dyDescent="0.3">
      <c r="A9" s="3" t="s">
        <v>60</v>
      </c>
      <c r="B9" s="3">
        <v>1</v>
      </c>
      <c r="C9" s="3" t="s">
        <v>61</v>
      </c>
      <c r="D9" s="3">
        <v>2</v>
      </c>
      <c r="E9" s="3" t="s">
        <v>192</v>
      </c>
      <c r="F9" s="2">
        <v>781</v>
      </c>
      <c r="G9" s="2">
        <v>300</v>
      </c>
      <c r="H9" s="3" t="s">
        <v>237</v>
      </c>
      <c r="I9" s="2" t="s">
        <v>62</v>
      </c>
      <c r="J9" s="2" t="s">
        <v>43</v>
      </c>
      <c r="K9" s="2">
        <v>0</v>
      </c>
      <c r="L9" s="3">
        <v>0</v>
      </c>
      <c r="M9" s="3">
        <v>5000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1</v>
      </c>
      <c r="T9" s="2">
        <v>0</v>
      </c>
      <c r="U9" s="3">
        <v>300</v>
      </c>
      <c r="V9" s="3">
        <v>1</v>
      </c>
      <c r="W9" s="3" t="s">
        <v>44</v>
      </c>
      <c r="X9" s="3">
        <v>300</v>
      </c>
      <c r="Y9" s="2">
        <v>0</v>
      </c>
      <c r="Z9" s="2">
        <v>0</v>
      </c>
      <c r="AA9" s="3">
        <v>10000</v>
      </c>
      <c r="AB9" s="3">
        <v>0</v>
      </c>
      <c r="AC9" s="3">
        <v>1</v>
      </c>
      <c r="AD9" s="3">
        <v>1</v>
      </c>
      <c r="AE9" s="3">
        <v>1</v>
      </c>
      <c r="AF9" s="3">
        <v>1</v>
      </c>
      <c r="AG9" s="2">
        <v>1</v>
      </c>
      <c r="AH9" s="2" t="str">
        <f t="shared" si="0"/>
        <v>tixkey03</v>
      </c>
      <c r="AI9" s="2" t="s">
        <v>190</v>
      </c>
      <c r="AJ9" s="3">
        <v>0</v>
      </c>
      <c r="AK9" s="2"/>
    </row>
    <row r="10" spans="1:37" x14ac:dyDescent="0.3">
      <c r="A10" s="3" t="s">
        <v>63</v>
      </c>
      <c r="B10" s="3">
        <v>1</v>
      </c>
      <c r="C10" s="3" t="s">
        <v>64</v>
      </c>
      <c r="D10" s="3">
        <v>2</v>
      </c>
      <c r="E10" s="3" t="s">
        <v>192</v>
      </c>
      <c r="F10" s="2">
        <v>781</v>
      </c>
      <c r="G10" s="2">
        <v>300</v>
      </c>
      <c r="H10" s="3" t="s">
        <v>237</v>
      </c>
      <c r="I10" s="2" t="s">
        <v>65</v>
      </c>
      <c r="J10" s="2" t="s">
        <v>43</v>
      </c>
      <c r="K10" s="2">
        <v>0</v>
      </c>
      <c r="L10" s="3">
        <v>0</v>
      </c>
      <c r="M10" s="3">
        <v>3000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1</v>
      </c>
      <c r="T10" s="2">
        <v>0</v>
      </c>
      <c r="U10" s="3">
        <v>300</v>
      </c>
      <c r="V10" s="3">
        <v>1</v>
      </c>
      <c r="W10" s="3" t="s">
        <v>44</v>
      </c>
      <c r="X10" s="3">
        <v>300</v>
      </c>
      <c r="Y10" s="2">
        <v>0</v>
      </c>
      <c r="Z10" s="2">
        <v>0</v>
      </c>
      <c r="AA10" s="3">
        <v>10000</v>
      </c>
      <c r="AB10" s="3">
        <v>0</v>
      </c>
      <c r="AC10" s="3">
        <v>1</v>
      </c>
      <c r="AD10" s="3">
        <v>1</v>
      </c>
      <c r="AE10" s="3">
        <v>1</v>
      </c>
      <c r="AF10" s="3">
        <v>1</v>
      </c>
      <c r="AG10" s="2">
        <v>1</v>
      </c>
      <c r="AH10" s="2" t="str">
        <f t="shared" si="0"/>
        <v>tixkey04</v>
      </c>
      <c r="AI10" s="2" t="s">
        <v>190</v>
      </c>
      <c r="AJ10" s="3">
        <v>0</v>
      </c>
      <c r="AK10" s="2"/>
    </row>
    <row r="11" spans="1:37" x14ac:dyDescent="0.3">
      <c r="A11" s="3" t="s">
        <v>66</v>
      </c>
      <c r="B11" s="3">
        <v>1</v>
      </c>
      <c r="C11" s="3" t="s">
        <v>67</v>
      </c>
      <c r="D11" s="3">
        <v>2</v>
      </c>
      <c r="E11" s="3" t="s">
        <v>192</v>
      </c>
      <c r="F11" s="2">
        <v>781</v>
      </c>
      <c r="G11" s="2">
        <v>300</v>
      </c>
      <c r="H11" s="3" t="s">
        <v>237</v>
      </c>
      <c r="I11" s="2" t="s">
        <v>68</v>
      </c>
      <c r="J11" s="2" t="s">
        <v>43</v>
      </c>
      <c r="K11" s="2">
        <v>0</v>
      </c>
      <c r="L11" s="3">
        <v>0</v>
      </c>
      <c r="M11" s="3">
        <v>3000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1</v>
      </c>
      <c r="T11" s="2">
        <v>0</v>
      </c>
      <c r="U11" s="3">
        <v>300</v>
      </c>
      <c r="V11" s="3">
        <v>1</v>
      </c>
      <c r="W11" s="3" t="s">
        <v>44</v>
      </c>
      <c r="X11" s="3">
        <v>300</v>
      </c>
      <c r="Y11" s="2">
        <v>0</v>
      </c>
      <c r="Z11" s="2">
        <v>0</v>
      </c>
      <c r="AA11" s="3">
        <v>10000</v>
      </c>
      <c r="AB11" s="3">
        <v>0</v>
      </c>
      <c r="AC11" s="3">
        <v>1</v>
      </c>
      <c r="AD11" s="3">
        <v>1</v>
      </c>
      <c r="AE11" s="3">
        <v>1</v>
      </c>
      <c r="AF11" s="3">
        <v>1</v>
      </c>
      <c r="AG11" s="2">
        <v>1</v>
      </c>
      <c r="AH11" s="2" t="str">
        <f t="shared" si="0"/>
        <v>tixkey05</v>
      </c>
      <c r="AI11" s="2" t="s">
        <v>190</v>
      </c>
      <c r="AJ11" s="3">
        <v>0</v>
      </c>
      <c r="AK11" s="2"/>
    </row>
    <row r="12" spans="1:37" x14ac:dyDescent="0.3">
      <c r="A12" s="3" t="s">
        <v>69</v>
      </c>
      <c r="B12" s="3">
        <v>1</v>
      </c>
      <c r="C12" s="3" t="s">
        <v>70</v>
      </c>
      <c r="D12" s="3">
        <v>2</v>
      </c>
      <c r="E12" s="3" t="s">
        <v>192</v>
      </c>
      <c r="F12" s="2">
        <v>781</v>
      </c>
      <c r="G12" s="2">
        <v>300</v>
      </c>
      <c r="H12" s="3" t="s">
        <v>237</v>
      </c>
      <c r="I12" s="2" t="s">
        <v>71</v>
      </c>
      <c r="J12" s="2" t="s">
        <v>43</v>
      </c>
      <c r="K12" s="2">
        <v>0</v>
      </c>
      <c r="L12" s="3">
        <v>0</v>
      </c>
      <c r="M12" s="3">
        <v>3000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1</v>
      </c>
      <c r="T12" s="2">
        <v>0</v>
      </c>
      <c r="U12" s="3">
        <v>300</v>
      </c>
      <c r="V12" s="3">
        <v>1</v>
      </c>
      <c r="W12" s="3" t="s">
        <v>44</v>
      </c>
      <c r="X12" s="3">
        <v>300</v>
      </c>
      <c r="Y12" s="2">
        <v>0</v>
      </c>
      <c r="Z12" s="2">
        <v>0</v>
      </c>
      <c r="AA12" s="3">
        <v>10000</v>
      </c>
      <c r="AB12" s="3">
        <v>0</v>
      </c>
      <c r="AC12" s="3">
        <v>1</v>
      </c>
      <c r="AD12" s="3">
        <v>1</v>
      </c>
      <c r="AE12" s="3">
        <v>1</v>
      </c>
      <c r="AF12" s="3">
        <v>1</v>
      </c>
      <c r="AG12" s="2">
        <v>1</v>
      </c>
      <c r="AH12" s="2" t="str">
        <f t="shared" si="0"/>
        <v>tixkey06</v>
      </c>
      <c r="AI12" s="2" t="s">
        <v>190</v>
      </c>
      <c r="AJ12" s="3">
        <v>0</v>
      </c>
      <c r="AK12" s="2"/>
    </row>
    <row r="13" spans="1:37" x14ac:dyDescent="0.3">
      <c r="A13" s="3" t="s">
        <v>72</v>
      </c>
      <c r="B13" s="3">
        <v>1</v>
      </c>
      <c r="C13" s="3" t="s">
        <v>73</v>
      </c>
      <c r="D13" s="3">
        <v>2</v>
      </c>
      <c r="E13" s="3" t="s">
        <v>192</v>
      </c>
      <c r="F13" s="2">
        <v>781</v>
      </c>
      <c r="G13" s="2">
        <v>300</v>
      </c>
      <c r="H13" s="3" t="s">
        <v>237</v>
      </c>
      <c r="I13" s="2" t="s">
        <v>74</v>
      </c>
      <c r="J13" s="2" t="s">
        <v>43</v>
      </c>
      <c r="K13" s="2">
        <v>0</v>
      </c>
      <c r="L13" s="3">
        <v>0</v>
      </c>
      <c r="M13" s="3">
        <v>3500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1</v>
      </c>
      <c r="T13" s="2">
        <v>0</v>
      </c>
      <c r="U13" s="3">
        <v>300</v>
      </c>
      <c r="V13" s="3">
        <v>1</v>
      </c>
      <c r="W13" s="3" t="s">
        <v>44</v>
      </c>
      <c r="X13" s="3">
        <v>300</v>
      </c>
      <c r="Y13" s="2">
        <v>0</v>
      </c>
      <c r="Z13" s="2">
        <v>0</v>
      </c>
      <c r="AA13" s="3">
        <v>10000</v>
      </c>
      <c r="AB13" s="3">
        <v>0</v>
      </c>
      <c r="AC13" s="3">
        <v>1</v>
      </c>
      <c r="AD13" s="3">
        <v>1</v>
      </c>
      <c r="AE13" s="3">
        <v>1</v>
      </c>
      <c r="AF13" s="3">
        <v>1</v>
      </c>
      <c r="AG13" s="2">
        <v>1</v>
      </c>
      <c r="AH13" s="2" t="str">
        <f t="shared" si="0"/>
        <v>tixkey07</v>
      </c>
      <c r="AI13" s="2" t="s">
        <v>190</v>
      </c>
      <c r="AJ13" s="3">
        <v>0</v>
      </c>
      <c r="AK13" s="2"/>
    </row>
    <row r="14" spans="1:37" x14ac:dyDescent="0.3">
      <c r="A14" s="3" t="s">
        <v>75</v>
      </c>
      <c r="B14" s="3">
        <v>1</v>
      </c>
      <c r="C14" s="3" t="s">
        <v>76</v>
      </c>
      <c r="D14" s="3">
        <v>2</v>
      </c>
      <c r="E14" s="3" t="s">
        <v>192</v>
      </c>
      <c r="F14" s="2">
        <v>781</v>
      </c>
      <c r="G14" s="2">
        <v>300</v>
      </c>
      <c r="H14" s="3" t="s">
        <v>237</v>
      </c>
      <c r="I14" s="2" t="s">
        <v>77</v>
      </c>
      <c r="J14" s="2" t="s">
        <v>43</v>
      </c>
      <c r="K14" s="2">
        <v>0</v>
      </c>
      <c r="L14" s="3">
        <v>0</v>
      </c>
      <c r="M14" s="3">
        <v>3500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1</v>
      </c>
      <c r="T14" s="2">
        <v>0</v>
      </c>
      <c r="U14" s="3">
        <v>300</v>
      </c>
      <c r="V14" s="3">
        <v>1</v>
      </c>
      <c r="W14" s="3" t="s">
        <v>44</v>
      </c>
      <c r="X14" s="3">
        <v>300</v>
      </c>
      <c r="Y14" s="2">
        <v>0</v>
      </c>
      <c r="Z14" s="2">
        <v>0</v>
      </c>
      <c r="AA14" s="3">
        <v>10000</v>
      </c>
      <c r="AB14" s="3">
        <v>0</v>
      </c>
      <c r="AC14" s="3">
        <v>1</v>
      </c>
      <c r="AD14" s="3">
        <v>1</v>
      </c>
      <c r="AE14" s="3">
        <v>1</v>
      </c>
      <c r="AF14" s="3">
        <v>1</v>
      </c>
      <c r="AG14" s="2">
        <v>1</v>
      </c>
      <c r="AH14" s="2" t="str">
        <f t="shared" si="0"/>
        <v>tixkey08</v>
      </c>
      <c r="AI14" s="2" t="s">
        <v>190</v>
      </c>
      <c r="AJ14" s="3">
        <v>0</v>
      </c>
      <c r="AK14" s="2"/>
    </row>
    <row r="15" spans="1:37" x14ac:dyDescent="0.3">
      <c r="A15" s="3" t="s">
        <v>78</v>
      </c>
      <c r="B15" s="3">
        <v>1</v>
      </c>
      <c r="C15" s="3" t="s">
        <v>79</v>
      </c>
      <c r="D15" s="3">
        <v>2</v>
      </c>
      <c r="E15" s="3" t="s">
        <v>192</v>
      </c>
      <c r="F15" s="2">
        <v>781</v>
      </c>
      <c r="G15" s="2">
        <v>300</v>
      </c>
      <c r="H15" s="3" t="s">
        <v>237</v>
      </c>
      <c r="I15" s="2" t="s">
        <v>80</v>
      </c>
      <c r="J15" s="2" t="s">
        <v>43</v>
      </c>
      <c r="K15" s="2">
        <v>0</v>
      </c>
      <c r="L15" s="3">
        <v>0</v>
      </c>
      <c r="M15" s="3">
        <v>3500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</v>
      </c>
      <c r="T15" s="2">
        <v>0</v>
      </c>
      <c r="U15" s="3">
        <v>300</v>
      </c>
      <c r="V15" s="3">
        <v>1</v>
      </c>
      <c r="W15" s="3" t="s">
        <v>44</v>
      </c>
      <c r="X15" s="3">
        <v>300</v>
      </c>
      <c r="Y15" s="2">
        <v>0</v>
      </c>
      <c r="Z15" s="2">
        <v>0</v>
      </c>
      <c r="AA15" s="3">
        <v>10000</v>
      </c>
      <c r="AB15" s="3">
        <v>0</v>
      </c>
      <c r="AC15" s="3">
        <v>1</v>
      </c>
      <c r="AD15" s="3">
        <v>1</v>
      </c>
      <c r="AE15" s="3">
        <v>1</v>
      </c>
      <c r="AF15" s="3">
        <v>1</v>
      </c>
      <c r="AG15" s="2">
        <v>1</v>
      </c>
      <c r="AH15" s="2" t="str">
        <f t="shared" si="0"/>
        <v>tixkey09</v>
      </c>
      <c r="AI15" s="2" t="s">
        <v>190</v>
      </c>
      <c r="AJ15" s="3">
        <v>0</v>
      </c>
      <c r="AK15" s="2"/>
    </row>
    <row r="16" spans="1:37" x14ac:dyDescent="0.3">
      <c r="A16" s="3" t="s">
        <v>81</v>
      </c>
      <c r="B16" s="3">
        <v>1</v>
      </c>
      <c r="C16" s="3" t="s">
        <v>82</v>
      </c>
      <c r="D16" s="3">
        <v>2</v>
      </c>
      <c r="E16" s="3" t="s">
        <v>192</v>
      </c>
      <c r="F16" s="2">
        <v>781</v>
      </c>
      <c r="G16" s="2">
        <v>300</v>
      </c>
      <c r="H16" s="3" t="s">
        <v>237</v>
      </c>
      <c r="I16" s="2" t="s">
        <v>83</v>
      </c>
      <c r="J16" s="2" t="s">
        <v>43</v>
      </c>
      <c r="K16" s="2">
        <v>0</v>
      </c>
      <c r="L16" s="3">
        <v>0</v>
      </c>
      <c r="M16" s="3">
        <v>3500</v>
      </c>
      <c r="N16" s="3">
        <v>0</v>
      </c>
      <c r="O16" s="3">
        <v>0</v>
      </c>
      <c r="P16" s="3">
        <v>0</v>
      </c>
      <c r="Q16" s="3">
        <v>0</v>
      </c>
      <c r="R16" s="3">
        <v>100</v>
      </c>
      <c r="S16" s="3">
        <v>1</v>
      </c>
      <c r="T16" s="2">
        <v>0</v>
      </c>
      <c r="U16" s="3">
        <v>300</v>
      </c>
      <c r="V16" s="3">
        <v>1</v>
      </c>
      <c r="W16" s="3" t="s">
        <v>44</v>
      </c>
      <c r="X16" s="3">
        <v>300</v>
      </c>
      <c r="Y16" s="2">
        <v>0</v>
      </c>
      <c r="Z16" s="2">
        <v>0</v>
      </c>
      <c r="AA16" s="3">
        <v>10000</v>
      </c>
      <c r="AB16" s="3">
        <v>0</v>
      </c>
      <c r="AC16" s="3">
        <v>1</v>
      </c>
      <c r="AD16" s="3">
        <v>1</v>
      </c>
      <c r="AE16" s="3">
        <v>1</v>
      </c>
      <c r="AF16" s="3">
        <v>1</v>
      </c>
      <c r="AG16" s="2">
        <v>1</v>
      </c>
      <c r="AH16" s="2" t="str">
        <f t="shared" si="0"/>
        <v>tixkey10</v>
      </c>
      <c r="AI16" s="2" t="s">
        <v>190</v>
      </c>
      <c r="AJ16" s="3">
        <v>0</v>
      </c>
      <c r="AK16" s="2"/>
    </row>
    <row r="17" spans="1:37" x14ac:dyDescent="0.3">
      <c r="A17" s="3" t="s">
        <v>84</v>
      </c>
      <c r="B17" s="3">
        <v>1</v>
      </c>
      <c r="C17" s="3" t="s">
        <v>85</v>
      </c>
      <c r="D17" s="3">
        <v>2</v>
      </c>
      <c r="E17" s="3" t="s">
        <v>192</v>
      </c>
      <c r="F17" s="2">
        <v>781</v>
      </c>
      <c r="G17" s="2">
        <v>300</v>
      </c>
      <c r="H17" s="3" t="s">
        <v>237</v>
      </c>
      <c r="I17" s="2" t="s">
        <v>86</v>
      </c>
      <c r="J17" s="2" t="s">
        <v>43</v>
      </c>
      <c r="K17" s="2">
        <v>0</v>
      </c>
      <c r="L17" s="3">
        <v>0</v>
      </c>
      <c r="M17" s="3">
        <v>4000</v>
      </c>
      <c r="N17" s="3">
        <v>0</v>
      </c>
      <c r="O17" s="3">
        <v>0</v>
      </c>
      <c r="P17" s="3">
        <v>0</v>
      </c>
      <c r="Q17" s="3">
        <v>0</v>
      </c>
      <c r="R17" s="3">
        <v>100</v>
      </c>
      <c r="S17" s="3">
        <v>1</v>
      </c>
      <c r="T17" s="2">
        <v>0</v>
      </c>
      <c r="U17" s="3">
        <v>300</v>
      </c>
      <c r="V17" s="3">
        <v>1</v>
      </c>
      <c r="W17" s="3" t="s">
        <v>44</v>
      </c>
      <c r="X17" s="3">
        <v>300</v>
      </c>
      <c r="Y17" s="2">
        <v>0</v>
      </c>
      <c r="Z17" s="2">
        <v>0</v>
      </c>
      <c r="AA17" s="3">
        <v>10000</v>
      </c>
      <c r="AB17" s="3">
        <v>0</v>
      </c>
      <c r="AC17" s="3">
        <v>1</v>
      </c>
      <c r="AD17" s="3">
        <v>1</v>
      </c>
      <c r="AE17" s="3">
        <v>1</v>
      </c>
      <c r="AF17" s="3">
        <v>1</v>
      </c>
      <c r="AG17" s="2">
        <v>1</v>
      </c>
      <c r="AH17" s="2" t="str">
        <f t="shared" si="0"/>
        <v>tixkey11</v>
      </c>
      <c r="AI17" s="2" t="s">
        <v>190</v>
      </c>
      <c r="AJ17" s="3">
        <v>0</v>
      </c>
      <c r="AK17" s="2"/>
    </row>
    <row r="18" spans="1:37" x14ac:dyDescent="0.3">
      <c r="A18" s="3" t="s">
        <v>87</v>
      </c>
      <c r="B18" s="3">
        <v>1</v>
      </c>
      <c r="C18" s="3" t="s">
        <v>88</v>
      </c>
      <c r="D18" s="3">
        <v>2</v>
      </c>
      <c r="E18" s="3" t="s">
        <v>192</v>
      </c>
      <c r="F18" s="2">
        <v>781</v>
      </c>
      <c r="G18" s="2">
        <v>300</v>
      </c>
      <c r="H18" s="3" t="s">
        <v>237</v>
      </c>
      <c r="I18" s="2" t="s">
        <v>89</v>
      </c>
      <c r="J18" s="2" t="s">
        <v>43</v>
      </c>
      <c r="K18" s="2">
        <v>0</v>
      </c>
      <c r="L18" s="3">
        <v>0</v>
      </c>
      <c r="M18" s="3">
        <v>4000</v>
      </c>
      <c r="N18" s="3">
        <v>0</v>
      </c>
      <c r="O18" s="3">
        <v>0</v>
      </c>
      <c r="P18" s="3">
        <v>0</v>
      </c>
      <c r="Q18" s="3">
        <v>0</v>
      </c>
      <c r="R18" s="3">
        <v>100</v>
      </c>
      <c r="S18" s="3">
        <v>1</v>
      </c>
      <c r="T18" s="2">
        <v>0</v>
      </c>
      <c r="U18" s="3">
        <v>300</v>
      </c>
      <c r="V18" s="3">
        <v>1</v>
      </c>
      <c r="W18" s="3" t="s">
        <v>44</v>
      </c>
      <c r="X18" s="3">
        <v>300</v>
      </c>
      <c r="Y18" s="2">
        <v>0</v>
      </c>
      <c r="Z18" s="2">
        <v>0</v>
      </c>
      <c r="AA18" s="3">
        <v>10000</v>
      </c>
      <c r="AB18" s="3">
        <v>0</v>
      </c>
      <c r="AC18" s="3">
        <v>1</v>
      </c>
      <c r="AD18" s="3">
        <v>1</v>
      </c>
      <c r="AE18" s="3">
        <v>1</v>
      </c>
      <c r="AF18" s="3">
        <v>1</v>
      </c>
      <c r="AG18" s="2">
        <v>1</v>
      </c>
      <c r="AH18" s="2" t="str">
        <f t="shared" si="0"/>
        <v>tixkey12</v>
      </c>
      <c r="AI18" s="2" t="s">
        <v>190</v>
      </c>
      <c r="AJ18" s="3">
        <v>0</v>
      </c>
      <c r="AK18" s="2"/>
    </row>
    <row r="19" spans="1:37" x14ac:dyDescent="0.3">
      <c r="A19" s="3" t="s">
        <v>90</v>
      </c>
      <c r="B19" s="3">
        <v>1</v>
      </c>
      <c r="C19" s="3" t="s">
        <v>91</v>
      </c>
      <c r="D19" s="3">
        <v>2</v>
      </c>
      <c r="E19" s="3" t="s">
        <v>192</v>
      </c>
      <c r="F19" s="2">
        <v>781</v>
      </c>
      <c r="G19" s="2">
        <v>300</v>
      </c>
      <c r="H19" s="3" t="s">
        <v>237</v>
      </c>
      <c r="I19" s="2" t="s">
        <v>92</v>
      </c>
      <c r="J19" s="2" t="s">
        <v>43</v>
      </c>
      <c r="K19" s="2">
        <v>0</v>
      </c>
      <c r="L19" s="3">
        <v>0</v>
      </c>
      <c r="M19" s="3">
        <v>4000</v>
      </c>
      <c r="N19" s="3">
        <v>0</v>
      </c>
      <c r="O19" s="3">
        <v>0</v>
      </c>
      <c r="P19" s="3">
        <v>0</v>
      </c>
      <c r="Q19" s="3">
        <v>0</v>
      </c>
      <c r="R19" s="3">
        <v>100</v>
      </c>
      <c r="S19" s="3">
        <v>1</v>
      </c>
      <c r="T19" s="2">
        <v>0</v>
      </c>
      <c r="U19" s="3">
        <v>300</v>
      </c>
      <c r="V19" s="3">
        <v>1</v>
      </c>
      <c r="W19" s="3" t="s">
        <v>44</v>
      </c>
      <c r="X19" s="3">
        <v>300</v>
      </c>
      <c r="Y19" s="2">
        <v>0</v>
      </c>
      <c r="Z19" s="2">
        <v>0</v>
      </c>
      <c r="AA19" s="3">
        <v>10000</v>
      </c>
      <c r="AB19" s="3">
        <v>0</v>
      </c>
      <c r="AC19" s="3">
        <v>1</v>
      </c>
      <c r="AD19" s="3">
        <v>1</v>
      </c>
      <c r="AE19" s="3">
        <v>1</v>
      </c>
      <c r="AF19" s="3">
        <v>1</v>
      </c>
      <c r="AG19" s="2">
        <v>1</v>
      </c>
      <c r="AH19" s="2" t="str">
        <f t="shared" si="0"/>
        <v>tixkey13</v>
      </c>
      <c r="AI19" s="2" t="s">
        <v>190</v>
      </c>
      <c r="AJ19" s="3">
        <v>0</v>
      </c>
      <c r="AK19" s="2"/>
    </row>
    <row r="20" spans="1:37" x14ac:dyDescent="0.3">
      <c r="A20" s="3" t="s">
        <v>93</v>
      </c>
      <c r="B20" s="3">
        <v>1</v>
      </c>
      <c r="C20" s="3" t="s">
        <v>94</v>
      </c>
      <c r="D20" s="3">
        <v>2</v>
      </c>
      <c r="E20" s="3" t="s">
        <v>192</v>
      </c>
      <c r="F20" s="2">
        <v>781</v>
      </c>
      <c r="G20" s="2">
        <v>300</v>
      </c>
      <c r="H20" s="3" t="s">
        <v>237</v>
      </c>
      <c r="I20" s="2" t="s">
        <v>95</v>
      </c>
      <c r="J20" s="2" t="s">
        <v>43</v>
      </c>
      <c r="K20" s="2">
        <v>0</v>
      </c>
      <c r="L20" s="3">
        <v>0</v>
      </c>
      <c r="M20" s="3">
        <v>4000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</v>
      </c>
      <c r="T20" s="2">
        <v>0</v>
      </c>
      <c r="U20" s="3">
        <v>300</v>
      </c>
      <c r="V20" s="3">
        <v>1</v>
      </c>
      <c r="W20" s="3" t="s">
        <v>44</v>
      </c>
      <c r="X20" s="3">
        <v>300</v>
      </c>
      <c r="Y20" s="2">
        <v>0</v>
      </c>
      <c r="Z20" s="2">
        <v>0</v>
      </c>
      <c r="AA20" s="3">
        <v>10000</v>
      </c>
      <c r="AB20" s="3">
        <v>0</v>
      </c>
      <c r="AC20" s="3">
        <v>1</v>
      </c>
      <c r="AD20" s="3">
        <v>1</v>
      </c>
      <c r="AE20" s="3">
        <v>1</v>
      </c>
      <c r="AF20" s="3">
        <v>1</v>
      </c>
      <c r="AG20" s="2">
        <v>1</v>
      </c>
      <c r="AH20" s="2" t="str">
        <f t="shared" si="0"/>
        <v>tixkey14</v>
      </c>
      <c r="AI20" s="2" t="s">
        <v>190</v>
      </c>
      <c r="AJ20" s="3">
        <v>0</v>
      </c>
      <c r="AK20" s="2"/>
    </row>
    <row r="21" spans="1:37" x14ac:dyDescent="0.3">
      <c r="A21" s="3" t="s">
        <v>96</v>
      </c>
      <c r="B21" s="3">
        <v>1</v>
      </c>
      <c r="C21" s="3" t="s">
        <v>97</v>
      </c>
      <c r="D21" s="3">
        <v>2</v>
      </c>
      <c r="E21" s="3" t="s">
        <v>192</v>
      </c>
      <c r="F21" s="2">
        <v>781</v>
      </c>
      <c r="G21" s="2">
        <v>300</v>
      </c>
      <c r="H21" s="3" t="s">
        <v>237</v>
      </c>
      <c r="I21" s="2" t="s">
        <v>98</v>
      </c>
      <c r="J21" s="2" t="s">
        <v>43</v>
      </c>
      <c r="K21" s="2">
        <v>0</v>
      </c>
      <c r="L21" s="3">
        <v>0</v>
      </c>
      <c r="M21" s="3">
        <v>4500</v>
      </c>
      <c r="N21" s="3">
        <v>0</v>
      </c>
      <c r="O21" s="3">
        <v>0</v>
      </c>
      <c r="P21" s="3">
        <v>0</v>
      </c>
      <c r="Q21" s="3">
        <v>0</v>
      </c>
      <c r="R21" s="3">
        <v>100</v>
      </c>
      <c r="S21" s="3">
        <v>1</v>
      </c>
      <c r="T21" s="2">
        <v>0</v>
      </c>
      <c r="U21" s="3">
        <v>300</v>
      </c>
      <c r="V21" s="3">
        <v>1</v>
      </c>
      <c r="W21" s="3" t="s">
        <v>44</v>
      </c>
      <c r="X21" s="3">
        <v>300</v>
      </c>
      <c r="Y21" s="2">
        <v>0</v>
      </c>
      <c r="Z21" s="2">
        <v>0</v>
      </c>
      <c r="AA21" s="3">
        <v>10000</v>
      </c>
      <c r="AB21" s="3">
        <v>0</v>
      </c>
      <c r="AC21" s="3">
        <v>1</v>
      </c>
      <c r="AD21" s="3">
        <v>1</v>
      </c>
      <c r="AE21" s="3">
        <v>1</v>
      </c>
      <c r="AF21" s="3">
        <v>1</v>
      </c>
      <c r="AG21" s="2">
        <v>1</v>
      </c>
      <c r="AH21" s="2" t="str">
        <f t="shared" si="0"/>
        <v>tixkey15</v>
      </c>
      <c r="AI21" s="2" t="s">
        <v>190</v>
      </c>
      <c r="AJ21" s="3">
        <v>0</v>
      </c>
      <c r="AK21" s="2"/>
    </row>
    <row r="22" spans="1:37" x14ac:dyDescent="0.3">
      <c r="A22" s="3" t="s">
        <v>99</v>
      </c>
      <c r="B22" s="3">
        <v>1</v>
      </c>
      <c r="C22" s="3" t="s">
        <v>100</v>
      </c>
      <c r="D22" s="3">
        <v>2</v>
      </c>
      <c r="E22" s="3" t="s">
        <v>192</v>
      </c>
      <c r="F22" s="2">
        <v>781</v>
      </c>
      <c r="G22" s="2">
        <v>300</v>
      </c>
      <c r="H22" s="3" t="s">
        <v>237</v>
      </c>
      <c r="I22" s="2" t="s">
        <v>101</v>
      </c>
      <c r="J22" s="2" t="s">
        <v>43</v>
      </c>
      <c r="K22" s="2">
        <v>0</v>
      </c>
      <c r="L22" s="3">
        <v>0</v>
      </c>
      <c r="M22" s="3">
        <v>4500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</v>
      </c>
      <c r="T22" s="2">
        <v>0</v>
      </c>
      <c r="U22" s="3">
        <v>300</v>
      </c>
      <c r="V22" s="3">
        <v>1</v>
      </c>
      <c r="W22" s="3" t="s">
        <v>44</v>
      </c>
      <c r="X22" s="3">
        <v>300</v>
      </c>
      <c r="Y22" s="2">
        <v>0</v>
      </c>
      <c r="Z22" s="2">
        <v>0</v>
      </c>
      <c r="AA22" s="3">
        <v>10000</v>
      </c>
      <c r="AB22" s="3">
        <v>0</v>
      </c>
      <c r="AC22" s="3">
        <v>1</v>
      </c>
      <c r="AD22" s="3">
        <v>1</v>
      </c>
      <c r="AE22" s="3">
        <v>1</v>
      </c>
      <c r="AF22" s="3">
        <v>1</v>
      </c>
      <c r="AG22" s="2">
        <v>1</v>
      </c>
      <c r="AH22" s="2" t="str">
        <f t="shared" si="0"/>
        <v>tixkey16</v>
      </c>
      <c r="AI22" s="2" t="s">
        <v>190</v>
      </c>
      <c r="AJ22" s="3">
        <v>0</v>
      </c>
      <c r="AK22" s="2"/>
    </row>
    <row r="23" spans="1:37" x14ac:dyDescent="0.3">
      <c r="A23" s="3" t="s">
        <v>102</v>
      </c>
      <c r="B23" s="3">
        <v>1</v>
      </c>
      <c r="C23" s="3" t="s">
        <v>103</v>
      </c>
      <c r="D23" s="3">
        <v>2</v>
      </c>
      <c r="E23" s="3" t="s">
        <v>192</v>
      </c>
      <c r="F23" s="2">
        <v>781</v>
      </c>
      <c r="G23" s="2">
        <v>300</v>
      </c>
      <c r="H23" s="3" t="s">
        <v>237</v>
      </c>
      <c r="I23" s="2" t="s">
        <v>104</v>
      </c>
      <c r="J23" s="2" t="s">
        <v>43</v>
      </c>
      <c r="K23" s="2">
        <v>0</v>
      </c>
      <c r="L23" s="3">
        <v>0</v>
      </c>
      <c r="M23" s="3">
        <v>4500</v>
      </c>
      <c r="N23" s="3">
        <v>0</v>
      </c>
      <c r="O23" s="3">
        <v>0</v>
      </c>
      <c r="P23" s="3">
        <v>0</v>
      </c>
      <c r="Q23" s="3">
        <v>0</v>
      </c>
      <c r="R23" s="3">
        <v>100</v>
      </c>
      <c r="S23" s="3">
        <v>1</v>
      </c>
      <c r="T23" s="2">
        <v>0</v>
      </c>
      <c r="U23" s="3">
        <v>300</v>
      </c>
      <c r="V23" s="3">
        <v>1</v>
      </c>
      <c r="W23" s="3" t="s">
        <v>44</v>
      </c>
      <c r="X23" s="3">
        <v>300</v>
      </c>
      <c r="Y23" s="2">
        <v>0</v>
      </c>
      <c r="Z23" s="2">
        <v>0</v>
      </c>
      <c r="AA23" s="3">
        <v>10000</v>
      </c>
      <c r="AB23" s="3">
        <v>0</v>
      </c>
      <c r="AC23" s="3">
        <v>1</v>
      </c>
      <c r="AD23" s="3">
        <v>1</v>
      </c>
      <c r="AE23" s="3">
        <v>1</v>
      </c>
      <c r="AF23" s="3">
        <v>1</v>
      </c>
      <c r="AG23" s="2">
        <v>1</v>
      </c>
      <c r="AH23" s="2" t="str">
        <f t="shared" si="0"/>
        <v>tixkey17</v>
      </c>
      <c r="AI23" s="2" t="s">
        <v>190</v>
      </c>
      <c r="AJ23" s="3">
        <v>0</v>
      </c>
      <c r="AK23" s="2"/>
    </row>
    <row r="24" spans="1:37" x14ac:dyDescent="0.3">
      <c r="A24" s="3" t="s">
        <v>105</v>
      </c>
      <c r="B24" s="3">
        <v>1</v>
      </c>
      <c r="C24" s="3" t="s">
        <v>106</v>
      </c>
      <c r="D24" s="3">
        <v>2</v>
      </c>
      <c r="E24" s="3" t="s">
        <v>192</v>
      </c>
      <c r="F24" s="2">
        <v>781</v>
      </c>
      <c r="G24" s="2">
        <v>300</v>
      </c>
      <c r="H24" s="3" t="s">
        <v>237</v>
      </c>
      <c r="I24" s="2" t="s">
        <v>107</v>
      </c>
      <c r="J24" s="2" t="s">
        <v>43</v>
      </c>
      <c r="K24" s="2">
        <v>0</v>
      </c>
      <c r="L24" s="3">
        <v>0</v>
      </c>
      <c r="M24" s="3">
        <v>4500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1</v>
      </c>
      <c r="T24" s="2">
        <v>0</v>
      </c>
      <c r="U24" s="3">
        <v>300</v>
      </c>
      <c r="V24" s="3">
        <v>1</v>
      </c>
      <c r="W24" s="3" t="s">
        <v>44</v>
      </c>
      <c r="X24" s="3">
        <v>300</v>
      </c>
      <c r="Y24" s="2">
        <v>0</v>
      </c>
      <c r="Z24" s="2">
        <v>0</v>
      </c>
      <c r="AA24" s="3">
        <v>10000</v>
      </c>
      <c r="AB24" s="3">
        <v>0</v>
      </c>
      <c r="AC24" s="3">
        <v>1</v>
      </c>
      <c r="AD24" s="3">
        <v>1</v>
      </c>
      <c r="AE24" s="3">
        <v>1</v>
      </c>
      <c r="AF24" s="3">
        <v>1</v>
      </c>
      <c r="AG24" s="2">
        <v>1</v>
      </c>
      <c r="AH24" s="2" t="str">
        <f t="shared" si="0"/>
        <v>tixkey18</v>
      </c>
      <c r="AI24" s="2" t="s">
        <v>190</v>
      </c>
      <c r="AJ24" s="3">
        <v>0</v>
      </c>
      <c r="AK24" s="2"/>
    </row>
    <row r="25" spans="1:37" x14ac:dyDescent="0.3">
      <c r="A25" s="3" t="s">
        <v>108</v>
      </c>
      <c r="B25" s="3">
        <v>1</v>
      </c>
      <c r="C25" s="3" t="s">
        <v>109</v>
      </c>
      <c r="D25" s="3">
        <v>2</v>
      </c>
      <c r="E25" s="3" t="s">
        <v>192</v>
      </c>
      <c r="F25" s="2">
        <v>781</v>
      </c>
      <c r="G25" s="2">
        <v>300</v>
      </c>
      <c r="H25" s="3" t="s">
        <v>237</v>
      </c>
      <c r="I25" s="2" t="s">
        <v>110</v>
      </c>
      <c r="J25" s="2" t="s">
        <v>43</v>
      </c>
      <c r="K25" s="2">
        <v>0</v>
      </c>
      <c r="L25" s="3">
        <v>0</v>
      </c>
      <c r="M25" s="3">
        <v>4500</v>
      </c>
      <c r="N25" s="3">
        <v>0</v>
      </c>
      <c r="O25" s="3">
        <v>0</v>
      </c>
      <c r="P25" s="3">
        <v>0</v>
      </c>
      <c r="Q25" s="3">
        <v>0</v>
      </c>
      <c r="R25" s="3">
        <v>100</v>
      </c>
      <c r="S25" s="3">
        <v>1</v>
      </c>
      <c r="T25" s="2">
        <v>0</v>
      </c>
      <c r="U25" s="3">
        <v>300</v>
      </c>
      <c r="V25" s="3">
        <v>1</v>
      </c>
      <c r="W25" s="3" t="s">
        <v>44</v>
      </c>
      <c r="X25" s="3">
        <v>300</v>
      </c>
      <c r="Y25" s="2">
        <v>0</v>
      </c>
      <c r="Z25" s="2">
        <v>0</v>
      </c>
      <c r="AA25" s="3">
        <v>10000</v>
      </c>
      <c r="AB25" s="3">
        <v>0</v>
      </c>
      <c r="AC25" s="3">
        <v>1</v>
      </c>
      <c r="AD25" s="3">
        <v>1</v>
      </c>
      <c r="AE25" s="3">
        <v>1</v>
      </c>
      <c r="AF25" s="3">
        <v>1</v>
      </c>
      <c r="AG25" s="2">
        <v>1</v>
      </c>
      <c r="AH25" s="2" t="str">
        <f t="shared" si="0"/>
        <v>tixkey19</v>
      </c>
      <c r="AI25" s="2" t="s">
        <v>190</v>
      </c>
      <c r="AJ25" s="3">
        <v>0</v>
      </c>
      <c r="AK25" s="2"/>
    </row>
    <row r="26" spans="1:37" x14ac:dyDescent="0.3">
      <c r="A26" s="3" t="s">
        <v>111</v>
      </c>
      <c r="B26" s="3">
        <v>1</v>
      </c>
      <c r="C26" s="3" t="s">
        <v>112</v>
      </c>
      <c r="D26" s="3">
        <v>2</v>
      </c>
      <c r="E26" s="3" t="s">
        <v>192</v>
      </c>
      <c r="F26" s="2">
        <v>781</v>
      </c>
      <c r="G26" s="2">
        <v>300</v>
      </c>
      <c r="H26" s="3" t="s">
        <v>237</v>
      </c>
      <c r="I26" s="2" t="s">
        <v>113</v>
      </c>
      <c r="J26" s="2" t="s">
        <v>43</v>
      </c>
      <c r="K26" s="2">
        <v>0</v>
      </c>
      <c r="L26" s="3">
        <v>0</v>
      </c>
      <c r="M26" s="3">
        <v>5000</v>
      </c>
      <c r="N26" s="3">
        <v>0</v>
      </c>
      <c r="O26" s="3">
        <v>0</v>
      </c>
      <c r="P26" s="3">
        <v>0</v>
      </c>
      <c r="Q26" s="3">
        <v>0</v>
      </c>
      <c r="R26" s="3">
        <v>100</v>
      </c>
      <c r="S26" s="3">
        <v>1</v>
      </c>
      <c r="T26" s="2">
        <v>0</v>
      </c>
      <c r="U26" s="3">
        <v>300</v>
      </c>
      <c r="V26" s="3">
        <v>1</v>
      </c>
      <c r="W26" s="3" t="s">
        <v>44</v>
      </c>
      <c r="X26" s="3">
        <v>300</v>
      </c>
      <c r="Y26" s="2">
        <v>0</v>
      </c>
      <c r="Z26" s="2">
        <v>0</v>
      </c>
      <c r="AA26" s="3">
        <v>10000</v>
      </c>
      <c r="AB26" s="3">
        <v>0</v>
      </c>
      <c r="AC26" s="3">
        <v>1</v>
      </c>
      <c r="AD26" s="3">
        <v>1</v>
      </c>
      <c r="AE26" s="3">
        <v>1</v>
      </c>
      <c r="AF26" s="3">
        <v>1</v>
      </c>
      <c r="AG26" s="2">
        <v>1</v>
      </c>
      <c r="AH26" s="2" t="str">
        <f t="shared" si="0"/>
        <v>tixkey20</v>
      </c>
      <c r="AI26" s="2" t="s">
        <v>190</v>
      </c>
      <c r="AJ26" s="3">
        <v>0</v>
      </c>
      <c r="AK26" s="2"/>
    </row>
    <row r="27" spans="1:37" x14ac:dyDescent="0.3">
      <c r="A27" s="3" t="s">
        <v>114</v>
      </c>
      <c r="B27" s="3">
        <v>0</v>
      </c>
      <c r="C27" s="3" t="s">
        <v>115</v>
      </c>
      <c r="D27" s="3">
        <v>2</v>
      </c>
      <c r="E27" s="3" t="s">
        <v>192</v>
      </c>
      <c r="F27" s="2">
        <v>781</v>
      </c>
      <c r="G27" s="2">
        <v>300</v>
      </c>
      <c r="H27" s="3" t="s">
        <v>237</v>
      </c>
      <c r="I27" s="2" t="s">
        <v>116</v>
      </c>
      <c r="J27" s="2" t="s">
        <v>43</v>
      </c>
      <c r="K27" s="2">
        <v>0</v>
      </c>
      <c r="L27" s="3">
        <v>0</v>
      </c>
      <c r="M27" s="3">
        <v>5000</v>
      </c>
      <c r="N27" s="3">
        <v>0</v>
      </c>
      <c r="O27" s="3">
        <v>0</v>
      </c>
      <c r="P27" s="3">
        <v>0</v>
      </c>
      <c r="Q27" s="3">
        <v>0</v>
      </c>
      <c r="R27" s="3">
        <v>100</v>
      </c>
      <c r="S27" s="3">
        <v>1</v>
      </c>
      <c r="T27" s="2">
        <v>0</v>
      </c>
      <c r="U27" s="3">
        <v>300</v>
      </c>
      <c r="V27" s="3">
        <v>1</v>
      </c>
      <c r="W27" s="3" t="s">
        <v>44</v>
      </c>
      <c r="X27" s="3">
        <v>300</v>
      </c>
      <c r="Y27" s="2">
        <v>0</v>
      </c>
      <c r="Z27" s="2">
        <v>0</v>
      </c>
      <c r="AA27" s="3">
        <v>10000</v>
      </c>
      <c r="AB27" s="3">
        <v>0</v>
      </c>
      <c r="AC27" s="3">
        <v>1</v>
      </c>
      <c r="AD27" s="3">
        <v>1</v>
      </c>
      <c r="AE27" s="3">
        <v>1</v>
      </c>
      <c r="AF27" s="3">
        <v>1</v>
      </c>
      <c r="AG27" s="2">
        <v>1</v>
      </c>
      <c r="AH27" s="2" t="str">
        <f t="shared" si="0"/>
        <v>tixkey21</v>
      </c>
      <c r="AI27" s="2" t="s">
        <v>190</v>
      </c>
      <c r="AJ27" s="3">
        <v>0</v>
      </c>
      <c r="AK27" s="2"/>
    </row>
    <row r="28" spans="1:37" x14ac:dyDescent="0.3">
      <c r="A28" s="3" t="s">
        <v>117</v>
      </c>
      <c r="B28" s="3">
        <v>0</v>
      </c>
      <c r="C28" s="3" t="s">
        <v>118</v>
      </c>
      <c r="D28" s="3">
        <v>2</v>
      </c>
      <c r="E28" s="3" t="s">
        <v>192</v>
      </c>
      <c r="F28" s="2">
        <v>781</v>
      </c>
      <c r="G28" s="2">
        <v>300</v>
      </c>
      <c r="H28" s="3" t="s">
        <v>237</v>
      </c>
      <c r="I28" s="2" t="s">
        <v>119</v>
      </c>
      <c r="J28" s="2" t="s">
        <v>43</v>
      </c>
      <c r="K28" s="2">
        <v>0</v>
      </c>
      <c r="L28" s="3">
        <v>0</v>
      </c>
      <c r="M28" s="3">
        <v>5000</v>
      </c>
      <c r="N28" s="3">
        <v>0</v>
      </c>
      <c r="O28" s="3">
        <v>0</v>
      </c>
      <c r="P28" s="3">
        <v>0</v>
      </c>
      <c r="Q28" s="3">
        <v>0</v>
      </c>
      <c r="R28" s="3">
        <v>100</v>
      </c>
      <c r="S28" s="3">
        <v>1</v>
      </c>
      <c r="T28" s="2">
        <v>0</v>
      </c>
      <c r="U28" s="3">
        <v>300</v>
      </c>
      <c r="V28" s="3">
        <v>1</v>
      </c>
      <c r="W28" s="3" t="s">
        <v>44</v>
      </c>
      <c r="X28" s="3">
        <v>300</v>
      </c>
      <c r="Y28" s="2">
        <v>0</v>
      </c>
      <c r="Z28" s="2">
        <v>0</v>
      </c>
      <c r="AA28" s="3">
        <v>10000</v>
      </c>
      <c r="AB28" s="3">
        <v>0</v>
      </c>
      <c r="AC28" s="3">
        <v>1</v>
      </c>
      <c r="AD28" s="3">
        <v>1</v>
      </c>
      <c r="AE28" s="3">
        <v>1</v>
      </c>
      <c r="AF28" s="3">
        <v>1</v>
      </c>
      <c r="AG28" s="2">
        <v>1</v>
      </c>
      <c r="AH28" s="2" t="str">
        <f t="shared" si="0"/>
        <v>tixkey22</v>
      </c>
      <c r="AI28" s="2" t="s">
        <v>190</v>
      </c>
      <c r="AJ28" s="3">
        <v>0</v>
      </c>
      <c r="AK28" s="2"/>
    </row>
    <row r="29" spans="1:37" x14ac:dyDescent="0.3">
      <c r="A29" s="3" t="s">
        <v>120</v>
      </c>
      <c r="B29" s="3">
        <v>0</v>
      </c>
      <c r="C29" s="3" t="s">
        <v>121</v>
      </c>
      <c r="D29" s="3">
        <v>2</v>
      </c>
      <c r="E29" s="3" t="s">
        <v>192</v>
      </c>
      <c r="F29" s="2">
        <v>781</v>
      </c>
      <c r="G29" s="2">
        <v>300</v>
      </c>
      <c r="H29" s="3" t="s">
        <v>237</v>
      </c>
      <c r="I29" s="2" t="s">
        <v>122</v>
      </c>
      <c r="J29" s="2" t="s">
        <v>43</v>
      </c>
      <c r="K29" s="2">
        <v>0</v>
      </c>
      <c r="L29" s="3">
        <v>0</v>
      </c>
      <c r="M29" s="3">
        <v>5000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>
        <v>1</v>
      </c>
      <c r="T29" s="2">
        <v>0</v>
      </c>
      <c r="U29" s="3">
        <v>300</v>
      </c>
      <c r="V29" s="3">
        <v>1</v>
      </c>
      <c r="W29" s="3" t="s">
        <v>44</v>
      </c>
      <c r="X29" s="3">
        <v>300</v>
      </c>
      <c r="Y29" s="2">
        <v>0</v>
      </c>
      <c r="Z29" s="2">
        <v>0</v>
      </c>
      <c r="AA29" s="3">
        <v>10000</v>
      </c>
      <c r="AB29" s="3">
        <v>0</v>
      </c>
      <c r="AC29" s="3">
        <v>1</v>
      </c>
      <c r="AD29" s="3">
        <v>1</v>
      </c>
      <c r="AE29" s="3">
        <v>1</v>
      </c>
      <c r="AF29" s="3">
        <v>1</v>
      </c>
      <c r="AG29" s="2">
        <v>1</v>
      </c>
      <c r="AH29" s="2" t="str">
        <f t="shared" si="0"/>
        <v>tixkey23</v>
      </c>
      <c r="AI29" s="2" t="s">
        <v>190</v>
      </c>
      <c r="AJ29" s="3">
        <v>0</v>
      </c>
      <c r="AK29" s="2"/>
    </row>
    <row r="30" spans="1:37" x14ac:dyDescent="0.3">
      <c r="A30" s="3" t="s">
        <v>123</v>
      </c>
      <c r="B30" s="3">
        <v>0</v>
      </c>
      <c r="C30" s="3" t="s">
        <v>124</v>
      </c>
      <c r="D30" s="3">
        <v>2</v>
      </c>
      <c r="E30" s="3" t="s">
        <v>192</v>
      </c>
      <c r="F30" s="2">
        <v>781</v>
      </c>
      <c r="G30" s="2">
        <v>300</v>
      </c>
      <c r="H30" s="3" t="s">
        <v>237</v>
      </c>
      <c r="I30" s="2" t="s">
        <v>125</v>
      </c>
      <c r="J30" s="2" t="s">
        <v>43</v>
      </c>
      <c r="K30" s="2">
        <v>0</v>
      </c>
      <c r="L30" s="3">
        <v>0</v>
      </c>
      <c r="M30" s="3">
        <v>5000</v>
      </c>
      <c r="N30" s="3">
        <v>0</v>
      </c>
      <c r="O30" s="3">
        <v>0</v>
      </c>
      <c r="P30" s="3">
        <v>0</v>
      </c>
      <c r="Q30" s="3">
        <v>0</v>
      </c>
      <c r="R30" s="3">
        <v>100</v>
      </c>
      <c r="S30" s="3">
        <v>1</v>
      </c>
      <c r="T30" s="2">
        <v>0</v>
      </c>
      <c r="U30" s="3">
        <v>300</v>
      </c>
      <c r="V30" s="3">
        <v>1</v>
      </c>
      <c r="W30" s="3" t="s">
        <v>44</v>
      </c>
      <c r="X30" s="3">
        <v>300</v>
      </c>
      <c r="Y30" s="2">
        <v>0</v>
      </c>
      <c r="Z30" s="2">
        <v>0</v>
      </c>
      <c r="AA30" s="3">
        <v>10000</v>
      </c>
      <c r="AB30" s="3">
        <v>0</v>
      </c>
      <c r="AC30" s="3">
        <v>1</v>
      </c>
      <c r="AD30" s="3">
        <v>1</v>
      </c>
      <c r="AE30" s="3">
        <v>1</v>
      </c>
      <c r="AF30" s="3">
        <v>1</v>
      </c>
      <c r="AG30" s="2">
        <v>1</v>
      </c>
      <c r="AH30" s="2" t="str">
        <f t="shared" si="0"/>
        <v>tixkey24</v>
      </c>
      <c r="AI30" s="2" t="s">
        <v>190</v>
      </c>
      <c r="AJ30" s="3">
        <v>0</v>
      </c>
      <c r="AK30" s="2"/>
    </row>
    <row r="31" spans="1:37" x14ac:dyDescent="0.3">
      <c r="A31" s="3" t="s">
        <v>126</v>
      </c>
      <c r="B31" s="3">
        <v>0</v>
      </c>
      <c r="C31" s="3" t="s">
        <v>127</v>
      </c>
      <c r="D31" s="3">
        <v>3</v>
      </c>
      <c r="E31" s="3" t="s">
        <v>192</v>
      </c>
      <c r="F31" s="2">
        <v>781</v>
      </c>
      <c r="G31" s="2">
        <v>300</v>
      </c>
      <c r="H31" s="3" t="s">
        <v>237</v>
      </c>
      <c r="I31" s="2" t="s">
        <v>128</v>
      </c>
      <c r="J31" s="2" t="s">
        <v>43</v>
      </c>
      <c r="K31" s="2">
        <v>0</v>
      </c>
      <c r="L31" s="3">
        <v>0</v>
      </c>
      <c r="M31" s="3">
        <v>10000</v>
      </c>
      <c r="N31" s="3">
        <v>0</v>
      </c>
      <c r="O31" s="3">
        <v>0</v>
      </c>
      <c r="P31" s="3">
        <v>0</v>
      </c>
      <c r="Q31" s="3">
        <v>0</v>
      </c>
      <c r="R31" s="3">
        <v>100</v>
      </c>
      <c r="S31" s="3">
        <v>1</v>
      </c>
      <c r="T31" s="2">
        <v>0</v>
      </c>
      <c r="U31" s="3">
        <v>300</v>
      </c>
      <c r="V31" s="3">
        <v>1</v>
      </c>
      <c r="W31" s="3" t="s">
        <v>44</v>
      </c>
      <c r="X31" s="3">
        <v>300</v>
      </c>
      <c r="Y31" s="2">
        <v>0</v>
      </c>
      <c r="Z31" s="2">
        <v>0</v>
      </c>
      <c r="AA31" s="3">
        <v>10000</v>
      </c>
      <c r="AB31" s="3">
        <v>0</v>
      </c>
      <c r="AC31" s="3">
        <v>1</v>
      </c>
      <c r="AD31" s="3">
        <v>1</v>
      </c>
      <c r="AE31" s="3">
        <v>1</v>
      </c>
      <c r="AF31" s="3">
        <v>1</v>
      </c>
      <c r="AG31" s="2">
        <v>1</v>
      </c>
      <c r="AH31" s="2" t="str">
        <f t="shared" si="0"/>
        <v>tixkey25</v>
      </c>
      <c r="AI31" s="2" t="s">
        <v>190</v>
      </c>
      <c r="AJ31" s="3">
        <v>0</v>
      </c>
      <c r="AK31" s="2"/>
    </row>
    <row r="32" spans="1:37" x14ac:dyDescent="0.3">
      <c r="A32" s="3" t="s">
        <v>129</v>
      </c>
      <c r="B32" s="3">
        <v>0</v>
      </c>
      <c r="C32" s="3" t="s">
        <v>130</v>
      </c>
      <c r="D32" s="3">
        <v>3</v>
      </c>
      <c r="E32" s="3" t="s">
        <v>192</v>
      </c>
      <c r="F32" s="2">
        <v>781</v>
      </c>
      <c r="G32" s="2">
        <v>300</v>
      </c>
      <c r="H32" s="3" t="s">
        <v>237</v>
      </c>
      <c r="I32" s="2" t="s">
        <v>131</v>
      </c>
      <c r="J32" s="2" t="s">
        <v>43</v>
      </c>
      <c r="K32" s="2">
        <v>0</v>
      </c>
      <c r="L32" s="3">
        <v>0</v>
      </c>
      <c r="M32" s="3">
        <v>10000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1</v>
      </c>
      <c r="T32" s="2">
        <v>0</v>
      </c>
      <c r="U32" s="3">
        <v>300</v>
      </c>
      <c r="V32" s="3">
        <v>1</v>
      </c>
      <c r="W32" s="3" t="s">
        <v>44</v>
      </c>
      <c r="X32" s="3">
        <v>300</v>
      </c>
      <c r="Y32" s="2">
        <v>0</v>
      </c>
      <c r="Z32" s="2">
        <v>0</v>
      </c>
      <c r="AA32" s="3">
        <v>10000</v>
      </c>
      <c r="AB32" s="3">
        <v>0</v>
      </c>
      <c r="AC32" s="3">
        <v>1</v>
      </c>
      <c r="AD32" s="3">
        <v>1</v>
      </c>
      <c r="AE32" s="3">
        <v>1</v>
      </c>
      <c r="AF32" s="3">
        <v>1</v>
      </c>
      <c r="AG32" s="2">
        <v>1</v>
      </c>
      <c r="AH32" s="2" t="str">
        <f t="shared" si="0"/>
        <v>tixkey26</v>
      </c>
      <c r="AI32" s="2" t="s">
        <v>190</v>
      </c>
      <c r="AJ32" s="3">
        <v>0</v>
      </c>
      <c r="AK32" s="2"/>
    </row>
    <row r="33" spans="1:37" x14ac:dyDescent="0.3">
      <c r="A33" s="3" t="s">
        <v>132</v>
      </c>
      <c r="B33" s="3">
        <v>0</v>
      </c>
      <c r="C33" s="3" t="s">
        <v>133</v>
      </c>
      <c r="D33" s="3">
        <v>3</v>
      </c>
      <c r="E33" s="3" t="s">
        <v>192</v>
      </c>
      <c r="F33" s="2">
        <v>781</v>
      </c>
      <c r="G33" s="2">
        <v>300</v>
      </c>
      <c r="H33" s="3" t="s">
        <v>237</v>
      </c>
      <c r="I33" s="2" t="s">
        <v>134</v>
      </c>
      <c r="J33" s="2" t="s">
        <v>43</v>
      </c>
      <c r="K33" s="2">
        <v>0</v>
      </c>
      <c r="L33" s="3">
        <v>0</v>
      </c>
      <c r="M33" s="3">
        <v>10000</v>
      </c>
      <c r="N33" s="3">
        <v>0</v>
      </c>
      <c r="O33" s="3">
        <v>0</v>
      </c>
      <c r="P33" s="3">
        <v>0</v>
      </c>
      <c r="Q33" s="3">
        <v>0</v>
      </c>
      <c r="R33" s="3">
        <v>100</v>
      </c>
      <c r="S33" s="3">
        <v>1</v>
      </c>
      <c r="T33" s="2">
        <v>0</v>
      </c>
      <c r="U33" s="3">
        <v>300</v>
      </c>
      <c r="V33" s="3">
        <v>1</v>
      </c>
      <c r="W33" s="3" t="s">
        <v>44</v>
      </c>
      <c r="X33" s="3">
        <v>300</v>
      </c>
      <c r="Y33" s="2">
        <v>0</v>
      </c>
      <c r="Z33" s="2">
        <v>0</v>
      </c>
      <c r="AA33" s="3">
        <v>10000</v>
      </c>
      <c r="AB33" s="3">
        <v>0</v>
      </c>
      <c r="AC33" s="3">
        <v>1</v>
      </c>
      <c r="AD33" s="3">
        <v>1</v>
      </c>
      <c r="AE33" s="3">
        <v>1</v>
      </c>
      <c r="AF33" s="3">
        <v>1</v>
      </c>
      <c r="AG33" s="2">
        <v>1</v>
      </c>
      <c r="AH33" s="2" t="str">
        <f t="shared" si="0"/>
        <v>tixkey27</v>
      </c>
      <c r="AI33" s="2" t="s">
        <v>190</v>
      </c>
      <c r="AJ33" s="3">
        <v>0</v>
      </c>
      <c r="AK33" s="2"/>
    </row>
    <row r="34" spans="1:37" x14ac:dyDescent="0.3">
      <c r="A34" s="3" t="s">
        <v>135</v>
      </c>
      <c r="B34" s="3">
        <v>0</v>
      </c>
      <c r="C34" s="3" t="s">
        <v>136</v>
      </c>
      <c r="D34" s="3">
        <v>3</v>
      </c>
      <c r="E34" s="3" t="s">
        <v>192</v>
      </c>
      <c r="F34" s="2">
        <v>781</v>
      </c>
      <c r="G34" s="2">
        <v>300</v>
      </c>
      <c r="H34" s="3" t="s">
        <v>237</v>
      </c>
      <c r="I34" s="2" t="s">
        <v>137</v>
      </c>
      <c r="J34" s="2" t="s">
        <v>43</v>
      </c>
      <c r="K34" s="2">
        <v>0</v>
      </c>
      <c r="L34" s="3">
        <v>0</v>
      </c>
      <c r="M34" s="3">
        <v>10000</v>
      </c>
      <c r="N34" s="3">
        <v>0</v>
      </c>
      <c r="O34" s="3">
        <v>0</v>
      </c>
      <c r="P34" s="3">
        <v>0</v>
      </c>
      <c r="Q34" s="3">
        <v>0</v>
      </c>
      <c r="R34" s="3">
        <v>100</v>
      </c>
      <c r="S34" s="3">
        <v>1</v>
      </c>
      <c r="T34" s="2">
        <v>0</v>
      </c>
      <c r="U34" s="3">
        <v>300</v>
      </c>
      <c r="V34" s="3">
        <v>1</v>
      </c>
      <c r="W34" s="3" t="s">
        <v>44</v>
      </c>
      <c r="X34" s="3">
        <v>300</v>
      </c>
      <c r="Y34" s="2">
        <v>0</v>
      </c>
      <c r="Z34" s="2">
        <v>0</v>
      </c>
      <c r="AA34" s="3">
        <v>10000</v>
      </c>
      <c r="AB34" s="3">
        <v>0</v>
      </c>
      <c r="AC34" s="3">
        <v>1</v>
      </c>
      <c r="AD34" s="3">
        <v>1</v>
      </c>
      <c r="AE34" s="3">
        <v>1</v>
      </c>
      <c r="AF34" s="3">
        <v>1</v>
      </c>
      <c r="AG34" s="2">
        <v>1</v>
      </c>
      <c r="AH34" s="2" t="str">
        <f t="shared" si="0"/>
        <v>tixkey28</v>
      </c>
      <c r="AI34" s="2" t="s">
        <v>190</v>
      </c>
      <c r="AJ34" s="3">
        <v>0</v>
      </c>
      <c r="AK34" s="2"/>
    </row>
    <row r="35" spans="1:37" x14ac:dyDescent="0.3">
      <c r="A35" s="3" t="s">
        <v>138</v>
      </c>
      <c r="B35" s="3">
        <v>0</v>
      </c>
      <c r="C35" s="3" t="s">
        <v>139</v>
      </c>
      <c r="D35" s="3">
        <v>3</v>
      </c>
      <c r="E35" s="3" t="s">
        <v>192</v>
      </c>
      <c r="F35" s="2">
        <v>781</v>
      </c>
      <c r="G35" s="2">
        <v>300</v>
      </c>
      <c r="H35" s="3" t="s">
        <v>237</v>
      </c>
      <c r="I35" s="2" t="s">
        <v>140</v>
      </c>
      <c r="J35" s="2" t="s">
        <v>43</v>
      </c>
      <c r="K35" s="2">
        <v>0</v>
      </c>
      <c r="L35" s="3">
        <v>0</v>
      </c>
      <c r="M35" s="3">
        <v>10000</v>
      </c>
      <c r="N35" s="3">
        <v>0</v>
      </c>
      <c r="O35" s="3">
        <v>0</v>
      </c>
      <c r="P35" s="3">
        <v>0</v>
      </c>
      <c r="Q35" s="3">
        <v>0</v>
      </c>
      <c r="R35" s="3">
        <v>100</v>
      </c>
      <c r="S35" s="3">
        <v>1</v>
      </c>
      <c r="T35" s="2">
        <v>0</v>
      </c>
      <c r="U35" s="3">
        <v>300</v>
      </c>
      <c r="V35" s="3">
        <v>1</v>
      </c>
      <c r="W35" s="3" t="s">
        <v>44</v>
      </c>
      <c r="X35" s="3">
        <v>300</v>
      </c>
      <c r="Y35" s="2">
        <v>0</v>
      </c>
      <c r="Z35" s="2">
        <v>0</v>
      </c>
      <c r="AA35" s="3">
        <v>10000</v>
      </c>
      <c r="AB35" s="3">
        <v>0</v>
      </c>
      <c r="AC35" s="3">
        <v>1</v>
      </c>
      <c r="AD35" s="3">
        <v>1</v>
      </c>
      <c r="AE35" s="3">
        <v>1</v>
      </c>
      <c r="AF35" s="3">
        <v>1</v>
      </c>
      <c r="AG35" s="2">
        <v>1</v>
      </c>
      <c r="AH35" s="2" t="str">
        <f t="shared" si="0"/>
        <v>tixkey29</v>
      </c>
      <c r="AI35" s="2" t="s">
        <v>190</v>
      </c>
      <c r="AJ35" s="3">
        <v>0</v>
      </c>
      <c r="AK35" s="2"/>
    </row>
    <row r="36" spans="1:37" x14ac:dyDescent="0.3">
      <c r="A36" s="3" t="s">
        <v>141</v>
      </c>
      <c r="B36" s="3">
        <v>0</v>
      </c>
      <c r="C36" s="3" t="s">
        <v>142</v>
      </c>
      <c r="D36" s="3">
        <v>3</v>
      </c>
      <c r="E36" s="3" t="s">
        <v>192</v>
      </c>
      <c r="F36" s="2">
        <v>781</v>
      </c>
      <c r="G36" s="2">
        <v>300</v>
      </c>
      <c r="H36" s="3" t="s">
        <v>237</v>
      </c>
      <c r="I36" s="2" t="s">
        <v>143</v>
      </c>
      <c r="J36" s="2" t="s">
        <v>43</v>
      </c>
      <c r="K36" s="2">
        <v>0</v>
      </c>
      <c r="L36" s="3">
        <v>0</v>
      </c>
      <c r="M36" s="3">
        <v>10000</v>
      </c>
      <c r="N36" s="3">
        <v>0</v>
      </c>
      <c r="O36" s="3">
        <v>0</v>
      </c>
      <c r="P36" s="3">
        <v>0</v>
      </c>
      <c r="Q36" s="3">
        <v>0</v>
      </c>
      <c r="R36" s="3">
        <v>100</v>
      </c>
      <c r="S36" s="3">
        <v>1</v>
      </c>
      <c r="T36" s="2">
        <v>0</v>
      </c>
      <c r="U36" s="3">
        <v>300</v>
      </c>
      <c r="V36" s="3">
        <v>1</v>
      </c>
      <c r="W36" s="3" t="s">
        <v>44</v>
      </c>
      <c r="X36" s="3">
        <v>300</v>
      </c>
      <c r="Y36" s="2">
        <v>0</v>
      </c>
      <c r="Z36" s="2">
        <v>0</v>
      </c>
      <c r="AA36" s="3">
        <v>10000</v>
      </c>
      <c r="AB36" s="3">
        <v>0</v>
      </c>
      <c r="AC36" s="3">
        <v>1</v>
      </c>
      <c r="AD36" s="3">
        <v>1</v>
      </c>
      <c r="AE36" s="3">
        <v>1</v>
      </c>
      <c r="AF36" s="3">
        <v>1</v>
      </c>
      <c r="AG36" s="2">
        <v>1</v>
      </c>
      <c r="AH36" s="2" t="str">
        <f t="shared" si="0"/>
        <v>tixkey30</v>
      </c>
      <c r="AI36" s="2" t="s">
        <v>190</v>
      </c>
      <c r="AJ36" s="3">
        <v>0</v>
      </c>
      <c r="AK36" s="2"/>
    </row>
    <row r="37" spans="1:37" x14ac:dyDescent="0.3">
      <c r="A37" s="3" t="s">
        <v>144</v>
      </c>
      <c r="B37" s="3">
        <v>1</v>
      </c>
      <c r="C37" s="3" t="s">
        <v>145</v>
      </c>
      <c r="D37" s="3">
        <v>6</v>
      </c>
      <c r="E37" s="3" t="s">
        <v>240</v>
      </c>
      <c r="F37" s="2">
        <v>781</v>
      </c>
      <c r="G37" s="2">
        <v>300</v>
      </c>
      <c r="H37" s="3" t="s">
        <v>237</v>
      </c>
      <c r="I37" s="2" t="s">
        <v>146</v>
      </c>
      <c r="J37" s="2" t="s">
        <v>43</v>
      </c>
      <c r="K37" s="2">
        <v>0</v>
      </c>
      <c r="L37" s="3">
        <v>2</v>
      </c>
      <c r="M37" s="3">
        <v>10000</v>
      </c>
      <c r="N37" s="3">
        <v>225000</v>
      </c>
      <c r="O37" s="3">
        <v>0</v>
      </c>
      <c r="P37" s="3">
        <v>0</v>
      </c>
      <c r="Q37" s="3">
        <v>0</v>
      </c>
      <c r="R37" s="3">
        <v>100</v>
      </c>
      <c r="S37" s="3">
        <v>1</v>
      </c>
      <c r="T37" s="2">
        <v>0</v>
      </c>
      <c r="U37" s="3">
        <v>300</v>
      </c>
      <c r="V37" s="3">
        <v>1</v>
      </c>
      <c r="W37" s="3" t="s">
        <v>44</v>
      </c>
      <c r="X37" s="3">
        <v>300</v>
      </c>
      <c r="Y37" s="2">
        <v>0</v>
      </c>
      <c r="Z37" s="2">
        <v>0</v>
      </c>
      <c r="AA37" s="3">
        <v>10000</v>
      </c>
      <c r="AB37" s="3">
        <v>0</v>
      </c>
      <c r="AC37" s="3">
        <v>1</v>
      </c>
      <c r="AD37" s="3">
        <v>1</v>
      </c>
      <c r="AE37" s="3">
        <v>1</v>
      </c>
      <c r="AF37" s="3">
        <v>1</v>
      </c>
      <c r="AG37" s="2">
        <v>1</v>
      </c>
      <c r="AH37" s="2" t="str">
        <f t="shared" si="0"/>
        <v>tixkey31</v>
      </c>
      <c r="AI37" s="2" t="s">
        <v>190</v>
      </c>
      <c r="AJ37" s="3">
        <v>0</v>
      </c>
      <c r="AK37" s="2"/>
    </row>
    <row r="38" spans="1:37" x14ac:dyDescent="0.3">
      <c r="A38" s="3" t="s">
        <v>147</v>
      </c>
      <c r="B38" s="3">
        <v>1</v>
      </c>
      <c r="C38" s="3" t="s">
        <v>148</v>
      </c>
      <c r="D38" s="3">
        <v>5</v>
      </c>
      <c r="E38" s="3" t="s">
        <v>241</v>
      </c>
      <c r="F38" s="2">
        <v>781</v>
      </c>
      <c r="G38" s="2">
        <v>300</v>
      </c>
      <c r="H38" s="3" t="s">
        <v>237</v>
      </c>
      <c r="I38" s="2" t="s">
        <v>149</v>
      </c>
      <c r="J38" s="2" t="s">
        <v>43</v>
      </c>
      <c r="K38" s="2">
        <v>0</v>
      </c>
      <c r="L38" s="3">
        <v>2</v>
      </c>
      <c r="M38" s="3">
        <v>10000</v>
      </c>
      <c r="N38" s="3">
        <v>175000</v>
      </c>
      <c r="O38" s="3">
        <v>0</v>
      </c>
      <c r="P38" s="3">
        <v>0</v>
      </c>
      <c r="Q38" s="3">
        <v>0</v>
      </c>
      <c r="R38" s="3">
        <v>100</v>
      </c>
      <c r="S38" s="3">
        <v>1</v>
      </c>
      <c r="T38" s="2">
        <v>0</v>
      </c>
      <c r="U38" s="3">
        <v>300</v>
      </c>
      <c r="V38" s="3">
        <v>1</v>
      </c>
      <c r="W38" s="3" t="s">
        <v>44</v>
      </c>
      <c r="X38" s="3">
        <v>300</v>
      </c>
      <c r="Y38" s="2">
        <v>0</v>
      </c>
      <c r="Z38" s="2">
        <v>0</v>
      </c>
      <c r="AA38" s="3">
        <v>10000</v>
      </c>
      <c r="AB38" s="3">
        <v>0</v>
      </c>
      <c r="AC38" s="3">
        <v>1</v>
      </c>
      <c r="AD38" s="3">
        <v>1</v>
      </c>
      <c r="AE38" s="3">
        <v>1</v>
      </c>
      <c r="AF38" s="3">
        <v>1</v>
      </c>
      <c r="AG38" s="2">
        <v>1</v>
      </c>
      <c r="AH38" s="2" t="str">
        <f t="shared" si="0"/>
        <v>tixkey32</v>
      </c>
      <c r="AI38" s="2" t="s">
        <v>190</v>
      </c>
      <c r="AJ38" s="3">
        <v>0</v>
      </c>
      <c r="AK38" s="2"/>
    </row>
    <row r="39" spans="1:37" x14ac:dyDescent="0.3">
      <c r="A39" s="3" t="s">
        <v>150</v>
      </c>
      <c r="B39" s="3">
        <v>0</v>
      </c>
      <c r="C39" s="3" t="s">
        <v>41</v>
      </c>
      <c r="D39" s="3">
        <v>1</v>
      </c>
      <c r="E39" s="3" t="s">
        <v>204</v>
      </c>
      <c r="F39" s="2">
        <v>781</v>
      </c>
      <c r="G39" s="2">
        <v>300</v>
      </c>
      <c r="H39" s="3" t="s">
        <v>237</v>
      </c>
      <c r="I39" s="2" t="s">
        <v>151</v>
      </c>
      <c r="J39" s="2" t="s">
        <v>43</v>
      </c>
      <c r="K39" s="2">
        <v>0</v>
      </c>
      <c r="L39" s="3">
        <v>0</v>
      </c>
      <c r="M39" s="3">
        <v>200000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2">
        <v>0</v>
      </c>
      <c r="U39" s="3">
        <v>300</v>
      </c>
      <c r="V39" s="3">
        <v>1</v>
      </c>
      <c r="W39" s="3" t="s">
        <v>44</v>
      </c>
      <c r="X39" s="3">
        <v>200</v>
      </c>
      <c r="Y39" s="2">
        <v>0</v>
      </c>
      <c r="Z39" s="2">
        <v>0</v>
      </c>
      <c r="AA39" s="3">
        <v>250000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2">
        <v>0</v>
      </c>
      <c r="AH39" s="2" t="str">
        <f t="shared" si="0"/>
        <v>tixbde25</v>
      </c>
      <c r="AI39" s="2" t="s">
        <v>45</v>
      </c>
      <c r="AJ39" s="3">
        <v>0</v>
      </c>
      <c r="AK39" s="2"/>
    </row>
    <row r="40" spans="1:37" x14ac:dyDescent="0.3">
      <c r="A40" s="3" t="s">
        <v>152</v>
      </c>
      <c r="B40" s="3">
        <v>0</v>
      </c>
      <c r="C40" s="3" t="s">
        <v>51</v>
      </c>
      <c r="D40" s="3">
        <v>1</v>
      </c>
      <c r="E40" s="3" t="s">
        <v>205</v>
      </c>
      <c r="F40" s="2">
        <v>781</v>
      </c>
      <c r="G40" s="2">
        <v>300</v>
      </c>
      <c r="H40" s="3" t="s">
        <v>237</v>
      </c>
      <c r="I40" s="2" t="s">
        <v>153</v>
      </c>
      <c r="J40" s="2" t="s">
        <v>43</v>
      </c>
      <c r="K40" s="2">
        <v>2</v>
      </c>
      <c r="L40" s="3">
        <v>0</v>
      </c>
      <c r="M40" s="3">
        <v>500000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2">
        <v>0</v>
      </c>
      <c r="U40" s="3">
        <v>300</v>
      </c>
      <c r="V40" s="3">
        <v>1</v>
      </c>
      <c r="W40" s="3" t="s">
        <v>44</v>
      </c>
      <c r="X40" s="3">
        <v>300</v>
      </c>
      <c r="Y40" s="2">
        <v>0</v>
      </c>
      <c r="Z40" s="2">
        <v>0</v>
      </c>
      <c r="AA40" s="3">
        <v>500000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2">
        <v>0</v>
      </c>
      <c r="AH40" s="2" t="str">
        <f t="shared" si="0"/>
        <v>tixbde35</v>
      </c>
      <c r="AI40" s="2" t="s">
        <v>45</v>
      </c>
      <c r="AJ40" s="3">
        <v>0</v>
      </c>
      <c r="AK40" s="2"/>
    </row>
    <row r="41" spans="1:37" x14ac:dyDescent="0.3">
      <c r="A41" s="3" t="s">
        <v>154</v>
      </c>
      <c r="B41" s="3">
        <v>0</v>
      </c>
      <c r="C41" s="3" t="s">
        <v>53</v>
      </c>
      <c r="D41" s="3">
        <v>1</v>
      </c>
      <c r="E41" s="3" t="s">
        <v>206</v>
      </c>
      <c r="F41" s="2">
        <v>781</v>
      </c>
      <c r="G41" s="2">
        <v>300</v>
      </c>
      <c r="H41" s="3" t="s">
        <v>237</v>
      </c>
      <c r="I41" s="2" t="s">
        <v>155</v>
      </c>
      <c r="J41" s="2" t="s">
        <v>43</v>
      </c>
      <c r="K41" s="2">
        <v>4</v>
      </c>
      <c r="L41" s="3">
        <v>0</v>
      </c>
      <c r="M41" s="3">
        <v>1000000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2">
        <v>0</v>
      </c>
      <c r="U41" s="3">
        <v>300</v>
      </c>
      <c r="V41" s="3">
        <v>1</v>
      </c>
      <c r="W41" s="3" t="s">
        <v>44</v>
      </c>
      <c r="X41" s="3">
        <v>300</v>
      </c>
      <c r="Y41" s="2">
        <v>0</v>
      </c>
      <c r="Z41" s="2">
        <v>0</v>
      </c>
      <c r="AA41" s="3">
        <v>1000000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2">
        <v>0</v>
      </c>
      <c r="AH41" s="2" t="str">
        <f t="shared" si="0"/>
        <v>tixbde40</v>
      </c>
      <c r="AI41" s="2" t="s">
        <v>45</v>
      </c>
      <c r="AJ41" s="3">
        <v>0</v>
      </c>
      <c r="AK41" s="2"/>
    </row>
    <row r="42" spans="1:37" x14ac:dyDescent="0.3">
      <c r="A42" s="3" t="s">
        <v>156</v>
      </c>
      <c r="B42" s="3">
        <v>0</v>
      </c>
      <c r="C42" s="3" t="s">
        <v>41</v>
      </c>
      <c r="D42" s="3">
        <v>1</v>
      </c>
      <c r="E42" s="3" t="s">
        <v>207</v>
      </c>
      <c r="F42" s="2">
        <v>781</v>
      </c>
      <c r="G42" s="2">
        <v>300</v>
      </c>
      <c r="H42" s="3" t="s">
        <v>237</v>
      </c>
      <c r="I42" s="2" t="s">
        <v>157</v>
      </c>
      <c r="J42" s="2" t="s">
        <v>43</v>
      </c>
      <c r="K42" s="2">
        <v>0</v>
      </c>
      <c r="L42" s="3">
        <v>0</v>
      </c>
      <c r="M42" s="3">
        <v>2000000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1</v>
      </c>
      <c r="T42" s="2">
        <v>0</v>
      </c>
      <c r="U42" s="3">
        <v>600</v>
      </c>
      <c r="V42" s="3">
        <v>1</v>
      </c>
      <c r="W42" s="3" t="s">
        <v>44</v>
      </c>
      <c r="X42" s="3">
        <v>300</v>
      </c>
      <c r="Y42" s="2">
        <v>0</v>
      </c>
      <c r="Z42" s="2">
        <v>0</v>
      </c>
      <c r="AA42" s="3">
        <v>500000</v>
      </c>
      <c r="AB42" s="3">
        <v>0</v>
      </c>
      <c r="AC42" s="3">
        <v>1</v>
      </c>
      <c r="AD42" s="3">
        <v>1</v>
      </c>
      <c r="AE42" s="3">
        <v>0</v>
      </c>
      <c r="AF42" s="3">
        <v>1</v>
      </c>
      <c r="AG42" s="2">
        <v>1</v>
      </c>
      <c r="AH42" s="2" t="str">
        <f t="shared" si="0"/>
        <v>tixbee25</v>
      </c>
      <c r="AI42" s="2" t="s">
        <v>45</v>
      </c>
      <c r="AJ42" s="3">
        <v>0</v>
      </c>
      <c r="AK42" s="2"/>
    </row>
    <row r="43" spans="1:37" x14ac:dyDescent="0.3">
      <c r="A43" s="3" t="s">
        <v>158</v>
      </c>
      <c r="B43" s="3">
        <v>0</v>
      </c>
      <c r="C43" s="3" t="s">
        <v>51</v>
      </c>
      <c r="D43" s="3">
        <v>1</v>
      </c>
      <c r="E43" s="3" t="s">
        <v>208</v>
      </c>
      <c r="F43" s="2">
        <v>781</v>
      </c>
      <c r="G43" s="2">
        <v>300</v>
      </c>
      <c r="H43" s="3" t="s">
        <v>237</v>
      </c>
      <c r="I43" s="2" t="s">
        <v>159</v>
      </c>
      <c r="J43" s="2" t="s">
        <v>43</v>
      </c>
      <c r="K43" s="2">
        <v>2</v>
      </c>
      <c r="L43" s="3">
        <v>0</v>
      </c>
      <c r="M43" s="3">
        <v>2000000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1</v>
      </c>
      <c r="T43" s="2">
        <v>0</v>
      </c>
      <c r="U43" s="3">
        <v>600</v>
      </c>
      <c r="V43" s="3">
        <v>1</v>
      </c>
      <c r="W43" s="3" t="s">
        <v>44</v>
      </c>
      <c r="X43" s="3">
        <v>300</v>
      </c>
      <c r="Y43" s="2">
        <v>0</v>
      </c>
      <c r="Z43" s="2">
        <v>0</v>
      </c>
      <c r="AA43" s="3">
        <v>500000</v>
      </c>
      <c r="AB43" s="3">
        <v>0</v>
      </c>
      <c r="AC43" s="3">
        <v>1</v>
      </c>
      <c r="AD43" s="3">
        <v>1</v>
      </c>
      <c r="AE43" s="3">
        <v>0</v>
      </c>
      <c r="AF43" s="3">
        <v>1</v>
      </c>
      <c r="AG43" s="2">
        <v>1</v>
      </c>
      <c r="AH43" s="2" t="str">
        <f t="shared" si="0"/>
        <v>tixbee35</v>
      </c>
      <c r="AI43" s="2" t="s">
        <v>45</v>
      </c>
      <c r="AJ43" s="3">
        <v>0</v>
      </c>
      <c r="AK43" s="2"/>
    </row>
    <row r="44" spans="1:37" x14ac:dyDescent="0.3">
      <c r="A44" s="3" t="s">
        <v>160</v>
      </c>
      <c r="B44" s="3">
        <v>0</v>
      </c>
      <c r="C44" s="3" t="s">
        <v>53</v>
      </c>
      <c r="D44" s="3">
        <v>1</v>
      </c>
      <c r="E44" s="3" t="s">
        <v>209</v>
      </c>
      <c r="F44" s="2">
        <v>781</v>
      </c>
      <c r="G44" s="2">
        <v>300</v>
      </c>
      <c r="H44" s="3" t="s">
        <v>237</v>
      </c>
      <c r="I44" s="2" t="s">
        <v>161</v>
      </c>
      <c r="J44" s="2" t="s">
        <v>43</v>
      </c>
      <c r="K44" s="2">
        <v>4</v>
      </c>
      <c r="L44" s="3">
        <v>0</v>
      </c>
      <c r="M44" s="3">
        <v>2000000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1</v>
      </c>
      <c r="T44" s="2">
        <v>0</v>
      </c>
      <c r="U44" s="3">
        <v>600</v>
      </c>
      <c r="V44" s="3">
        <v>1</v>
      </c>
      <c r="W44" s="3" t="s">
        <v>44</v>
      </c>
      <c r="X44" s="3">
        <v>300</v>
      </c>
      <c r="Y44" s="2">
        <v>0</v>
      </c>
      <c r="Z44" s="2">
        <v>0</v>
      </c>
      <c r="AA44" s="3">
        <v>500000</v>
      </c>
      <c r="AB44" s="3">
        <v>0</v>
      </c>
      <c r="AC44" s="3">
        <v>1</v>
      </c>
      <c r="AD44" s="3">
        <v>1</v>
      </c>
      <c r="AE44" s="3">
        <v>0</v>
      </c>
      <c r="AF44" s="3">
        <v>1</v>
      </c>
      <c r="AG44" s="2">
        <v>1</v>
      </c>
      <c r="AH44" s="2" t="str">
        <f t="shared" si="0"/>
        <v>tixbee40</v>
      </c>
      <c r="AI44" s="2" t="s">
        <v>45</v>
      </c>
      <c r="AJ44" s="3">
        <v>0</v>
      </c>
      <c r="AK44" s="2"/>
    </row>
    <row r="45" spans="1:37" x14ac:dyDescent="0.3">
      <c r="A45" s="3" t="s">
        <v>162</v>
      </c>
      <c r="B45" s="3">
        <v>0</v>
      </c>
      <c r="C45" s="3" t="s">
        <v>163</v>
      </c>
      <c r="D45" s="3">
        <v>1</v>
      </c>
      <c r="E45" s="3" t="s">
        <v>210</v>
      </c>
      <c r="F45" s="2">
        <v>781</v>
      </c>
      <c r="G45" s="2">
        <v>300</v>
      </c>
      <c r="H45" s="3" t="s">
        <v>237</v>
      </c>
      <c r="I45" s="2" t="s">
        <v>164</v>
      </c>
      <c r="J45" s="2" t="s">
        <v>43</v>
      </c>
      <c r="K45" s="2">
        <v>0</v>
      </c>
      <c r="L45" s="3">
        <v>0</v>
      </c>
      <c r="M45" s="3">
        <v>39000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</v>
      </c>
      <c r="T45" s="2">
        <v>0</v>
      </c>
      <c r="U45" s="3">
        <v>300</v>
      </c>
      <c r="V45" s="3">
        <v>1</v>
      </c>
      <c r="W45" s="3" t="s">
        <v>44</v>
      </c>
      <c r="X45" s="3">
        <v>300</v>
      </c>
      <c r="Y45" s="2">
        <v>0</v>
      </c>
      <c r="Z45" s="2">
        <v>0</v>
      </c>
      <c r="AA45" s="3">
        <v>10000</v>
      </c>
      <c r="AB45" s="3">
        <v>0</v>
      </c>
      <c r="AC45" s="3">
        <v>1</v>
      </c>
      <c r="AD45" s="3">
        <v>1</v>
      </c>
      <c r="AE45" s="3">
        <v>1</v>
      </c>
      <c r="AF45" s="3">
        <v>1</v>
      </c>
      <c r="AG45" s="2">
        <v>1</v>
      </c>
      <c r="AH45" s="2" t="str">
        <f t="shared" si="0"/>
        <v>tixins01</v>
      </c>
      <c r="AI45" s="2" t="s">
        <v>190</v>
      </c>
      <c r="AJ45" s="3">
        <v>0</v>
      </c>
      <c r="AK45" s="2"/>
    </row>
    <row r="46" spans="1:37" x14ac:dyDescent="0.3">
      <c r="A46" s="3" t="s">
        <v>165</v>
      </c>
      <c r="B46" s="3">
        <v>0</v>
      </c>
      <c r="C46" s="3" t="s">
        <v>166</v>
      </c>
      <c r="D46" s="3">
        <v>1</v>
      </c>
      <c r="E46" s="3" t="s">
        <v>210</v>
      </c>
      <c r="F46" s="2">
        <v>781</v>
      </c>
      <c r="G46" s="2">
        <v>300</v>
      </c>
      <c r="H46" s="3" t="s">
        <v>237</v>
      </c>
      <c r="I46" s="2" t="s">
        <v>167</v>
      </c>
      <c r="J46" s="2" t="s">
        <v>43</v>
      </c>
      <c r="K46" s="2">
        <v>0</v>
      </c>
      <c r="L46" s="3">
        <v>0</v>
      </c>
      <c r="M46" s="3">
        <v>39000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1</v>
      </c>
      <c r="T46" s="2">
        <v>0</v>
      </c>
      <c r="U46" s="3">
        <v>300</v>
      </c>
      <c r="V46" s="3">
        <v>1</v>
      </c>
      <c r="W46" s="3" t="s">
        <v>44</v>
      </c>
      <c r="X46" s="3">
        <v>300</v>
      </c>
      <c r="Y46" s="2">
        <v>0</v>
      </c>
      <c r="Z46" s="2">
        <v>0</v>
      </c>
      <c r="AA46" s="3">
        <v>10000</v>
      </c>
      <c r="AB46" s="3">
        <v>0</v>
      </c>
      <c r="AC46" s="3">
        <v>1</v>
      </c>
      <c r="AD46" s="3">
        <v>1</v>
      </c>
      <c r="AE46" s="3">
        <v>1</v>
      </c>
      <c r="AF46" s="3">
        <v>1</v>
      </c>
      <c r="AG46" s="2">
        <v>1</v>
      </c>
      <c r="AH46" s="2" t="str">
        <f t="shared" si="0"/>
        <v>tixins02</v>
      </c>
      <c r="AI46" s="2" t="s">
        <v>190</v>
      </c>
      <c r="AJ46" s="3">
        <v>0</v>
      </c>
      <c r="AK46" s="2"/>
    </row>
    <row r="47" spans="1:37" x14ac:dyDescent="0.3">
      <c r="A47" s="3" t="s">
        <v>168</v>
      </c>
      <c r="B47" s="3">
        <v>0</v>
      </c>
      <c r="C47" s="3" t="s">
        <v>169</v>
      </c>
      <c r="D47" s="3">
        <v>1</v>
      </c>
      <c r="E47" s="3" t="s">
        <v>211</v>
      </c>
      <c r="F47" s="2">
        <v>781</v>
      </c>
      <c r="G47" s="2">
        <v>300</v>
      </c>
      <c r="H47" s="3" t="s">
        <v>237</v>
      </c>
      <c r="I47" s="2" t="s">
        <v>170</v>
      </c>
      <c r="J47" s="2" t="s">
        <v>43</v>
      </c>
      <c r="K47" s="2">
        <v>0</v>
      </c>
      <c r="L47" s="3">
        <v>0</v>
      </c>
      <c r="M47" s="3">
        <v>39000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</v>
      </c>
      <c r="T47" s="2">
        <v>0</v>
      </c>
      <c r="U47" s="3">
        <v>300</v>
      </c>
      <c r="V47" s="3">
        <v>1</v>
      </c>
      <c r="W47" s="3" t="s">
        <v>44</v>
      </c>
      <c r="X47" s="3">
        <v>300</v>
      </c>
      <c r="Y47" s="2">
        <v>0</v>
      </c>
      <c r="Z47" s="2">
        <v>0</v>
      </c>
      <c r="AA47" s="3">
        <v>10000</v>
      </c>
      <c r="AB47" s="3">
        <v>0</v>
      </c>
      <c r="AC47" s="3">
        <v>1</v>
      </c>
      <c r="AD47" s="3">
        <v>1</v>
      </c>
      <c r="AE47" s="3">
        <v>1</v>
      </c>
      <c r="AF47" s="3">
        <v>1</v>
      </c>
      <c r="AG47" s="2">
        <v>1</v>
      </c>
      <c r="AH47" s="2" t="str">
        <f t="shared" si="0"/>
        <v>tixins03</v>
      </c>
      <c r="AI47" s="2" t="s">
        <v>190</v>
      </c>
      <c r="AJ47" s="3">
        <v>0</v>
      </c>
      <c r="AK47" s="2"/>
    </row>
    <row r="48" spans="1:37" x14ac:dyDescent="0.3">
      <c r="A48" s="3" t="s">
        <v>171</v>
      </c>
      <c r="B48" s="3">
        <v>0</v>
      </c>
      <c r="C48" s="3" t="s">
        <v>172</v>
      </c>
      <c r="D48" s="3">
        <v>1</v>
      </c>
      <c r="E48" s="3" t="s">
        <v>212</v>
      </c>
      <c r="F48" s="2">
        <v>781</v>
      </c>
      <c r="G48" s="2">
        <v>300</v>
      </c>
      <c r="H48" s="3" t="s">
        <v>237</v>
      </c>
      <c r="I48" s="2" t="s">
        <v>173</v>
      </c>
      <c r="J48" s="2" t="s">
        <v>43</v>
      </c>
      <c r="K48" s="2">
        <v>0</v>
      </c>
      <c r="L48" s="3">
        <v>0</v>
      </c>
      <c r="M48" s="3">
        <v>39000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</v>
      </c>
      <c r="T48" s="2">
        <v>0</v>
      </c>
      <c r="U48" s="3">
        <v>300</v>
      </c>
      <c r="V48" s="3">
        <v>1</v>
      </c>
      <c r="W48" s="3" t="s">
        <v>44</v>
      </c>
      <c r="X48" s="3">
        <v>300</v>
      </c>
      <c r="Y48" s="2">
        <v>0</v>
      </c>
      <c r="Z48" s="2">
        <v>0</v>
      </c>
      <c r="AA48" s="3">
        <v>10000</v>
      </c>
      <c r="AB48" s="3">
        <v>0</v>
      </c>
      <c r="AC48" s="3">
        <v>1</v>
      </c>
      <c r="AD48" s="3">
        <v>1</v>
      </c>
      <c r="AE48" s="3">
        <v>1</v>
      </c>
      <c r="AF48" s="3">
        <v>1</v>
      </c>
      <c r="AG48" s="2">
        <v>1</v>
      </c>
      <c r="AH48" s="2" t="str">
        <f t="shared" si="0"/>
        <v>tixins04</v>
      </c>
      <c r="AI48" s="2" t="s">
        <v>190</v>
      </c>
      <c r="AJ48" s="3">
        <v>0</v>
      </c>
      <c r="AK48" s="2"/>
    </row>
    <row r="49" spans="1:36" x14ac:dyDescent="0.3">
      <c r="A49" s="3" t="s">
        <v>238</v>
      </c>
      <c r="B49" s="3">
        <v>1</v>
      </c>
      <c r="C49" s="3" t="s">
        <v>145</v>
      </c>
      <c r="D49" s="3">
        <v>3</v>
      </c>
      <c r="E49" s="3" t="s">
        <v>242</v>
      </c>
      <c r="F49" s="2">
        <v>781</v>
      </c>
      <c r="G49" s="2">
        <v>300</v>
      </c>
      <c r="H49" s="3" t="s">
        <v>237</v>
      </c>
      <c r="I49" s="2" t="s">
        <v>173</v>
      </c>
      <c r="J49" s="2" t="s">
        <v>43</v>
      </c>
      <c r="K49" s="2">
        <v>0</v>
      </c>
      <c r="L49" s="3">
        <v>0</v>
      </c>
      <c r="M49" s="3">
        <v>20000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</v>
      </c>
      <c r="T49" s="2">
        <v>0</v>
      </c>
      <c r="U49" s="3">
        <v>300</v>
      </c>
      <c r="V49" s="3">
        <v>1</v>
      </c>
      <c r="W49" s="3" t="s">
        <v>44</v>
      </c>
      <c r="X49" s="3">
        <v>300</v>
      </c>
      <c r="Y49" s="2">
        <v>0</v>
      </c>
      <c r="Z49" s="2">
        <v>0</v>
      </c>
      <c r="AA49" s="3">
        <v>10000</v>
      </c>
      <c r="AB49" s="3">
        <v>0</v>
      </c>
      <c r="AC49" s="3">
        <v>1</v>
      </c>
      <c r="AD49" s="3">
        <v>1</v>
      </c>
      <c r="AE49" s="3">
        <v>1</v>
      </c>
      <c r="AF49" s="3">
        <v>1</v>
      </c>
      <c r="AG49" s="2">
        <v>1</v>
      </c>
      <c r="AH49" s="2" t="str">
        <f t="shared" si="0"/>
        <v>tixkey33</v>
      </c>
      <c r="AI49" s="2" t="s">
        <v>190</v>
      </c>
      <c r="AJ49" s="3">
        <v>0</v>
      </c>
    </row>
    <row r="50" spans="1:36" x14ac:dyDescent="0.3">
      <c r="A50" s="3" t="s">
        <v>239</v>
      </c>
      <c r="B50" s="3">
        <v>1</v>
      </c>
      <c r="C50" s="3" t="s">
        <v>148</v>
      </c>
      <c r="D50" s="3">
        <v>4</v>
      </c>
      <c r="E50" s="3" t="s">
        <v>243</v>
      </c>
      <c r="F50" s="2">
        <v>781</v>
      </c>
      <c r="G50" s="2">
        <v>300</v>
      </c>
      <c r="H50" s="3" t="s">
        <v>237</v>
      </c>
      <c r="I50" s="2" t="s">
        <v>173</v>
      </c>
      <c r="J50" s="2" t="s">
        <v>43</v>
      </c>
      <c r="K50" s="2">
        <v>0</v>
      </c>
      <c r="L50" s="3">
        <v>0</v>
      </c>
      <c r="M50" s="3">
        <v>20000</v>
      </c>
      <c r="N50" s="3">
        <v>0</v>
      </c>
      <c r="O50" s="3">
        <v>0</v>
      </c>
      <c r="P50" s="3">
        <v>0</v>
      </c>
      <c r="Q50" s="3">
        <v>0</v>
      </c>
      <c r="R50" s="3">
        <v>100</v>
      </c>
      <c r="S50" s="3">
        <v>1</v>
      </c>
      <c r="T50" s="2">
        <v>0</v>
      </c>
      <c r="U50" s="3">
        <v>300</v>
      </c>
      <c r="V50" s="3">
        <v>1</v>
      </c>
      <c r="W50" s="3" t="s">
        <v>44</v>
      </c>
      <c r="X50" s="3">
        <v>300</v>
      </c>
      <c r="Y50" s="2">
        <v>0</v>
      </c>
      <c r="Z50" s="2">
        <v>0</v>
      </c>
      <c r="AA50" s="3">
        <v>10000</v>
      </c>
      <c r="AB50" s="3">
        <v>0</v>
      </c>
      <c r="AC50" s="3">
        <v>1</v>
      </c>
      <c r="AD50" s="3">
        <v>1</v>
      </c>
      <c r="AE50" s="3">
        <v>1</v>
      </c>
      <c r="AF50" s="3">
        <v>1</v>
      </c>
      <c r="AG50" s="2">
        <v>1</v>
      </c>
      <c r="AH50" s="2" t="str">
        <f t="shared" si="0"/>
        <v>tixkey34</v>
      </c>
      <c r="AI50" s="2" t="s">
        <v>190</v>
      </c>
      <c r="AJ50" s="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0"/>
  <sheetViews>
    <sheetView tabSelected="1" workbookViewId="0">
      <pane xSplit="1" ySplit="2" topLeftCell="M21" activePane="bottomRight" state="frozen"/>
      <selection pane="topRight" activeCell="B1" sqref="B1"/>
      <selection pane="bottomLeft" activeCell="A3" sqref="A3"/>
      <selection pane="bottomRight" activeCell="AC42" sqref="AC42"/>
    </sheetView>
  </sheetViews>
  <sheetFormatPr defaultRowHeight="14.4" x14ac:dyDescent="0.3"/>
  <cols>
    <col min="1" max="1" width="8" bestFit="1" customWidth="1"/>
    <col min="2" max="2" width="43.5546875" bestFit="1" customWidth="1"/>
    <col min="3" max="3" width="7.88671875" bestFit="1" customWidth="1"/>
    <col min="4" max="4" width="6.6640625" bestFit="1" customWidth="1"/>
    <col min="5" max="5" width="6" bestFit="1" customWidth="1"/>
    <col min="6" max="6" width="5.88671875" bestFit="1" customWidth="1"/>
    <col min="7" max="7" width="7.109375" bestFit="1" customWidth="1"/>
    <col min="8" max="8" width="5.5546875" bestFit="1" customWidth="1"/>
    <col min="9" max="9" width="8.33203125" bestFit="1" customWidth="1"/>
    <col min="10" max="10" width="8.5546875" bestFit="1" customWidth="1"/>
    <col min="11" max="11" width="9.88671875" bestFit="1" customWidth="1"/>
    <col min="12" max="12" width="9.5546875" bestFit="1" customWidth="1"/>
    <col min="13" max="13" width="8.5546875" bestFit="1" customWidth="1"/>
    <col min="14" max="14" width="10.109375" bestFit="1" customWidth="1"/>
    <col min="15" max="15" width="10.6640625" bestFit="1" customWidth="1"/>
    <col min="16" max="16" width="6.6640625" bestFit="1" customWidth="1"/>
    <col min="17" max="17" width="9" bestFit="1" customWidth="1"/>
    <col min="18" max="18" width="7.109375" bestFit="1" customWidth="1"/>
    <col min="19" max="19" width="8.33203125" bestFit="1" customWidth="1"/>
    <col min="20" max="21" width="6.6640625" bestFit="1" customWidth="1"/>
    <col min="22" max="22" width="6.88671875" bestFit="1" customWidth="1"/>
    <col min="23" max="23" width="8.44140625" bestFit="1" customWidth="1"/>
    <col min="24" max="24" width="14" bestFit="1" customWidth="1"/>
    <col min="25" max="25" width="14.6640625" bestFit="1" customWidth="1"/>
    <col min="26" max="26" width="6.6640625" bestFit="1" customWidth="1"/>
    <col min="27" max="27" width="6.88671875" bestFit="1" customWidth="1"/>
    <col min="28" max="28" width="10.33203125" bestFit="1" customWidth="1"/>
    <col min="29" max="29" width="6.6640625" bestFit="1" customWidth="1"/>
    <col min="30" max="30" width="8" bestFit="1" customWidth="1"/>
    <col min="31" max="33" width="6.6640625" bestFit="1" customWidth="1"/>
    <col min="34" max="34" width="4.6640625" bestFit="1" customWidth="1"/>
  </cols>
  <sheetData>
    <row r="1" spans="1:34" x14ac:dyDescent="0.3">
      <c r="A1" t="s">
        <v>174</v>
      </c>
      <c r="B1" t="s">
        <v>0</v>
      </c>
      <c r="C1" t="s">
        <v>175</v>
      </c>
      <c r="D1" t="s">
        <v>1</v>
      </c>
      <c r="E1" t="s">
        <v>176</v>
      </c>
      <c r="F1" t="s">
        <v>177</v>
      </c>
      <c r="G1" t="s">
        <v>177</v>
      </c>
      <c r="H1" t="s">
        <v>178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179</v>
      </c>
      <c r="X1" t="s">
        <v>1</v>
      </c>
      <c r="Y1" t="s">
        <v>1</v>
      </c>
      <c r="Z1" t="s">
        <v>1</v>
      </c>
      <c r="AA1" t="s">
        <v>175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3</v>
      </c>
    </row>
    <row r="2" spans="1:34" x14ac:dyDescent="0.3">
      <c r="A2" t="str">
        <f>BattleDungeonItem!A2</f>
        <v>Code</v>
      </c>
      <c r="B2" t="str">
        <f>BattleDungeonItem!E2</f>
        <v>Name</v>
      </c>
      <c r="C2" s="1" t="str">
        <f>BattleDungeonItem!C2</f>
        <v>Model</v>
      </c>
      <c r="D2" s="1" t="str">
        <f>BattleDungeonItem!D2</f>
        <v>Icon</v>
      </c>
      <c r="E2" s="1" t="str">
        <f>BattleDungeonItem!H2</f>
        <v>Civil</v>
      </c>
      <c r="F2" t="s">
        <v>181</v>
      </c>
      <c r="G2" t="str">
        <f>BattleDungeonItem!L2</f>
        <v>Money</v>
      </c>
      <c r="H2" t="s">
        <v>182</v>
      </c>
      <c r="I2" t="str">
        <f>BattleDungeonItem!M2</f>
        <v>StdPrice</v>
      </c>
      <c r="J2" t="str">
        <f>BattleDungeonItem!N2</f>
        <v>StdPoint</v>
      </c>
      <c r="K2" t="str">
        <f>BattleDungeonItem!O2</f>
        <v>GoldPoint</v>
      </c>
      <c r="L2" t="str">
        <f>BattleDungeonItem!Q2</f>
        <v>ProcPoint</v>
      </c>
      <c r="M2" t="str">
        <f>BattleDungeonItem!P2</f>
        <v>KillPoint</v>
      </c>
      <c r="N2" t="str">
        <f>BattleDungeonItem!R2</f>
        <v>StorePrice</v>
      </c>
      <c r="O2" t="str">
        <f>BattleDungeonItem!AD2</f>
        <v>IsExchange</v>
      </c>
      <c r="P2" t="str">
        <f>BattleDungeonItem!AC2</f>
        <v>IsSell</v>
      </c>
      <c r="Q2" t="str">
        <f>BattleDungeonItem!AE2</f>
        <v>IsGround</v>
      </c>
      <c r="R2" t="str">
        <f>BattleDungeonItem!AF2</f>
        <v>IsStore</v>
      </c>
      <c r="S2" t="s">
        <v>183</v>
      </c>
      <c r="T2" t="str">
        <f>BattleDungeonItem!B2</f>
        <v>IsExist</v>
      </c>
      <c r="U2" t="s">
        <v>184</v>
      </c>
      <c r="V2" t="str">
        <f>BattleDungeonItem!AJ2</f>
        <v>IsTime</v>
      </c>
      <c r="W2" t="s">
        <v>185</v>
      </c>
      <c r="X2" t="str">
        <f>BattleDungeonItem!S2</f>
        <v>IsQualification</v>
      </c>
      <c r="Y2" t="str">
        <f>BattleDungeonItem!U2</f>
        <v>TerminateTime</v>
      </c>
      <c r="Z2" t="str">
        <f>BattleDungeonItem!V2</f>
        <v>EndIF</v>
      </c>
      <c r="AA2" s="1" t="str">
        <f>BattleDungeonItem!W2</f>
        <v>MobID</v>
      </c>
      <c r="AB2" t="str">
        <f>BattleDungeonItem!X2</f>
        <v>MobCount</v>
      </c>
      <c r="AC2" t="s">
        <v>189</v>
      </c>
      <c r="AD2" t="str">
        <f>BattleDungeonItem!AA2</f>
        <v>Dalant</v>
      </c>
      <c r="AE2" t="str">
        <f>BattleDungeonItem!AB2</f>
        <v>Gold</v>
      </c>
      <c r="AF2" t="s">
        <v>186</v>
      </c>
      <c r="AG2" t="s">
        <v>186</v>
      </c>
    </row>
    <row r="3" spans="1:34" x14ac:dyDescent="0.3">
      <c r="A3" t="str">
        <f>BattleDungeonItem!A3</f>
        <v>ixbdn25</v>
      </c>
      <c r="B3" t="str">
        <f>BattleDungeonItem!E3</f>
        <v>Battle Dungeon Gate</v>
      </c>
      <c r="C3" s="1" t="str">
        <f>BattleDungeonItem!C3</f>
        <v>A30D00</v>
      </c>
      <c r="D3" s="1">
        <f>BattleDungeonItem!D3</f>
        <v>1</v>
      </c>
      <c r="E3" s="1" t="str">
        <f>BattleDungeonItem!H3</f>
        <v>11111000</v>
      </c>
      <c r="F3" s="4">
        <v>23</v>
      </c>
      <c r="G3">
        <f>BattleDungeonItem!L3</f>
        <v>0</v>
      </c>
      <c r="H3" s="4">
        <v>0</v>
      </c>
      <c r="I3">
        <f>BattleDungeonItem!M3</f>
        <v>20000</v>
      </c>
      <c r="J3">
        <f>BattleDungeonItem!N3</f>
        <v>0</v>
      </c>
      <c r="K3">
        <f>BattleDungeonItem!O3</f>
        <v>0</v>
      </c>
      <c r="L3">
        <f>BattleDungeonItem!Q3</f>
        <v>0</v>
      </c>
      <c r="M3">
        <f>BattleDungeonItem!P3</f>
        <v>0</v>
      </c>
      <c r="N3">
        <f>BattleDungeonItem!R3</f>
        <v>1</v>
      </c>
      <c r="O3">
        <f>BattleDungeonItem!AD3</f>
        <v>1</v>
      </c>
      <c r="P3">
        <f>BattleDungeonItem!AC3</f>
        <v>1</v>
      </c>
      <c r="Q3">
        <f>BattleDungeonItem!AE3</f>
        <v>1</v>
      </c>
      <c r="R3">
        <f>BattleDungeonItem!AF3</f>
        <v>0</v>
      </c>
      <c r="S3" s="4">
        <v>0</v>
      </c>
      <c r="T3">
        <f>BattleDungeonItem!B3</f>
        <v>1</v>
      </c>
      <c r="U3" s="4">
        <v>0</v>
      </c>
      <c r="V3">
        <f>BattleDungeonItem!AJ3</f>
        <v>0</v>
      </c>
      <c r="W3" s="4">
        <v>0</v>
      </c>
      <c r="X3">
        <f>BattleDungeonItem!S3</f>
        <v>0</v>
      </c>
      <c r="Y3">
        <f>BattleDungeonItem!U3</f>
        <v>300</v>
      </c>
      <c r="Z3">
        <f>BattleDungeonItem!V3</f>
        <v>1</v>
      </c>
      <c r="AA3" s="1" t="str">
        <f>BattleDungeonItem!W3</f>
        <v>-1</v>
      </c>
      <c r="AB3">
        <f>BattleDungeonItem!X3</f>
        <v>200</v>
      </c>
      <c r="AC3" s="4">
        <v>0</v>
      </c>
      <c r="AD3">
        <f>BattleDungeonItem!AA3</f>
        <v>10000</v>
      </c>
      <c r="AE3">
        <f>BattleDungeonItem!AB3</f>
        <v>0</v>
      </c>
      <c r="AF3" s="4">
        <v>0</v>
      </c>
      <c r="AG3" s="4">
        <v>0</v>
      </c>
    </row>
    <row r="4" spans="1:34" x14ac:dyDescent="0.3">
      <c r="A4" t="str">
        <f>BattleDungeonItem!A4</f>
        <v>ixbdp25</v>
      </c>
      <c r="B4" t="str">
        <f>BattleDungeonItem!E4</f>
        <v>Battle Dungeon Gate</v>
      </c>
      <c r="C4" s="1" t="str">
        <f>BattleDungeonItem!C4</f>
        <v>A30D01</v>
      </c>
      <c r="D4" s="1">
        <f>BattleDungeonItem!D4</f>
        <v>1</v>
      </c>
      <c r="E4" s="1" t="str">
        <f>BattleDungeonItem!H4</f>
        <v>11111000</v>
      </c>
      <c r="F4" s="4">
        <v>23</v>
      </c>
      <c r="G4">
        <f>BattleDungeonItem!L4</f>
        <v>0</v>
      </c>
      <c r="H4" s="4">
        <v>0</v>
      </c>
      <c r="I4">
        <f>BattleDungeonItem!M4</f>
        <v>20000</v>
      </c>
      <c r="J4">
        <f>BattleDungeonItem!N4</f>
        <v>0</v>
      </c>
      <c r="K4">
        <f>BattleDungeonItem!O4</f>
        <v>0</v>
      </c>
      <c r="L4">
        <f>BattleDungeonItem!Q4</f>
        <v>0</v>
      </c>
      <c r="M4">
        <f>BattleDungeonItem!P4</f>
        <v>0</v>
      </c>
      <c r="N4">
        <f>BattleDungeonItem!R4</f>
        <v>1</v>
      </c>
      <c r="O4">
        <f>BattleDungeonItem!AD4</f>
        <v>1</v>
      </c>
      <c r="P4">
        <f>BattleDungeonItem!AC4</f>
        <v>1</v>
      </c>
      <c r="Q4">
        <f>BattleDungeonItem!AE4</f>
        <v>1</v>
      </c>
      <c r="R4">
        <f>BattleDungeonItem!AF4</f>
        <v>0</v>
      </c>
      <c r="S4" s="4">
        <v>1</v>
      </c>
      <c r="T4">
        <f>BattleDungeonItem!B4</f>
        <v>1</v>
      </c>
      <c r="U4" s="4">
        <v>0</v>
      </c>
      <c r="V4">
        <f>BattleDungeonItem!AJ4</f>
        <v>0</v>
      </c>
      <c r="W4" s="4">
        <v>0</v>
      </c>
      <c r="X4">
        <f>BattleDungeonItem!S4</f>
        <v>1</v>
      </c>
      <c r="Y4">
        <f>BattleDungeonItem!U4</f>
        <v>300</v>
      </c>
      <c r="Z4">
        <f>BattleDungeonItem!V4</f>
        <v>2</v>
      </c>
      <c r="AA4" s="1" t="str">
        <f>BattleDungeonItem!W4</f>
        <v>041A3</v>
      </c>
      <c r="AB4">
        <f>BattleDungeonItem!X4</f>
        <v>1</v>
      </c>
      <c r="AC4" s="4">
        <v>0</v>
      </c>
      <c r="AD4">
        <f>BattleDungeonItem!AA4</f>
        <v>10000</v>
      </c>
      <c r="AE4">
        <f>BattleDungeonItem!AB4</f>
        <v>0</v>
      </c>
      <c r="AF4" s="4">
        <v>0</v>
      </c>
      <c r="AG4" s="4">
        <v>0</v>
      </c>
    </row>
    <row r="5" spans="1:34" x14ac:dyDescent="0.3">
      <c r="A5" t="str">
        <f>BattleDungeonItem!A5</f>
        <v>ixbdn20</v>
      </c>
      <c r="B5" t="str">
        <f>BattleDungeonItem!E5</f>
        <v>Battle Dungeon Gate</v>
      </c>
      <c r="C5" s="1" t="str">
        <f>BattleDungeonItem!C5</f>
        <v>A30D02</v>
      </c>
      <c r="D5" s="1">
        <f>BattleDungeonItem!D5</f>
        <v>1</v>
      </c>
      <c r="E5" s="1" t="str">
        <f>BattleDungeonItem!H5</f>
        <v>11111000</v>
      </c>
      <c r="F5" s="4">
        <v>23</v>
      </c>
      <c r="G5">
        <f>BattleDungeonItem!L5</f>
        <v>0</v>
      </c>
      <c r="H5" s="4">
        <v>0</v>
      </c>
      <c r="I5">
        <f>BattleDungeonItem!M5</f>
        <v>10000</v>
      </c>
      <c r="J5">
        <f>BattleDungeonItem!N5</f>
        <v>0</v>
      </c>
      <c r="K5">
        <f>BattleDungeonItem!O5</f>
        <v>0</v>
      </c>
      <c r="L5">
        <f>BattleDungeonItem!Q5</f>
        <v>0</v>
      </c>
      <c r="M5">
        <f>BattleDungeonItem!P5</f>
        <v>0</v>
      </c>
      <c r="N5">
        <f>BattleDungeonItem!R5</f>
        <v>1</v>
      </c>
      <c r="O5">
        <f>BattleDungeonItem!AD5</f>
        <v>1</v>
      </c>
      <c r="P5">
        <f>BattleDungeonItem!AC5</f>
        <v>1</v>
      </c>
      <c r="Q5">
        <f>BattleDungeonItem!AE5</f>
        <v>1</v>
      </c>
      <c r="R5">
        <f>BattleDungeonItem!AF5</f>
        <v>0</v>
      </c>
      <c r="S5" s="4">
        <v>2</v>
      </c>
      <c r="T5">
        <f>BattleDungeonItem!B5</f>
        <v>1</v>
      </c>
      <c r="U5" s="4">
        <v>0</v>
      </c>
      <c r="V5">
        <f>BattleDungeonItem!AJ5</f>
        <v>0</v>
      </c>
      <c r="W5" s="4">
        <v>0</v>
      </c>
      <c r="X5">
        <f>BattleDungeonItem!S5</f>
        <v>0</v>
      </c>
      <c r="Y5">
        <f>BattleDungeonItem!U5</f>
        <v>300</v>
      </c>
      <c r="Z5">
        <f>BattleDungeonItem!V5</f>
        <v>1</v>
      </c>
      <c r="AA5" s="1" t="str">
        <f>BattleDungeonItem!W5</f>
        <v>-1</v>
      </c>
      <c r="AB5">
        <f>BattleDungeonItem!X5</f>
        <v>300</v>
      </c>
      <c r="AC5" s="4">
        <v>0</v>
      </c>
      <c r="AD5">
        <f>BattleDungeonItem!AA5</f>
        <v>10000</v>
      </c>
      <c r="AE5">
        <f>BattleDungeonItem!AB5</f>
        <v>0</v>
      </c>
      <c r="AF5" s="4">
        <v>0</v>
      </c>
      <c r="AG5" s="4">
        <v>0</v>
      </c>
    </row>
    <row r="6" spans="1:34" x14ac:dyDescent="0.3">
      <c r="A6" t="str">
        <f>BattleDungeonItem!A6</f>
        <v>ixbdp20</v>
      </c>
      <c r="B6" t="str">
        <f>BattleDungeonItem!E6</f>
        <v>Battle Dungeon Gate</v>
      </c>
      <c r="C6" s="1" t="str">
        <f>BattleDungeonItem!C6</f>
        <v>A30D03</v>
      </c>
      <c r="D6" s="1">
        <f>BattleDungeonItem!D6</f>
        <v>1</v>
      </c>
      <c r="E6" s="1" t="str">
        <f>BattleDungeonItem!H6</f>
        <v>11111000</v>
      </c>
      <c r="F6" s="4">
        <v>23</v>
      </c>
      <c r="G6">
        <f>BattleDungeonItem!L6</f>
        <v>0</v>
      </c>
      <c r="H6" s="4">
        <v>0</v>
      </c>
      <c r="I6">
        <f>BattleDungeonItem!M6</f>
        <v>10000</v>
      </c>
      <c r="J6">
        <f>BattleDungeonItem!N6</f>
        <v>0</v>
      </c>
      <c r="K6">
        <f>BattleDungeonItem!O6</f>
        <v>0</v>
      </c>
      <c r="L6">
        <f>BattleDungeonItem!Q6</f>
        <v>0</v>
      </c>
      <c r="M6">
        <f>BattleDungeonItem!P6</f>
        <v>0</v>
      </c>
      <c r="N6">
        <f>BattleDungeonItem!R6</f>
        <v>1</v>
      </c>
      <c r="O6">
        <f>BattleDungeonItem!AD6</f>
        <v>1</v>
      </c>
      <c r="P6">
        <f>BattleDungeonItem!AC6</f>
        <v>1</v>
      </c>
      <c r="Q6">
        <f>BattleDungeonItem!AE6</f>
        <v>1</v>
      </c>
      <c r="R6">
        <f>BattleDungeonItem!AF6</f>
        <v>0</v>
      </c>
      <c r="S6" s="4">
        <v>3</v>
      </c>
      <c r="T6">
        <f>BattleDungeonItem!B6</f>
        <v>1</v>
      </c>
      <c r="U6" s="4">
        <v>0</v>
      </c>
      <c r="V6">
        <f>BattleDungeonItem!AJ6</f>
        <v>0</v>
      </c>
      <c r="W6" s="4">
        <v>0</v>
      </c>
      <c r="X6">
        <f>BattleDungeonItem!S6</f>
        <v>1</v>
      </c>
      <c r="Y6">
        <f>BattleDungeonItem!U6</f>
        <v>300</v>
      </c>
      <c r="Z6">
        <f>BattleDungeonItem!V6</f>
        <v>1</v>
      </c>
      <c r="AA6" s="1" t="str">
        <f>BattleDungeonItem!W6</f>
        <v>-1</v>
      </c>
      <c r="AB6">
        <f>BattleDungeonItem!X6</f>
        <v>300</v>
      </c>
      <c r="AC6" s="4">
        <v>0</v>
      </c>
      <c r="AD6">
        <f>BattleDungeonItem!AA6</f>
        <v>10000</v>
      </c>
      <c r="AE6">
        <f>BattleDungeonItem!AB6</f>
        <v>0</v>
      </c>
      <c r="AF6" s="4">
        <v>0</v>
      </c>
      <c r="AG6" s="4">
        <v>0</v>
      </c>
    </row>
    <row r="7" spans="1:34" x14ac:dyDescent="0.3">
      <c r="A7" t="str">
        <f>BattleDungeonItem!A7</f>
        <v>ixkey01</v>
      </c>
      <c r="B7" t="str">
        <f>BattleDungeonItem!E7</f>
        <v>Gateway Generating Key</v>
      </c>
      <c r="C7" s="1" t="str">
        <f>BattleDungeonItem!C7</f>
        <v>A30D04</v>
      </c>
      <c r="D7" s="1">
        <f>BattleDungeonItem!D7</f>
        <v>2</v>
      </c>
      <c r="E7" s="1" t="str">
        <f>BattleDungeonItem!H7</f>
        <v>11111000</v>
      </c>
      <c r="F7" s="4">
        <v>23</v>
      </c>
      <c r="G7">
        <f>BattleDungeonItem!L7</f>
        <v>0</v>
      </c>
      <c r="H7" s="4">
        <v>0</v>
      </c>
      <c r="I7">
        <f>BattleDungeonItem!M7</f>
        <v>5000</v>
      </c>
      <c r="J7">
        <f>BattleDungeonItem!N7</f>
        <v>0</v>
      </c>
      <c r="K7">
        <f>BattleDungeonItem!O7</f>
        <v>0</v>
      </c>
      <c r="L7">
        <f>BattleDungeonItem!Q7</f>
        <v>0</v>
      </c>
      <c r="M7">
        <f>BattleDungeonItem!P7</f>
        <v>0</v>
      </c>
      <c r="N7">
        <f>BattleDungeonItem!R7</f>
        <v>100</v>
      </c>
      <c r="O7">
        <f>BattleDungeonItem!AD7</f>
        <v>1</v>
      </c>
      <c r="P7">
        <f>BattleDungeonItem!AC7</f>
        <v>1</v>
      </c>
      <c r="Q7">
        <f>BattleDungeonItem!AE7</f>
        <v>1</v>
      </c>
      <c r="R7">
        <f>BattleDungeonItem!AF7</f>
        <v>1</v>
      </c>
      <c r="S7" s="4">
        <v>4</v>
      </c>
      <c r="T7">
        <f>BattleDungeonItem!B7</f>
        <v>1</v>
      </c>
      <c r="U7" s="4">
        <v>0</v>
      </c>
      <c r="V7">
        <f>BattleDungeonItem!AJ7</f>
        <v>0</v>
      </c>
      <c r="W7" s="4">
        <v>0</v>
      </c>
      <c r="X7">
        <f>BattleDungeonItem!S7</f>
        <v>1</v>
      </c>
      <c r="Y7">
        <f>BattleDungeonItem!U7</f>
        <v>300</v>
      </c>
      <c r="Z7">
        <f>BattleDungeonItem!V7</f>
        <v>1</v>
      </c>
      <c r="AA7" s="1" t="str">
        <f>BattleDungeonItem!W7</f>
        <v>-1</v>
      </c>
      <c r="AB7">
        <f>BattleDungeonItem!X7</f>
        <v>300</v>
      </c>
      <c r="AC7" s="4">
        <v>0</v>
      </c>
      <c r="AD7">
        <f>BattleDungeonItem!AA7</f>
        <v>10000</v>
      </c>
      <c r="AE7">
        <f>BattleDungeonItem!AB7</f>
        <v>0</v>
      </c>
      <c r="AF7" s="4">
        <v>0</v>
      </c>
      <c r="AG7" s="4">
        <v>0</v>
      </c>
    </row>
    <row r="8" spans="1:34" x14ac:dyDescent="0.3">
      <c r="A8" t="str">
        <f>BattleDungeonItem!A8</f>
        <v>ixkey02</v>
      </c>
      <c r="B8" t="str">
        <f>BattleDungeonItem!E8</f>
        <v>Gateway Generating Key</v>
      </c>
      <c r="C8" s="1" t="str">
        <f>BattleDungeonItem!C8</f>
        <v>A30D05</v>
      </c>
      <c r="D8" s="1">
        <f>BattleDungeonItem!D8</f>
        <v>2</v>
      </c>
      <c r="E8" s="1" t="str">
        <f>BattleDungeonItem!H8</f>
        <v>11111000</v>
      </c>
      <c r="F8" s="4">
        <v>23</v>
      </c>
      <c r="G8">
        <f>BattleDungeonItem!L8</f>
        <v>0</v>
      </c>
      <c r="H8" s="4">
        <v>0</v>
      </c>
      <c r="I8">
        <f>BattleDungeonItem!M8</f>
        <v>5000</v>
      </c>
      <c r="J8">
        <f>BattleDungeonItem!N8</f>
        <v>0</v>
      </c>
      <c r="K8">
        <f>BattleDungeonItem!O8</f>
        <v>0</v>
      </c>
      <c r="L8">
        <f>BattleDungeonItem!Q8</f>
        <v>0</v>
      </c>
      <c r="M8">
        <f>BattleDungeonItem!P8</f>
        <v>0</v>
      </c>
      <c r="N8">
        <f>BattleDungeonItem!R8</f>
        <v>100</v>
      </c>
      <c r="O8">
        <f>BattleDungeonItem!AD8</f>
        <v>1</v>
      </c>
      <c r="P8">
        <f>BattleDungeonItem!AC8</f>
        <v>1</v>
      </c>
      <c r="Q8">
        <f>BattleDungeonItem!AE8</f>
        <v>1</v>
      </c>
      <c r="R8">
        <f>BattleDungeonItem!AF8</f>
        <v>1</v>
      </c>
      <c r="S8" s="4">
        <v>5</v>
      </c>
      <c r="T8">
        <f>BattleDungeonItem!B8</f>
        <v>1</v>
      </c>
      <c r="U8" s="4">
        <v>0</v>
      </c>
      <c r="V8">
        <f>BattleDungeonItem!AJ8</f>
        <v>0</v>
      </c>
      <c r="W8" s="4">
        <v>0</v>
      </c>
      <c r="X8">
        <f>BattleDungeonItem!S8</f>
        <v>1</v>
      </c>
      <c r="Y8">
        <f>BattleDungeonItem!U8</f>
        <v>300</v>
      </c>
      <c r="Z8">
        <f>BattleDungeonItem!V8</f>
        <v>1</v>
      </c>
      <c r="AA8" s="1" t="str">
        <f>BattleDungeonItem!W8</f>
        <v>-1</v>
      </c>
      <c r="AB8">
        <f>BattleDungeonItem!X8</f>
        <v>300</v>
      </c>
      <c r="AC8" s="4">
        <v>0</v>
      </c>
      <c r="AD8">
        <f>BattleDungeonItem!AA8</f>
        <v>10000</v>
      </c>
      <c r="AE8">
        <f>BattleDungeonItem!AB8</f>
        <v>0</v>
      </c>
      <c r="AF8" s="4">
        <v>0</v>
      </c>
      <c r="AG8" s="4">
        <v>0</v>
      </c>
    </row>
    <row r="9" spans="1:34" x14ac:dyDescent="0.3">
      <c r="A9" t="str">
        <f>BattleDungeonItem!A9</f>
        <v>ixkey03</v>
      </c>
      <c r="B9" t="str">
        <f>BattleDungeonItem!E9</f>
        <v>Gateway Generating Key</v>
      </c>
      <c r="C9" s="1" t="str">
        <f>BattleDungeonItem!C9</f>
        <v>A30D06</v>
      </c>
      <c r="D9" s="1">
        <f>BattleDungeonItem!D9</f>
        <v>2</v>
      </c>
      <c r="E9" s="1" t="str">
        <f>BattleDungeonItem!H9</f>
        <v>11111000</v>
      </c>
      <c r="F9" s="4">
        <v>23</v>
      </c>
      <c r="G9">
        <f>BattleDungeonItem!L9</f>
        <v>0</v>
      </c>
      <c r="H9" s="4">
        <v>0</v>
      </c>
      <c r="I9">
        <f>BattleDungeonItem!M9</f>
        <v>5000</v>
      </c>
      <c r="J9">
        <f>BattleDungeonItem!N9</f>
        <v>0</v>
      </c>
      <c r="K9">
        <f>BattleDungeonItem!O9</f>
        <v>0</v>
      </c>
      <c r="L9">
        <f>BattleDungeonItem!Q9</f>
        <v>0</v>
      </c>
      <c r="M9">
        <f>BattleDungeonItem!P9</f>
        <v>0</v>
      </c>
      <c r="N9">
        <f>BattleDungeonItem!R9</f>
        <v>100</v>
      </c>
      <c r="O9">
        <f>BattleDungeonItem!AD9</f>
        <v>1</v>
      </c>
      <c r="P9">
        <f>BattleDungeonItem!AC9</f>
        <v>1</v>
      </c>
      <c r="Q9">
        <f>BattleDungeonItem!AE9</f>
        <v>1</v>
      </c>
      <c r="R9">
        <f>BattleDungeonItem!AF9</f>
        <v>1</v>
      </c>
      <c r="S9" s="4">
        <v>6</v>
      </c>
      <c r="T9">
        <f>BattleDungeonItem!B9</f>
        <v>1</v>
      </c>
      <c r="U9" s="4">
        <v>0</v>
      </c>
      <c r="V9">
        <f>BattleDungeonItem!AJ9</f>
        <v>0</v>
      </c>
      <c r="W9" s="4">
        <v>0</v>
      </c>
      <c r="X9">
        <f>BattleDungeonItem!S9</f>
        <v>1</v>
      </c>
      <c r="Y9">
        <f>BattleDungeonItem!U9</f>
        <v>300</v>
      </c>
      <c r="Z9">
        <f>BattleDungeonItem!V9</f>
        <v>1</v>
      </c>
      <c r="AA9" s="1" t="str">
        <f>BattleDungeonItem!W9</f>
        <v>-1</v>
      </c>
      <c r="AB9">
        <f>BattleDungeonItem!X9</f>
        <v>300</v>
      </c>
      <c r="AC9" s="4">
        <v>0</v>
      </c>
      <c r="AD9">
        <f>BattleDungeonItem!AA9</f>
        <v>10000</v>
      </c>
      <c r="AE9">
        <f>BattleDungeonItem!AB9</f>
        <v>0</v>
      </c>
      <c r="AF9" s="4">
        <v>0</v>
      </c>
      <c r="AG9" s="4">
        <v>0</v>
      </c>
    </row>
    <row r="10" spans="1:34" x14ac:dyDescent="0.3">
      <c r="A10" t="str">
        <f>BattleDungeonItem!A10</f>
        <v>ixkey04</v>
      </c>
      <c r="B10" t="str">
        <f>BattleDungeonItem!E10</f>
        <v>Gateway Generating Key</v>
      </c>
      <c r="C10" s="1" t="str">
        <f>BattleDungeonItem!C10</f>
        <v>A30D07</v>
      </c>
      <c r="D10" s="1">
        <f>BattleDungeonItem!D10</f>
        <v>2</v>
      </c>
      <c r="E10" s="1" t="str">
        <f>BattleDungeonItem!H10</f>
        <v>11111000</v>
      </c>
      <c r="F10" s="4">
        <v>23</v>
      </c>
      <c r="G10">
        <f>BattleDungeonItem!L10</f>
        <v>0</v>
      </c>
      <c r="H10" s="4">
        <v>0</v>
      </c>
      <c r="I10">
        <f>BattleDungeonItem!M10</f>
        <v>3000</v>
      </c>
      <c r="J10">
        <f>BattleDungeonItem!N10</f>
        <v>0</v>
      </c>
      <c r="K10">
        <f>BattleDungeonItem!O10</f>
        <v>0</v>
      </c>
      <c r="L10">
        <f>BattleDungeonItem!Q10</f>
        <v>0</v>
      </c>
      <c r="M10">
        <f>BattleDungeonItem!P10</f>
        <v>0</v>
      </c>
      <c r="N10">
        <f>BattleDungeonItem!R10</f>
        <v>100</v>
      </c>
      <c r="O10">
        <f>BattleDungeonItem!AD10</f>
        <v>1</v>
      </c>
      <c r="P10">
        <f>BattleDungeonItem!AC10</f>
        <v>1</v>
      </c>
      <c r="Q10">
        <f>BattleDungeonItem!AE10</f>
        <v>1</v>
      </c>
      <c r="R10">
        <f>BattleDungeonItem!AF10</f>
        <v>1</v>
      </c>
      <c r="S10" s="4">
        <v>7</v>
      </c>
      <c r="T10">
        <f>BattleDungeonItem!B10</f>
        <v>1</v>
      </c>
      <c r="U10" s="4">
        <v>0</v>
      </c>
      <c r="V10">
        <f>BattleDungeonItem!AJ10</f>
        <v>0</v>
      </c>
      <c r="W10" s="4">
        <v>0</v>
      </c>
      <c r="X10">
        <f>BattleDungeonItem!S10</f>
        <v>1</v>
      </c>
      <c r="Y10">
        <f>BattleDungeonItem!U10</f>
        <v>300</v>
      </c>
      <c r="Z10">
        <f>BattleDungeonItem!V10</f>
        <v>1</v>
      </c>
      <c r="AA10" s="1" t="str">
        <f>BattleDungeonItem!W10</f>
        <v>-1</v>
      </c>
      <c r="AB10">
        <f>BattleDungeonItem!X10</f>
        <v>300</v>
      </c>
      <c r="AC10" s="4">
        <v>0</v>
      </c>
      <c r="AD10">
        <f>BattleDungeonItem!AA10</f>
        <v>10000</v>
      </c>
      <c r="AE10">
        <f>BattleDungeonItem!AB10</f>
        <v>0</v>
      </c>
      <c r="AF10" s="4">
        <v>0</v>
      </c>
      <c r="AG10" s="4">
        <v>0</v>
      </c>
    </row>
    <row r="11" spans="1:34" x14ac:dyDescent="0.3">
      <c r="A11" t="str">
        <f>BattleDungeonItem!A11</f>
        <v>ixkey05</v>
      </c>
      <c r="B11" t="str">
        <f>BattleDungeonItem!E11</f>
        <v>Gateway Generating Key</v>
      </c>
      <c r="C11" s="1" t="str">
        <f>BattleDungeonItem!C11</f>
        <v>A30D08</v>
      </c>
      <c r="D11" s="1">
        <f>BattleDungeonItem!D11</f>
        <v>2</v>
      </c>
      <c r="E11" s="1" t="str">
        <f>BattleDungeonItem!H11</f>
        <v>11111000</v>
      </c>
      <c r="F11" s="4">
        <v>23</v>
      </c>
      <c r="G11">
        <f>BattleDungeonItem!L11</f>
        <v>0</v>
      </c>
      <c r="H11" s="4">
        <v>0</v>
      </c>
      <c r="I11">
        <f>BattleDungeonItem!M11</f>
        <v>3000</v>
      </c>
      <c r="J11">
        <f>BattleDungeonItem!N11</f>
        <v>0</v>
      </c>
      <c r="K11">
        <f>BattleDungeonItem!O11</f>
        <v>0</v>
      </c>
      <c r="L11">
        <f>BattleDungeonItem!Q11</f>
        <v>0</v>
      </c>
      <c r="M11">
        <f>BattleDungeonItem!P11</f>
        <v>0</v>
      </c>
      <c r="N11">
        <f>BattleDungeonItem!R11</f>
        <v>100</v>
      </c>
      <c r="O11">
        <f>BattleDungeonItem!AD11</f>
        <v>1</v>
      </c>
      <c r="P11">
        <f>BattleDungeonItem!AC11</f>
        <v>1</v>
      </c>
      <c r="Q11">
        <f>BattleDungeonItem!AE11</f>
        <v>1</v>
      </c>
      <c r="R11">
        <f>BattleDungeonItem!AF11</f>
        <v>1</v>
      </c>
      <c r="S11" s="4">
        <v>8</v>
      </c>
      <c r="T11">
        <f>BattleDungeonItem!B11</f>
        <v>1</v>
      </c>
      <c r="U11" s="4">
        <v>0</v>
      </c>
      <c r="V11">
        <f>BattleDungeonItem!AJ11</f>
        <v>0</v>
      </c>
      <c r="W11" s="4">
        <v>0</v>
      </c>
      <c r="X11">
        <f>BattleDungeonItem!S11</f>
        <v>1</v>
      </c>
      <c r="Y11">
        <f>BattleDungeonItem!U11</f>
        <v>300</v>
      </c>
      <c r="Z11">
        <f>BattleDungeonItem!V11</f>
        <v>1</v>
      </c>
      <c r="AA11" s="1" t="str">
        <f>BattleDungeonItem!W11</f>
        <v>-1</v>
      </c>
      <c r="AB11">
        <f>BattleDungeonItem!X11</f>
        <v>300</v>
      </c>
      <c r="AC11" s="4">
        <v>0</v>
      </c>
      <c r="AD11">
        <f>BattleDungeonItem!AA11</f>
        <v>10000</v>
      </c>
      <c r="AE11">
        <f>BattleDungeonItem!AB11</f>
        <v>0</v>
      </c>
      <c r="AF11" s="4">
        <v>0</v>
      </c>
      <c r="AG11" s="4">
        <v>0</v>
      </c>
    </row>
    <row r="12" spans="1:34" x14ac:dyDescent="0.3">
      <c r="A12" t="str">
        <f>BattleDungeonItem!A12</f>
        <v>ixkey06</v>
      </c>
      <c r="B12" t="str">
        <f>BattleDungeonItem!E12</f>
        <v>Gateway Generating Key</v>
      </c>
      <c r="C12" s="1" t="str">
        <f>BattleDungeonItem!C12</f>
        <v>A30D09</v>
      </c>
      <c r="D12" s="1">
        <f>BattleDungeonItem!D12</f>
        <v>2</v>
      </c>
      <c r="E12" s="1" t="str">
        <f>BattleDungeonItem!H12</f>
        <v>11111000</v>
      </c>
      <c r="F12" s="4">
        <v>23</v>
      </c>
      <c r="G12">
        <f>BattleDungeonItem!L12</f>
        <v>0</v>
      </c>
      <c r="H12" s="4">
        <v>0</v>
      </c>
      <c r="I12">
        <f>BattleDungeonItem!M12</f>
        <v>3000</v>
      </c>
      <c r="J12">
        <f>BattleDungeonItem!N12</f>
        <v>0</v>
      </c>
      <c r="K12">
        <f>BattleDungeonItem!O12</f>
        <v>0</v>
      </c>
      <c r="L12">
        <f>BattleDungeonItem!Q12</f>
        <v>0</v>
      </c>
      <c r="M12">
        <f>BattleDungeonItem!P12</f>
        <v>0</v>
      </c>
      <c r="N12">
        <f>BattleDungeonItem!R12</f>
        <v>100</v>
      </c>
      <c r="O12">
        <f>BattleDungeonItem!AD12</f>
        <v>1</v>
      </c>
      <c r="P12">
        <f>BattleDungeonItem!AC12</f>
        <v>1</v>
      </c>
      <c r="Q12">
        <f>BattleDungeonItem!AE12</f>
        <v>1</v>
      </c>
      <c r="R12">
        <f>BattleDungeonItem!AF12</f>
        <v>1</v>
      </c>
      <c r="S12" s="4">
        <v>9</v>
      </c>
      <c r="T12">
        <f>BattleDungeonItem!B12</f>
        <v>1</v>
      </c>
      <c r="U12" s="4">
        <v>0</v>
      </c>
      <c r="V12">
        <f>BattleDungeonItem!AJ12</f>
        <v>0</v>
      </c>
      <c r="W12" s="4">
        <v>0</v>
      </c>
      <c r="X12">
        <f>BattleDungeonItem!S12</f>
        <v>1</v>
      </c>
      <c r="Y12">
        <f>BattleDungeonItem!U12</f>
        <v>300</v>
      </c>
      <c r="Z12">
        <f>BattleDungeonItem!V12</f>
        <v>1</v>
      </c>
      <c r="AA12" s="1" t="str">
        <f>BattleDungeonItem!W12</f>
        <v>-1</v>
      </c>
      <c r="AB12">
        <f>BattleDungeonItem!X12</f>
        <v>300</v>
      </c>
      <c r="AC12" s="4">
        <v>0</v>
      </c>
      <c r="AD12">
        <f>BattleDungeonItem!AA12</f>
        <v>10000</v>
      </c>
      <c r="AE12">
        <f>BattleDungeonItem!AB12</f>
        <v>0</v>
      </c>
      <c r="AF12" s="4">
        <v>0</v>
      </c>
      <c r="AG12" s="4">
        <v>0</v>
      </c>
    </row>
    <row r="13" spans="1:34" x14ac:dyDescent="0.3">
      <c r="A13" t="str">
        <f>BattleDungeonItem!A13</f>
        <v>ixkey07</v>
      </c>
      <c r="B13" t="str">
        <f>BattleDungeonItem!E13</f>
        <v>Gateway Generating Key</v>
      </c>
      <c r="C13" s="1" t="str">
        <f>BattleDungeonItem!C13</f>
        <v>A30D0A</v>
      </c>
      <c r="D13" s="1">
        <f>BattleDungeonItem!D13</f>
        <v>2</v>
      </c>
      <c r="E13" s="1" t="str">
        <f>BattleDungeonItem!H13</f>
        <v>11111000</v>
      </c>
      <c r="F13" s="4">
        <v>23</v>
      </c>
      <c r="G13">
        <f>BattleDungeonItem!L13</f>
        <v>0</v>
      </c>
      <c r="H13" s="4">
        <v>0</v>
      </c>
      <c r="I13">
        <f>BattleDungeonItem!M13</f>
        <v>3500</v>
      </c>
      <c r="J13">
        <f>BattleDungeonItem!N13</f>
        <v>0</v>
      </c>
      <c r="K13">
        <f>BattleDungeonItem!O13</f>
        <v>0</v>
      </c>
      <c r="L13">
        <f>BattleDungeonItem!Q13</f>
        <v>0</v>
      </c>
      <c r="M13">
        <f>BattleDungeonItem!P13</f>
        <v>0</v>
      </c>
      <c r="N13">
        <f>BattleDungeonItem!R13</f>
        <v>100</v>
      </c>
      <c r="O13">
        <f>BattleDungeonItem!AD13</f>
        <v>1</v>
      </c>
      <c r="P13">
        <f>BattleDungeonItem!AC13</f>
        <v>1</v>
      </c>
      <c r="Q13">
        <f>BattleDungeonItem!AE13</f>
        <v>1</v>
      </c>
      <c r="R13">
        <f>BattleDungeonItem!AF13</f>
        <v>1</v>
      </c>
      <c r="S13" s="4">
        <v>10</v>
      </c>
      <c r="T13">
        <f>BattleDungeonItem!B13</f>
        <v>1</v>
      </c>
      <c r="U13" s="4">
        <v>0</v>
      </c>
      <c r="V13">
        <f>BattleDungeonItem!AJ13</f>
        <v>0</v>
      </c>
      <c r="W13" s="4">
        <v>0</v>
      </c>
      <c r="X13">
        <f>BattleDungeonItem!S13</f>
        <v>1</v>
      </c>
      <c r="Y13">
        <f>BattleDungeonItem!U13</f>
        <v>300</v>
      </c>
      <c r="Z13">
        <f>BattleDungeonItem!V13</f>
        <v>1</v>
      </c>
      <c r="AA13" s="1" t="str">
        <f>BattleDungeonItem!W13</f>
        <v>-1</v>
      </c>
      <c r="AB13">
        <f>BattleDungeonItem!X13</f>
        <v>300</v>
      </c>
      <c r="AC13" s="4">
        <v>0</v>
      </c>
      <c r="AD13">
        <f>BattleDungeonItem!AA13</f>
        <v>10000</v>
      </c>
      <c r="AE13">
        <f>BattleDungeonItem!AB13</f>
        <v>0</v>
      </c>
      <c r="AF13" s="4">
        <v>0</v>
      </c>
      <c r="AG13" s="4">
        <v>0</v>
      </c>
    </row>
    <row r="14" spans="1:34" x14ac:dyDescent="0.3">
      <c r="A14" t="str">
        <f>BattleDungeonItem!A14</f>
        <v>ixkey08</v>
      </c>
      <c r="B14" t="str">
        <f>BattleDungeonItem!E14</f>
        <v>Gateway Generating Key</v>
      </c>
      <c r="C14" s="1" t="str">
        <f>BattleDungeonItem!C14</f>
        <v>A30D0B</v>
      </c>
      <c r="D14" s="1">
        <f>BattleDungeonItem!D14</f>
        <v>2</v>
      </c>
      <c r="E14" s="1" t="str">
        <f>BattleDungeonItem!H14</f>
        <v>11111000</v>
      </c>
      <c r="F14" s="4">
        <v>23</v>
      </c>
      <c r="G14">
        <f>BattleDungeonItem!L14</f>
        <v>0</v>
      </c>
      <c r="H14" s="4">
        <v>0</v>
      </c>
      <c r="I14">
        <f>BattleDungeonItem!M14</f>
        <v>3500</v>
      </c>
      <c r="J14">
        <f>BattleDungeonItem!N14</f>
        <v>0</v>
      </c>
      <c r="K14">
        <f>BattleDungeonItem!O14</f>
        <v>0</v>
      </c>
      <c r="L14">
        <f>BattleDungeonItem!Q14</f>
        <v>0</v>
      </c>
      <c r="M14">
        <f>BattleDungeonItem!P14</f>
        <v>0</v>
      </c>
      <c r="N14">
        <f>BattleDungeonItem!R14</f>
        <v>100</v>
      </c>
      <c r="O14">
        <f>BattleDungeonItem!AD14</f>
        <v>1</v>
      </c>
      <c r="P14">
        <f>BattleDungeonItem!AC14</f>
        <v>1</v>
      </c>
      <c r="Q14">
        <f>BattleDungeonItem!AE14</f>
        <v>1</v>
      </c>
      <c r="R14">
        <f>BattleDungeonItem!AF14</f>
        <v>1</v>
      </c>
      <c r="S14" s="4">
        <v>11</v>
      </c>
      <c r="T14">
        <f>BattleDungeonItem!B14</f>
        <v>1</v>
      </c>
      <c r="U14" s="4">
        <v>0</v>
      </c>
      <c r="V14">
        <f>BattleDungeonItem!AJ14</f>
        <v>0</v>
      </c>
      <c r="W14" s="4">
        <v>0</v>
      </c>
      <c r="X14">
        <f>BattleDungeonItem!S14</f>
        <v>1</v>
      </c>
      <c r="Y14">
        <f>BattleDungeonItem!U14</f>
        <v>300</v>
      </c>
      <c r="Z14">
        <f>BattleDungeonItem!V14</f>
        <v>1</v>
      </c>
      <c r="AA14" s="1" t="str">
        <f>BattleDungeonItem!W14</f>
        <v>-1</v>
      </c>
      <c r="AB14">
        <f>BattleDungeonItem!X14</f>
        <v>300</v>
      </c>
      <c r="AC14" s="4">
        <v>0</v>
      </c>
      <c r="AD14">
        <f>BattleDungeonItem!AA14</f>
        <v>10000</v>
      </c>
      <c r="AE14">
        <f>BattleDungeonItem!AB14</f>
        <v>0</v>
      </c>
      <c r="AF14" s="4">
        <v>0</v>
      </c>
      <c r="AG14" s="4">
        <v>0</v>
      </c>
    </row>
    <row r="15" spans="1:34" x14ac:dyDescent="0.3">
      <c r="A15" t="str">
        <f>BattleDungeonItem!A15</f>
        <v>ixkey09</v>
      </c>
      <c r="B15" t="str">
        <f>BattleDungeonItem!E15</f>
        <v>Gateway Generating Key</v>
      </c>
      <c r="C15" s="1" t="str">
        <f>BattleDungeonItem!C15</f>
        <v>A30D0C</v>
      </c>
      <c r="D15" s="1">
        <f>BattleDungeonItem!D15</f>
        <v>2</v>
      </c>
      <c r="E15" s="1" t="str">
        <f>BattleDungeonItem!H15</f>
        <v>11111000</v>
      </c>
      <c r="F15" s="4">
        <v>23</v>
      </c>
      <c r="G15">
        <f>BattleDungeonItem!L15</f>
        <v>0</v>
      </c>
      <c r="H15" s="4">
        <v>0</v>
      </c>
      <c r="I15">
        <f>BattleDungeonItem!M15</f>
        <v>3500</v>
      </c>
      <c r="J15">
        <f>BattleDungeonItem!N15</f>
        <v>0</v>
      </c>
      <c r="K15">
        <f>BattleDungeonItem!O15</f>
        <v>0</v>
      </c>
      <c r="L15">
        <f>BattleDungeonItem!Q15</f>
        <v>0</v>
      </c>
      <c r="M15">
        <f>BattleDungeonItem!P15</f>
        <v>0</v>
      </c>
      <c r="N15">
        <f>BattleDungeonItem!R15</f>
        <v>100</v>
      </c>
      <c r="O15">
        <f>BattleDungeonItem!AD15</f>
        <v>1</v>
      </c>
      <c r="P15">
        <f>BattleDungeonItem!AC15</f>
        <v>1</v>
      </c>
      <c r="Q15">
        <f>BattleDungeonItem!AE15</f>
        <v>1</v>
      </c>
      <c r="R15">
        <f>BattleDungeonItem!AF15</f>
        <v>1</v>
      </c>
      <c r="S15" s="4">
        <v>12</v>
      </c>
      <c r="T15">
        <f>BattleDungeonItem!B15</f>
        <v>1</v>
      </c>
      <c r="U15" s="4">
        <v>0</v>
      </c>
      <c r="V15">
        <f>BattleDungeonItem!AJ15</f>
        <v>0</v>
      </c>
      <c r="W15" s="4">
        <v>0</v>
      </c>
      <c r="X15">
        <f>BattleDungeonItem!S15</f>
        <v>1</v>
      </c>
      <c r="Y15">
        <f>BattleDungeonItem!U15</f>
        <v>300</v>
      </c>
      <c r="Z15">
        <f>BattleDungeonItem!V15</f>
        <v>1</v>
      </c>
      <c r="AA15" s="1" t="str">
        <f>BattleDungeonItem!W15</f>
        <v>-1</v>
      </c>
      <c r="AB15">
        <f>BattleDungeonItem!X15</f>
        <v>300</v>
      </c>
      <c r="AC15" s="4">
        <v>0</v>
      </c>
      <c r="AD15">
        <f>BattleDungeonItem!AA15</f>
        <v>10000</v>
      </c>
      <c r="AE15">
        <f>BattleDungeonItem!AB15</f>
        <v>0</v>
      </c>
      <c r="AF15" s="4">
        <v>0</v>
      </c>
      <c r="AG15" s="4">
        <v>0</v>
      </c>
    </row>
    <row r="16" spans="1:34" x14ac:dyDescent="0.3">
      <c r="A16" t="str">
        <f>BattleDungeonItem!A16</f>
        <v>ixkey10</v>
      </c>
      <c r="B16" t="str">
        <f>BattleDungeonItem!E16</f>
        <v>Gateway Generating Key</v>
      </c>
      <c r="C16" s="1" t="str">
        <f>BattleDungeonItem!C16</f>
        <v>A30D0D</v>
      </c>
      <c r="D16" s="1">
        <f>BattleDungeonItem!D16</f>
        <v>2</v>
      </c>
      <c r="E16" s="1" t="str">
        <f>BattleDungeonItem!H16</f>
        <v>11111000</v>
      </c>
      <c r="F16" s="4">
        <v>23</v>
      </c>
      <c r="G16">
        <f>BattleDungeonItem!L16</f>
        <v>0</v>
      </c>
      <c r="H16" s="4">
        <v>0</v>
      </c>
      <c r="I16">
        <f>BattleDungeonItem!M16</f>
        <v>3500</v>
      </c>
      <c r="J16">
        <f>BattleDungeonItem!N16</f>
        <v>0</v>
      </c>
      <c r="K16">
        <f>BattleDungeonItem!O16</f>
        <v>0</v>
      </c>
      <c r="L16">
        <f>BattleDungeonItem!Q16</f>
        <v>0</v>
      </c>
      <c r="M16">
        <f>BattleDungeonItem!P16</f>
        <v>0</v>
      </c>
      <c r="N16">
        <f>BattleDungeonItem!R16</f>
        <v>100</v>
      </c>
      <c r="O16">
        <f>BattleDungeonItem!AD16</f>
        <v>1</v>
      </c>
      <c r="P16">
        <f>BattleDungeonItem!AC16</f>
        <v>1</v>
      </c>
      <c r="Q16">
        <f>BattleDungeonItem!AE16</f>
        <v>1</v>
      </c>
      <c r="R16">
        <f>BattleDungeonItem!AF16</f>
        <v>1</v>
      </c>
      <c r="S16" s="4">
        <v>13</v>
      </c>
      <c r="T16">
        <f>BattleDungeonItem!B16</f>
        <v>1</v>
      </c>
      <c r="U16" s="4">
        <v>0</v>
      </c>
      <c r="V16">
        <f>BattleDungeonItem!AJ16</f>
        <v>0</v>
      </c>
      <c r="W16" s="4">
        <v>0</v>
      </c>
      <c r="X16">
        <f>BattleDungeonItem!S16</f>
        <v>1</v>
      </c>
      <c r="Y16">
        <f>BattleDungeonItem!U16</f>
        <v>300</v>
      </c>
      <c r="Z16">
        <f>BattleDungeonItem!V16</f>
        <v>1</v>
      </c>
      <c r="AA16" s="1" t="str">
        <f>BattleDungeonItem!W16</f>
        <v>-1</v>
      </c>
      <c r="AB16">
        <f>BattleDungeonItem!X16</f>
        <v>300</v>
      </c>
      <c r="AC16" s="4">
        <v>0</v>
      </c>
      <c r="AD16">
        <f>BattleDungeonItem!AA16</f>
        <v>10000</v>
      </c>
      <c r="AE16">
        <f>BattleDungeonItem!AB16</f>
        <v>0</v>
      </c>
      <c r="AF16" s="4">
        <v>0</v>
      </c>
      <c r="AG16" s="4">
        <v>0</v>
      </c>
    </row>
    <row r="17" spans="1:33" x14ac:dyDescent="0.3">
      <c r="A17" t="str">
        <f>BattleDungeonItem!A17</f>
        <v>ixkey11</v>
      </c>
      <c r="B17" t="str">
        <f>BattleDungeonItem!E17</f>
        <v>Gateway Generating Key</v>
      </c>
      <c r="C17" s="1" t="str">
        <f>BattleDungeonItem!C17</f>
        <v>A30D0E</v>
      </c>
      <c r="D17" s="1">
        <f>BattleDungeonItem!D17</f>
        <v>2</v>
      </c>
      <c r="E17" s="1" t="str">
        <f>BattleDungeonItem!H17</f>
        <v>11111000</v>
      </c>
      <c r="F17" s="4">
        <v>23</v>
      </c>
      <c r="G17">
        <f>BattleDungeonItem!L17</f>
        <v>0</v>
      </c>
      <c r="H17" s="4">
        <v>0</v>
      </c>
      <c r="I17">
        <f>BattleDungeonItem!M17</f>
        <v>4000</v>
      </c>
      <c r="J17">
        <f>BattleDungeonItem!N17</f>
        <v>0</v>
      </c>
      <c r="K17">
        <f>BattleDungeonItem!O17</f>
        <v>0</v>
      </c>
      <c r="L17">
        <f>BattleDungeonItem!Q17</f>
        <v>0</v>
      </c>
      <c r="M17">
        <f>BattleDungeonItem!P17</f>
        <v>0</v>
      </c>
      <c r="N17">
        <f>BattleDungeonItem!R17</f>
        <v>100</v>
      </c>
      <c r="O17">
        <f>BattleDungeonItem!AD17</f>
        <v>1</v>
      </c>
      <c r="P17">
        <f>BattleDungeonItem!AC17</f>
        <v>1</v>
      </c>
      <c r="Q17">
        <f>BattleDungeonItem!AE17</f>
        <v>1</v>
      </c>
      <c r="R17">
        <f>BattleDungeonItem!AF17</f>
        <v>1</v>
      </c>
      <c r="S17" s="4">
        <v>14</v>
      </c>
      <c r="T17">
        <f>BattleDungeonItem!B17</f>
        <v>1</v>
      </c>
      <c r="U17" s="4">
        <v>0</v>
      </c>
      <c r="V17">
        <f>BattleDungeonItem!AJ17</f>
        <v>0</v>
      </c>
      <c r="W17" s="4">
        <v>0</v>
      </c>
      <c r="X17">
        <f>BattleDungeonItem!S17</f>
        <v>1</v>
      </c>
      <c r="Y17">
        <f>BattleDungeonItem!U17</f>
        <v>300</v>
      </c>
      <c r="Z17">
        <f>BattleDungeonItem!V17</f>
        <v>1</v>
      </c>
      <c r="AA17" s="1" t="str">
        <f>BattleDungeonItem!W17</f>
        <v>-1</v>
      </c>
      <c r="AB17">
        <f>BattleDungeonItem!X17</f>
        <v>300</v>
      </c>
      <c r="AC17" s="4">
        <v>0</v>
      </c>
      <c r="AD17">
        <f>BattleDungeonItem!AA17</f>
        <v>10000</v>
      </c>
      <c r="AE17">
        <f>BattleDungeonItem!AB17</f>
        <v>0</v>
      </c>
      <c r="AF17" s="4">
        <v>0</v>
      </c>
      <c r="AG17" s="4">
        <v>0</v>
      </c>
    </row>
    <row r="18" spans="1:33" x14ac:dyDescent="0.3">
      <c r="A18" t="str">
        <f>BattleDungeonItem!A18</f>
        <v>ixkey12</v>
      </c>
      <c r="B18" t="str">
        <f>BattleDungeonItem!E18</f>
        <v>Gateway Generating Key</v>
      </c>
      <c r="C18" s="1" t="str">
        <f>BattleDungeonItem!C18</f>
        <v>A30D0F</v>
      </c>
      <c r="D18" s="1">
        <f>BattleDungeonItem!D18</f>
        <v>2</v>
      </c>
      <c r="E18" s="1" t="str">
        <f>BattleDungeonItem!H18</f>
        <v>11111000</v>
      </c>
      <c r="F18" s="4">
        <v>23</v>
      </c>
      <c r="G18">
        <f>BattleDungeonItem!L18</f>
        <v>0</v>
      </c>
      <c r="H18" s="4">
        <v>0</v>
      </c>
      <c r="I18">
        <f>BattleDungeonItem!M18</f>
        <v>4000</v>
      </c>
      <c r="J18">
        <f>BattleDungeonItem!N18</f>
        <v>0</v>
      </c>
      <c r="K18">
        <f>BattleDungeonItem!O18</f>
        <v>0</v>
      </c>
      <c r="L18">
        <f>BattleDungeonItem!Q18</f>
        <v>0</v>
      </c>
      <c r="M18">
        <f>BattleDungeonItem!P18</f>
        <v>0</v>
      </c>
      <c r="N18">
        <f>BattleDungeonItem!R18</f>
        <v>100</v>
      </c>
      <c r="O18">
        <f>BattleDungeonItem!AD18</f>
        <v>1</v>
      </c>
      <c r="P18">
        <f>BattleDungeonItem!AC18</f>
        <v>1</v>
      </c>
      <c r="Q18">
        <f>BattleDungeonItem!AE18</f>
        <v>1</v>
      </c>
      <c r="R18">
        <f>BattleDungeonItem!AF18</f>
        <v>1</v>
      </c>
      <c r="S18" s="4">
        <v>15</v>
      </c>
      <c r="T18">
        <f>BattleDungeonItem!B18</f>
        <v>1</v>
      </c>
      <c r="U18" s="4">
        <v>0</v>
      </c>
      <c r="V18">
        <f>BattleDungeonItem!AJ18</f>
        <v>0</v>
      </c>
      <c r="W18" s="4">
        <v>0</v>
      </c>
      <c r="X18">
        <f>BattleDungeonItem!S18</f>
        <v>1</v>
      </c>
      <c r="Y18">
        <f>BattleDungeonItem!U18</f>
        <v>300</v>
      </c>
      <c r="Z18">
        <f>BattleDungeonItem!V18</f>
        <v>1</v>
      </c>
      <c r="AA18" s="1" t="str">
        <f>BattleDungeonItem!W18</f>
        <v>-1</v>
      </c>
      <c r="AB18">
        <f>BattleDungeonItem!X18</f>
        <v>300</v>
      </c>
      <c r="AC18" s="4">
        <v>0</v>
      </c>
      <c r="AD18">
        <f>BattleDungeonItem!AA18</f>
        <v>10000</v>
      </c>
      <c r="AE18">
        <f>BattleDungeonItem!AB18</f>
        <v>0</v>
      </c>
      <c r="AF18" s="4">
        <v>0</v>
      </c>
      <c r="AG18" s="4">
        <v>0</v>
      </c>
    </row>
    <row r="19" spans="1:33" x14ac:dyDescent="0.3">
      <c r="A19" t="str">
        <f>BattleDungeonItem!A19</f>
        <v>ixkey13</v>
      </c>
      <c r="B19" t="str">
        <f>BattleDungeonItem!E19</f>
        <v>Gateway Generating Key</v>
      </c>
      <c r="C19" s="1" t="str">
        <f>BattleDungeonItem!C19</f>
        <v>A30D10</v>
      </c>
      <c r="D19" s="1">
        <f>BattleDungeonItem!D19</f>
        <v>2</v>
      </c>
      <c r="E19" s="1" t="str">
        <f>BattleDungeonItem!H19</f>
        <v>11111000</v>
      </c>
      <c r="F19" s="4">
        <v>23</v>
      </c>
      <c r="G19">
        <f>BattleDungeonItem!L19</f>
        <v>0</v>
      </c>
      <c r="H19" s="4">
        <v>0</v>
      </c>
      <c r="I19">
        <f>BattleDungeonItem!M19</f>
        <v>4000</v>
      </c>
      <c r="J19">
        <f>BattleDungeonItem!N19</f>
        <v>0</v>
      </c>
      <c r="K19">
        <f>BattleDungeonItem!O19</f>
        <v>0</v>
      </c>
      <c r="L19">
        <f>BattleDungeonItem!Q19</f>
        <v>0</v>
      </c>
      <c r="M19">
        <f>BattleDungeonItem!P19</f>
        <v>0</v>
      </c>
      <c r="N19">
        <f>BattleDungeonItem!R19</f>
        <v>100</v>
      </c>
      <c r="O19">
        <f>BattleDungeonItem!AD19</f>
        <v>1</v>
      </c>
      <c r="P19">
        <f>BattleDungeonItem!AC19</f>
        <v>1</v>
      </c>
      <c r="Q19">
        <f>BattleDungeonItem!AE19</f>
        <v>1</v>
      </c>
      <c r="R19">
        <f>BattleDungeonItem!AF19</f>
        <v>1</v>
      </c>
      <c r="S19" s="4">
        <v>16</v>
      </c>
      <c r="T19">
        <f>BattleDungeonItem!B19</f>
        <v>1</v>
      </c>
      <c r="U19" s="4">
        <v>0</v>
      </c>
      <c r="V19">
        <f>BattleDungeonItem!AJ19</f>
        <v>0</v>
      </c>
      <c r="W19" s="4">
        <v>0</v>
      </c>
      <c r="X19">
        <f>BattleDungeonItem!S19</f>
        <v>1</v>
      </c>
      <c r="Y19">
        <f>BattleDungeonItem!U19</f>
        <v>300</v>
      </c>
      <c r="Z19">
        <f>BattleDungeonItem!V19</f>
        <v>1</v>
      </c>
      <c r="AA19" s="1" t="str">
        <f>BattleDungeonItem!W19</f>
        <v>-1</v>
      </c>
      <c r="AB19">
        <f>BattleDungeonItem!X19</f>
        <v>300</v>
      </c>
      <c r="AC19" s="4">
        <v>0</v>
      </c>
      <c r="AD19">
        <f>BattleDungeonItem!AA19</f>
        <v>10000</v>
      </c>
      <c r="AE19">
        <f>BattleDungeonItem!AB19</f>
        <v>0</v>
      </c>
      <c r="AF19" s="4">
        <v>0</v>
      </c>
      <c r="AG19" s="4">
        <v>0</v>
      </c>
    </row>
    <row r="20" spans="1:33" x14ac:dyDescent="0.3">
      <c r="A20" t="str">
        <f>BattleDungeonItem!A20</f>
        <v>ixkey14</v>
      </c>
      <c r="B20" t="str">
        <f>BattleDungeonItem!E20</f>
        <v>Gateway Generating Key</v>
      </c>
      <c r="C20" s="1" t="str">
        <f>BattleDungeonItem!C20</f>
        <v>A30D11</v>
      </c>
      <c r="D20" s="1">
        <f>BattleDungeonItem!D20</f>
        <v>2</v>
      </c>
      <c r="E20" s="1" t="str">
        <f>BattleDungeonItem!H20</f>
        <v>11111000</v>
      </c>
      <c r="F20" s="4">
        <v>23</v>
      </c>
      <c r="G20">
        <f>BattleDungeonItem!L20</f>
        <v>0</v>
      </c>
      <c r="H20" s="4">
        <v>0</v>
      </c>
      <c r="I20">
        <f>BattleDungeonItem!M20</f>
        <v>4000</v>
      </c>
      <c r="J20">
        <f>BattleDungeonItem!N20</f>
        <v>0</v>
      </c>
      <c r="K20">
        <f>BattleDungeonItem!O20</f>
        <v>0</v>
      </c>
      <c r="L20">
        <f>BattleDungeonItem!Q20</f>
        <v>0</v>
      </c>
      <c r="M20">
        <f>BattleDungeonItem!P20</f>
        <v>0</v>
      </c>
      <c r="N20">
        <f>BattleDungeonItem!R20</f>
        <v>100</v>
      </c>
      <c r="O20">
        <f>BattleDungeonItem!AD20</f>
        <v>1</v>
      </c>
      <c r="P20">
        <f>BattleDungeonItem!AC20</f>
        <v>1</v>
      </c>
      <c r="Q20">
        <f>BattleDungeonItem!AE20</f>
        <v>1</v>
      </c>
      <c r="R20">
        <f>BattleDungeonItem!AF20</f>
        <v>1</v>
      </c>
      <c r="S20" s="4">
        <v>17</v>
      </c>
      <c r="T20">
        <f>BattleDungeonItem!B20</f>
        <v>1</v>
      </c>
      <c r="U20" s="4">
        <v>0</v>
      </c>
      <c r="V20">
        <f>BattleDungeonItem!AJ20</f>
        <v>0</v>
      </c>
      <c r="W20" s="4">
        <v>0</v>
      </c>
      <c r="X20">
        <f>BattleDungeonItem!S20</f>
        <v>1</v>
      </c>
      <c r="Y20">
        <f>BattleDungeonItem!U20</f>
        <v>300</v>
      </c>
      <c r="Z20">
        <f>BattleDungeonItem!V20</f>
        <v>1</v>
      </c>
      <c r="AA20" s="1" t="str">
        <f>BattleDungeonItem!W20</f>
        <v>-1</v>
      </c>
      <c r="AB20">
        <f>BattleDungeonItem!X20</f>
        <v>300</v>
      </c>
      <c r="AC20" s="4">
        <v>0</v>
      </c>
      <c r="AD20">
        <f>BattleDungeonItem!AA20</f>
        <v>10000</v>
      </c>
      <c r="AE20">
        <f>BattleDungeonItem!AB20</f>
        <v>0</v>
      </c>
      <c r="AF20" s="4">
        <v>0</v>
      </c>
      <c r="AG20" s="4">
        <v>0</v>
      </c>
    </row>
    <row r="21" spans="1:33" x14ac:dyDescent="0.3">
      <c r="A21" t="str">
        <f>BattleDungeonItem!A21</f>
        <v>ixkey15</v>
      </c>
      <c r="B21" t="str">
        <f>BattleDungeonItem!E21</f>
        <v>Gateway Generating Key</v>
      </c>
      <c r="C21" s="1" t="str">
        <f>BattleDungeonItem!C21</f>
        <v>A30D12</v>
      </c>
      <c r="D21" s="1">
        <f>BattleDungeonItem!D21</f>
        <v>2</v>
      </c>
      <c r="E21" s="1" t="str">
        <f>BattleDungeonItem!H21</f>
        <v>11111000</v>
      </c>
      <c r="F21" s="4">
        <v>23</v>
      </c>
      <c r="G21">
        <f>BattleDungeonItem!L21</f>
        <v>0</v>
      </c>
      <c r="H21" s="4">
        <v>0</v>
      </c>
      <c r="I21">
        <f>BattleDungeonItem!M21</f>
        <v>4500</v>
      </c>
      <c r="J21">
        <f>BattleDungeonItem!N21</f>
        <v>0</v>
      </c>
      <c r="K21">
        <f>BattleDungeonItem!O21</f>
        <v>0</v>
      </c>
      <c r="L21">
        <f>BattleDungeonItem!Q21</f>
        <v>0</v>
      </c>
      <c r="M21">
        <f>BattleDungeonItem!P21</f>
        <v>0</v>
      </c>
      <c r="N21">
        <f>BattleDungeonItem!R21</f>
        <v>100</v>
      </c>
      <c r="O21">
        <f>BattleDungeonItem!AD21</f>
        <v>1</v>
      </c>
      <c r="P21">
        <f>BattleDungeonItem!AC21</f>
        <v>1</v>
      </c>
      <c r="Q21">
        <f>BattleDungeonItem!AE21</f>
        <v>1</v>
      </c>
      <c r="R21">
        <f>BattleDungeonItem!AF21</f>
        <v>1</v>
      </c>
      <c r="S21" s="4">
        <v>18</v>
      </c>
      <c r="T21">
        <f>BattleDungeonItem!B21</f>
        <v>1</v>
      </c>
      <c r="U21" s="4">
        <v>0</v>
      </c>
      <c r="V21">
        <f>BattleDungeonItem!AJ21</f>
        <v>0</v>
      </c>
      <c r="W21" s="4">
        <v>0</v>
      </c>
      <c r="X21">
        <f>BattleDungeonItem!S21</f>
        <v>1</v>
      </c>
      <c r="Y21">
        <f>BattleDungeonItem!U21</f>
        <v>300</v>
      </c>
      <c r="Z21">
        <f>BattleDungeonItem!V21</f>
        <v>1</v>
      </c>
      <c r="AA21" s="1" t="str">
        <f>BattleDungeonItem!W21</f>
        <v>-1</v>
      </c>
      <c r="AB21">
        <f>BattleDungeonItem!X21</f>
        <v>300</v>
      </c>
      <c r="AC21" s="4">
        <v>0</v>
      </c>
      <c r="AD21">
        <f>BattleDungeonItem!AA21</f>
        <v>10000</v>
      </c>
      <c r="AE21">
        <f>BattleDungeonItem!AB21</f>
        <v>0</v>
      </c>
      <c r="AF21" s="4">
        <v>0</v>
      </c>
      <c r="AG21" s="4">
        <v>0</v>
      </c>
    </row>
    <row r="22" spans="1:33" x14ac:dyDescent="0.3">
      <c r="A22" t="str">
        <f>BattleDungeonItem!A22</f>
        <v>ixkey16</v>
      </c>
      <c r="B22" t="str">
        <f>BattleDungeonItem!E22</f>
        <v>Gateway Generating Key</v>
      </c>
      <c r="C22" s="1" t="str">
        <f>BattleDungeonItem!C22</f>
        <v>A30D13</v>
      </c>
      <c r="D22" s="1">
        <f>BattleDungeonItem!D22</f>
        <v>2</v>
      </c>
      <c r="E22" s="1" t="str">
        <f>BattleDungeonItem!H22</f>
        <v>11111000</v>
      </c>
      <c r="F22" s="4">
        <v>23</v>
      </c>
      <c r="G22">
        <f>BattleDungeonItem!L22</f>
        <v>0</v>
      </c>
      <c r="H22" s="4">
        <v>0</v>
      </c>
      <c r="I22">
        <f>BattleDungeonItem!M22</f>
        <v>4500</v>
      </c>
      <c r="J22">
        <f>BattleDungeonItem!N22</f>
        <v>0</v>
      </c>
      <c r="K22">
        <f>BattleDungeonItem!O22</f>
        <v>0</v>
      </c>
      <c r="L22">
        <f>BattleDungeonItem!Q22</f>
        <v>0</v>
      </c>
      <c r="M22">
        <f>BattleDungeonItem!P22</f>
        <v>0</v>
      </c>
      <c r="N22">
        <f>BattleDungeonItem!R22</f>
        <v>100</v>
      </c>
      <c r="O22">
        <f>BattleDungeonItem!AD22</f>
        <v>1</v>
      </c>
      <c r="P22">
        <f>BattleDungeonItem!AC22</f>
        <v>1</v>
      </c>
      <c r="Q22">
        <f>BattleDungeonItem!AE22</f>
        <v>1</v>
      </c>
      <c r="R22">
        <f>BattleDungeonItem!AF22</f>
        <v>1</v>
      </c>
      <c r="S22" s="4">
        <v>19</v>
      </c>
      <c r="T22">
        <f>BattleDungeonItem!B22</f>
        <v>1</v>
      </c>
      <c r="U22" s="4">
        <v>0</v>
      </c>
      <c r="V22">
        <f>BattleDungeonItem!AJ22</f>
        <v>0</v>
      </c>
      <c r="W22" s="4">
        <v>0</v>
      </c>
      <c r="X22">
        <f>BattleDungeonItem!S22</f>
        <v>1</v>
      </c>
      <c r="Y22">
        <f>BattleDungeonItem!U22</f>
        <v>300</v>
      </c>
      <c r="Z22">
        <f>BattleDungeonItem!V22</f>
        <v>1</v>
      </c>
      <c r="AA22" s="1" t="str">
        <f>BattleDungeonItem!W22</f>
        <v>-1</v>
      </c>
      <c r="AB22">
        <f>BattleDungeonItem!X22</f>
        <v>300</v>
      </c>
      <c r="AC22" s="4">
        <v>0</v>
      </c>
      <c r="AD22">
        <f>BattleDungeonItem!AA22</f>
        <v>10000</v>
      </c>
      <c r="AE22">
        <f>BattleDungeonItem!AB22</f>
        <v>0</v>
      </c>
      <c r="AF22" s="4">
        <v>0</v>
      </c>
      <c r="AG22" s="4">
        <v>0</v>
      </c>
    </row>
    <row r="23" spans="1:33" x14ac:dyDescent="0.3">
      <c r="A23" t="str">
        <f>BattleDungeonItem!A23</f>
        <v>ixkey17</v>
      </c>
      <c r="B23" t="str">
        <f>BattleDungeonItem!E23</f>
        <v>Gateway Generating Key</v>
      </c>
      <c r="C23" s="1" t="str">
        <f>BattleDungeonItem!C23</f>
        <v>A30D14</v>
      </c>
      <c r="D23" s="1">
        <f>BattleDungeonItem!D23</f>
        <v>2</v>
      </c>
      <c r="E23" s="1" t="str">
        <f>BattleDungeonItem!H23</f>
        <v>11111000</v>
      </c>
      <c r="F23" s="4">
        <v>23</v>
      </c>
      <c r="G23">
        <f>BattleDungeonItem!L23</f>
        <v>0</v>
      </c>
      <c r="H23" s="4">
        <v>0</v>
      </c>
      <c r="I23">
        <f>BattleDungeonItem!M23</f>
        <v>4500</v>
      </c>
      <c r="J23">
        <f>BattleDungeonItem!N23</f>
        <v>0</v>
      </c>
      <c r="K23">
        <f>BattleDungeonItem!O23</f>
        <v>0</v>
      </c>
      <c r="L23">
        <f>BattleDungeonItem!Q23</f>
        <v>0</v>
      </c>
      <c r="M23">
        <f>BattleDungeonItem!P23</f>
        <v>0</v>
      </c>
      <c r="N23">
        <f>BattleDungeonItem!R23</f>
        <v>100</v>
      </c>
      <c r="O23">
        <f>BattleDungeonItem!AD23</f>
        <v>1</v>
      </c>
      <c r="P23">
        <f>BattleDungeonItem!AC23</f>
        <v>1</v>
      </c>
      <c r="Q23">
        <f>BattleDungeonItem!AE23</f>
        <v>1</v>
      </c>
      <c r="R23">
        <f>BattleDungeonItem!AF23</f>
        <v>1</v>
      </c>
      <c r="S23" s="4">
        <v>20</v>
      </c>
      <c r="T23">
        <f>BattleDungeonItem!B23</f>
        <v>1</v>
      </c>
      <c r="U23" s="4">
        <v>0</v>
      </c>
      <c r="V23">
        <f>BattleDungeonItem!AJ23</f>
        <v>0</v>
      </c>
      <c r="W23" s="4">
        <v>0</v>
      </c>
      <c r="X23">
        <f>BattleDungeonItem!S23</f>
        <v>1</v>
      </c>
      <c r="Y23">
        <f>BattleDungeonItem!U23</f>
        <v>300</v>
      </c>
      <c r="Z23">
        <f>BattleDungeonItem!V23</f>
        <v>1</v>
      </c>
      <c r="AA23" s="1" t="str">
        <f>BattleDungeonItem!W23</f>
        <v>-1</v>
      </c>
      <c r="AB23">
        <f>BattleDungeonItem!X23</f>
        <v>300</v>
      </c>
      <c r="AC23" s="4">
        <v>0</v>
      </c>
      <c r="AD23">
        <f>BattleDungeonItem!AA23</f>
        <v>10000</v>
      </c>
      <c r="AE23">
        <f>BattleDungeonItem!AB23</f>
        <v>0</v>
      </c>
      <c r="AF23" s="4">
        <v>0</v>
      </c>
      <c r="AG23" s="4">
        <v>0</v>
      </c>
    </row>
    <row r="24" spans="1:33" x14ac:dyDescent="0.3">
      <c r="A24" t="str">
        <f>BattleDungeonItem!A24</f>
        <v>ixkey18</v>
      </c>
      <c r="B24" t="str">
        <f>BattleDungeonItem!E24</f>
        <v>Gateway Generating Key</v>
      </c>
      <c r="C24" s="1" t="str">
        <f>BattleDungeonItem!C24</f>
        <v>A30D15</v>
      </c>
      <c r="D24" s="1">
        <f>BattleDungeonItem!D24</f>
        <v>2</v>
      </c>
      <c r="E24" s="1" t="str">
        <f>BattleDungeonItem!H24</f>
        <v>11111000</v>
      </c>
      <c r="F24" s="4">
        <v>23</v>
      </c>
      <c r="G24">
        <f>BattleDungeonItem!L24</f>
        <v>0</v>
      </c>
      <c r="H24" s="4">
        <v>0</v>
      </c>
      <c r="I24">
        <f>BattleDungeonItem!M24</f>
        <v>4500</v>
      </c>
      <c r="J24">
        <f>BattleDungeonItem!N24</f>
        <v>0</v>
      </c>
      <c r="K24">
        <f>BattleDungeonItem!O24</f>
        <v>0</v>
      </c>
      <c r="L24">
        <f>BattleDungeonItem!Q24</f>
        <v>0</v>
      </c>
      <c r="M24">
        <f>BattleDungeonItem!P24</f>
        <v>0</v>
      </c>
      <c r="N24">
        <f>BattleDungeonItem!R24</f>
        <v>100</v>
      </c>
      <c r="O24">
        <f>BattleDungeonItem!AD24</f>
        <v>1</v>
      </c>
      <c r="P24">
        <f>BattleDungeonItem!AC24</f>
        <v>1</v>
      </c>
      <c r="Q24">
        <f>BattleDungeonItem!AE24</f>
        <v>1</v>
      </c>
      <c r="R24">
        <f>BattleDungeonItem!AF24</f>
        <v>1</v>
      </c>
      <c r="S24" s="4">
        <v>21</v>
      </c>
      <c r="T24">
        <f>BattleDungeonItem!B24</f>
        <v>1</v>
      </c>
      <c r="U24" s="4">
        <v>0</v>
      </c>
      <c r="V24">
        <f>BattleDungeonItem!AJ24</f>
        <v>0</v>
      </c>
      <c r="W24" s="4">
        <v>0</v>
      </c>
      <c r="X24">
        <f>BattleDungeonItem!S24</f>
        <v>1</v>
      </c>
      <c r="Y24">
        <f>BattleDungeonItem!U24</f>
        <v>300</v>
      </c>
      <c r="Z24">
        <f>BattleDungeonItem!V24</f>
        <v>1</v>
      </c>
      <c r="AA24" s="1" t="str">
        <f>BattleDungeonItem!W24</f>
        <v>-1</v>
      </c>
      <c r="AB24">
        <f>BattleDungeonItem!X24</f>
        <v>300</v>
      </c>
      <c r="AC24" s="4">
        <v>0</v>
      </c>
      <c r="AD24">
        <f>BattleDungeonItem!AA24</f>
        <v>10000</v>
      </c>
      <c r="AE24">
        <f>BattleDungeonItem!AB24</f>
        <v>0</v>
      </c>
      <c r="AF24" s="4">
        <v>0</v>
      </c>
      <c r="AG24" s="4">
        <v>0</v>
      </c>
    </row>
    <row r="25" spans="1:33" x14ac:dyDescent="0.3">
      <c r="A25" t="str">
        <f>BattleDungeonItem!A25</f>
        <v>ixkey19</v>
      </c>
      <c r="B25" t="str">
        <f>BattleDungeonItem!E25</f>
        <v>Gateway Generating Key</v>
      </c>
      <c r="C25" s="1" t="str">
        <f>BattleDungeonItem!C25</f>
        <v>A30D16</v>
      </c>
      <c r="D25" s="1">
        <f>BattleDungeonItem!D25</f>
        <v>2</v>
      </c>
      <c r="E25" s="1" t="str">
        <f>BattleDungeonItem!H25</f>
        <v>11111000</v>
      </c>
      <c r="F25" s="4">
        <v>23</v>
      </c>
      <c r="G25">
        <f>BattleDungeonItem!L25</f>
        <v>0</v>
      </c>
      <c r="H25" s="4">
        <v>0</v>
      </c>
      <c r="I25">
        <f>BattleDungeonItem!M25</f>
        <v>4500</v>
      </c>
      <c r="J25">
        <f>BattleDungeonItem!N25</f>
        <v>0</v>
      </c>
      <c r="K25">
        <f>BattleDungeonItem!O25</f>
        <v>0</v>
      </c>
      <c r="L25">
        <f>BattleDungeonItem!Q25</f>
        <v>0</v>
      </c>
      <c r="M25">
        <f>BattleDungeonItem!P25</f>
        <v>0</v>
      </c>
      <c r="N25">
        <f>BattleDungeonItem!R25</f>
        <v>100</v>
      </c>
      <c r="O25">
        <f>BattleDungeonItem!AD25</f>
        <v>1</v>
      </c>
      <c r="P25">
        <f>BattleDungeonItem!AC25</f>
        <v>1</v>
      </c>
      <c r="Q25">
        <f>BattleDungeonItem!AE25</f>
        <v>1</v>
      </c>
      <c r="R25">
        <f>BattleDungeonItem!AF25</f>
        <v>1</v>
      </c>
      <c r="S25" s="4">
        <v>22</v>
      </c>
      <c r="T25">
        <f>BattleDungeonItem!B25</f>
        <v>1</v>
      </c>
      <c r="U25" s="4">
        <v>0</v>
      </c>
      <c r="V25">
        <f>BattleDungeonItem!AJ25</f>
        <v>0</v>
      </c>
      <c r="W25" s="4">
        <v>0</v>
      </c>
      <c r="X25">
        <f>BattleDungeonItem!S25</f>
        <v>1</v>
      </c>
      <c r="Y25">
        <f>BattleDungeonItem!U25</f>
        <v>300</v>
      </c>
      <c r="Z25">
        <f>BattleDungeonItem!V25</f>
        <v>1</v>
      </c>
      <c r="AA25" s="1" t="str">
        <f>BattleDungeonItem!W25</f>
        <v>-1</v>
      </c>
      <c r="AB25">
        <f>BattleDungeonItem!X25</f>
        <v>300</v>
      </c>
      <c r="AC25" s="4">
        <v>0</v>
      </c>
      <c r="AD25">
        <f>BattleDungeonItem!AA25</f>
        <v>10000</v>
      </c>
      <c r="AE25">
        <f>BattleDungeonItem!AB25</f>
        <v>0</v>
      </c>
      <c r="AF25" s="4">
        <v>0</v>
      </c>
      <c r="AG25" s="4">
        <v>0</v>
      </c>
    </row>
    <row r="26" spans="1:33" x14ac:dyDescent="0.3">
      <c r="A26" t="str">
        <f>BattleDungeonItem!A26</f>
        <v>ixkey20</v>
      </c>
      <c r="B26" t="str">
        <f>BattleDungeonItem!E26</f>
        <v>Gateway Generating Key</v>
      </c>
      <c r="C26" s="1" t="str">
        <f>BattleDungeonItem!C26</f>
        <v>A30D17</v>
      </c>
      <c r="D26" s="1">
        <f>BattleDungeonItem!D26</f>
        <v>2</v>
      </c>
      <c r="E26" s="1" t="str">
        <f>BattleDungeonItem!H26</f>
        <v>11111000</v>
      </c>
      <c r="F26" s="4">
        <v>23</v>
      </c>
      <c r="G26">
        <f>BattleDungeonItem!L26</f>
        <v>0</v>
      </c>
      <c r="H26" s="4">
        <v>0</v>
      </c>
      <c r="I26">
        <f>BattleDungeonItem!M26</f>
        <v>5000</v>
      </c>
      <c r="J26">
        <f>BattleDungeonItem!N26</f>
        <v>0</v>
      </c>
      <c r="K26">
        <f>BattleDungeonItem!O26</f>
        <v>0</v>
      </c>
      <c r="L26">
        <f>BattleDungeonItem!Q26</f>
        <v>0</v>
      </c>
      <c r="M26">
        <f>BattleDungeonItem!P26</f>
        <v>0</v>
      </c>
      <c r="N26">
        <f>BattleDungeonItem!R26</f>
        <v>100</v>
      </c>
      <c r="O26">
        <f>BattleDungeonItem!AD26</f>
        <v>1</v>
      </c>
      <c r="P26">
        <f>BattleDungeonItem!AC26</f>
        <v>1</v>
      </c>
      <c r="Q26">
        <f>BattleDungeonItem!AE26</f>
        <v>1</v>
      </c>
      <c r="R26">
        <f>BattleDungeonItem!AF26</f>
        <v>1</v>
      </c>
      <c r="S26" s="4">
        <v>23</v>
      </c>
      <c r="T26">
        <f>BattleDungeonItem!B26</f>
        <v>1</v>
      </c>
      <c r="U26" s="4">
        <v>0</v>
      </c>
      <c r="V26">
        <f>BattleDungeonItem!AJ26</f>
        <v>0</v>
      </c>
      <c r="W26" s="4">
        <v>0</v>
      </c>
      <c r="X26">
        <f>BattleDungeonItem!S26</f>
        <v>1</v>
      </c>
      <c r="Y26">
        <f>BattleDungeonItem!U26</f>
        <v>300</v>
      </c>
      <c r="Z26">
        <f>BattleDungeonItem!V26</f>
        <v>1</v>
      </c>
      <c r="AA26" s="1" t="str">
        <f>BattleDungeonItem!W26</f>
        <v>-1</v>
      </c>
      <c r="AB26">
        <f>BattleDungeonItem!X26</f>
        <v>300</v>
      </c>
      <c r="AC26" s="4">
        <v>0</v>
      </c>
      <c r="AD26">
        <f>BattleDungeonItem!AA26</f>
        <v>10000</v>
      </c>
      <c r="AE26">
        <f>BattleDungeonItem!AB26</f>
        <v>0</v>
      </c>
      <c r="AF26" s="4">
        <v>0</v>
      </c>
      <c r="AG26" s="4">
        <v>0</v>
      </c>
    </row>
    <row r="27" spans="1:33" x14ac:dyDescent="0.3">
      <c r="A27" t="str">
        <f>BattleDungeonItem!A27</f>
        <v>ixkey21</v>
      </c>
      <c r="B27" t="str">
        <f>BattleDungeonItem!E27</f>
        <v>Gateway Generating Key</v>
      </c>
      <c r="C27" s="1" t="str">
        <f>BattleDungeonItem!C27</f>
        <v>A30D18</v>
      </c>
      <c r="D27" s="1">
        <f>BattleDungeonItem!D27</f>
        <v>2</v>
      </c>
      <c r="E27" s="1" t="str">
        <f>BattleDungeonItem!H27</f>
        <v>11111000</v>
      </c>
      <c r="F27" s="4">
        <v>23</v>
      </c>
      <c r="G27">
        <f>BattleDungeonItem!L27</f>
        <v>0</v>
      </c>
      <c r="H27" s="4">
        <v>0</v>
      </c>
      <c r="I27">
        <f>BattleDungeonItem!M27</f>
        <v>5000</v>
      </c>
      <c r="J27">
        <f>BattleDungeonItem!N27</f>
        <v>0</v>
      </c>
      <c r="K27">
        <f>BattleDungeonItem!O27</f>
        <v>0</v>
      </c>
      <c r="L27">
        <f>BattleDungeonItem!Q27</f>
        <v>0</v>
      </c>
      <c r="M27">
        <f>BattleDungeonItem!P27</f>
        <v>0</v>
      </c>
      <c r="N27">
        <f>BattleDungeonItem!R27</f>
        <v>100</v>
      </c>
      <c r="O27">
        <f>BattleDungeonItem!AD27</f>
        <v>1</v>
      </c>
      <c r="P27">
        <f>BattleDungeonItem!AC27</f>
        <v>1</v>
      </c>
      <c r="Q27">
        <f>BattleDungeonItem!AE27</f>
        <v>1</v>
      </c>
      <c r="R27">
        <f>BattleDungeonItem!AF27</f>
        <v>1</v>
      </c>
      <c r="S27" s="4">
        <v>24</v>
      </c>
      <c r="T27">
        <f>BattleDungeonItem!B27</f>
        <v>0</v>
      </c>
      <c r="U27" s="4">
        <v>0</v>
      </c>
      <c r="V27">
        <f>BattleDungeonItem!AJ27</f>
        <v>0</v>
      </c>
      <c r="W27" s="4">
        <v>0</v>
      </c>
      <c r="X27">
        <f>BattleDungeonItem!S27</f>
        <v>1</v>
      </c>
      <c r="Y27">
        <f>BattleDungeonItem!U27</f>
        <v>300</v>
      </c>
      <c r="Z27">
        <f>BattleDungeonItem!V27</f>
        <v>1</v>
      </c>
      <c r="AA27" s="1" t="str">
        <f>BattleDungeonItem!W27</f>
        <v>-1</v>
      </c>
      <c r="AB27">
        <f>BattleDungeonItem!X27</f>
        <v>300</v>
      </c>
      <c r="AC27" s="4">
        <v>0</v>
      </c>
      <c r="AD27">
        <f>BattleDungeonItem!AA27</f>
        <v>10000</v>
      </c>
      <c r="AE27">
        <f>BattleDungeonItem!AB27</f>
        <v>0</v>
      </c>
      <c r="AF27" s="4">
        <v>0</v>
      </c>
      <c r="AG27" s="4">
        <v>0</v>
      </c>
    </row>
    <row r="28" spans="1:33" x14ac:dyDescent="0.3">
      <c r="A28" t="str">
        <f>BattleDungeonItem!A28</f>
        <v>ixkey22</v>
      </c>
      <c r="B28" t="str">
        <f>BattleDungeonItem!E28</f>
        <v>Gateway Generating Key</v>
      </c>
      <c r="C28" s="1" t="str">
        <f>BattleDungeonItem!C28</f>
        <v>A30D19</v>
      </c>
      <c r="D28" s="1">
        <f>BattleDungeonItem!D28</f>
        <v>2</v>
      </c>
      <c r="E28" s="1" t="str">
        <f>BattleDungeonItem!H28</f>
        <v>11111000</v>
      </c>
      <c r="F28" s="4">
        <v>23</v>
      </c>
      <c r="G28">
        <f>BattleDungeonItem!L28</f>
        <v>0</v>
      </c>
      <c r="H28" s="4">
        <v>0</v>
      </c>
      <c r="I28">
        <f>BattleDungeonItem!M28</f>
        <v>5000</v>
      </c>
      <c r="J28">
        <f>BattleDungeonItem!N28</f>
        <v>0</v>
      </c>
      <c r="K28">
        <f>BattleDungeonItem!O28</f>
        <v>0</v>
      </c>
      <c r="L28">
        <f>BattleDungeonItem!Q28</f>
        <v>0</v>
      </c>
      <c r="M28">
        <f>BattleDungeonItem!P28</f>
        <v>0</v>
      </c>
      <c r="N28">
        <f>BattleDungeonItem!R28</f>
        <v>100</v>
      </c>
      <c r="O28">
        <f>BattleDungeonItem!AD28</f>
        <v>1</v>
      </c>
      <c r="P28">
        <f>BattleDungeonItem!AC28</f>
        <v>1</v>
      </c>
      <c r="Q28">
        <f>BattleDungeonItem!AE28</f>
        <v>1</v>
      </c>
      <c r="R28">
        <f>BattleDungeonItem!AF28</f>
        <v>1</v>
      </c>
      <c r="S28" s="4">
        <v>25</v>
      </c>
      <c r="T28">
        <f>BattleDungeonItem!B28</f>
        <v>0</v>
      </c>
      <c r="U28" s="4">
        <v>0</v>
      </c>
      <c r="V28">
        <f>BattleDungeonItem!AJ28</f>
        <v>0</v>
      </c>
      <c r="W28" s="4">
        <v>0</v>
      </c>
      <c r="X28">
        <f>BattleDungeonItem!S28</f>
        <v>1</v>
      </c>
      <c r="Y28">
        <f>BattleDungeonItem!U28</f>
        <v>300</v>
      </c>
      <c r="Z28">
        <f>BattleDungeonItem!V28</f>
        <v>1</v>
      </c>
      <c r="AA28" s="1" t="str">
        <f>BattleDungeonItem!W28</f>
        <v>-1</v>
      </c>
      <c r="AB28">
        <f>BattleDungeonItem!X28</f>
        <v>300</v>
      </c>
      <c r="AC28" s="4">
        <v>0</v>
      </c>
      <c r="AD28">
        <f>BattleDungeonItem!AA28</f>
        <v>10000</v>
      </c>
      <c r="AE28">
        <f>BattleDungeonItem!AB28</f>
        <v>0</v>
      </c>
      <c r="AF28" s="4">
        <v>0</v>
      </c>
      <c r="AG28" s="4">
        <v>0</v>
      </c>
    </row>
    <row r="29" spans="1:33" x14ac:dyDescent="0.3">
      <c r="A29" t="str">
        <f>BattleDungeonItem!A29</f>
        <v>ixkey23</v>
      </c>
      <c r="B29" t="str">
        <f>BattleDungeonItem!E29</f>
        <v>Gateway Generating Key</v>
      </c>
      <c r="C29" s="1" t="str">
        <f>BattleDungeonItem!C29</f>
        <v>A30D1A</v>
      </c>
      <c r="D29" s="1">
        <f>BattleDungeonItem!D29</f>
        <v>2</v>
      </c>
      <c r="E29" s="1" t="str">
        <f>BattleDungeonItem!H29</f>
        <v>11111000</v>
      </c>
      <c r="F29" s="4">
        <v>23</v>
      </c>
      <c r="G29">
        <f>BattleDungeonItem!L29</f>
        <v>0</v>
      </c>
      <c r="H29" s="4">
        <v>0</v>
      </c>
      <c r="I29">
        <f>BattleDungeonItem!M29</f>
        <v>5000</v>
      </c>
      <c r="J29">
        <f>BattleDungeonItem!N29</f>
        <v>0</v>
      </c>
      <c r="K29">
        <f>BattleDungeonItem!O29</f>
        <v>0</v>
      </c>
      <c r="L29">
        <f>BattleDungeonItem!Q29</f>
        <v>0</v>
      </c>
      <c r="M29">
        <f>BattleDungeonItem!P29</f>
        <v>0</v>
      </c>
      <c r="N29">
        <f>BattleDungeonItem!R29</f>
        <v>100</v>
      </c>
      <c r="O29">
        <f>BattleDungeonItem!AD29</f>
        <v>1</v>
      </c>
      <c r="P29">
        <f>BattleDungeonItem!AC29</f>
        <v>1</v>
      </c>
      <c r="Q29">
        <f>BattleDungeonItem!AE29</f>
        <v>1</v>
      </c>
      <c r="R29">
        <f>BattleDungeonItem!AF29</f>
        <v>1</v>
      </c>
      <c r="S29" s="4">
        <v>26</v>
      </c>
      <c r="T29">
        <f>BattleDungeonItem!B29</f>
        <v>0</v>
      </c>
      <c r="U29" s="4">
        <v>0</v>
      </c>
      <c r="V29">
        <f>BattleDungeonItem!AJ29</f>
        <v>0</v>
      </c>
      <c r="W29" s="4">
        <v>0</v>
      </c>
      <c r="X29">
        <f>BattleDungeonItem!S29</f>
        <v>1</v>
      </c>
      <c r="Y29">
        <f>BattleDungeonItem!U29</f>
        <v>300</v>
      </c>
      <c r="Z29">
        <f>BattleDungeonItem!V29</f>
        <v>1</v>
      </c>
      <c r="AA29" s="1" t="str">
        <f>BattleDungeonItem!W29</f>
        <v>-1</v>
      </c>
      <c r="AB29">
        <f>BattleDungeonItem!X29</f>
        <v>300</v>
      </c>
      <c r="AC29" s="4">
        <v>0</v>
      </c>
      <c r="AD29">
        <f>BattleDungeonItem!AA29</f>
        <v>10000</v>
      </c>
      <c r="AE29">
        <f>BattleDungeonItem!AB29</f>
        <v>0</v>
      </c>
      <c r="AF29" s="4">
        <v>0</v>
      </c>
      <c r="AG29" s="4">
        <v>0</v>
      </c>
    </row>
    <row r="30" spans="1:33" x14ac:dyDescent="0.3">
      <c r="A30" t="str">
        <f>BattleDungeonItem!A30</f>
        <v>ixkey24</v>
      </c>
      <c r="B30" t="str">
        <f>BattleDungeonItem!E30</f>
        <v>Gateway Generating Key</v>
      </c>
      <c r="C30" s="1" t="str">
        <f>BattleDungeonItem!C30</f>
        <v>A30D1B</v>
      </c>
      <c r="D30" s="1">
        <f>BattleDungeonItem!D30</f>
        <v>2</v>
      </c>
      <c r="E30" s="1" t="str">
        <f>BattleDungeonItem!H30</f>
        <v>11111000</v>
      </c>
      <c r="F30" s="4">
        <v>23</v>
      </c>
      <c r="G30">
        <f>BattleDungeonItem!L30</f>
        <v>0</v>
      </c>
      <c r="H30" s="4">
        <v>0</v>
      </c>
      <c r="I30">
        <f>BattleDungeonItem!M30</f>
        <v>5000</v>
      </c>
      <c r="J30">
        <f>BattleDungeonItem!N30</f>
        <v>0</v>
      </c>
      <c r="K30">
        <f>BattleDungeonItem!O30</f>
        <v>0</v>
      </c>
      <c r="L30">
        <f>BattleDungeonItem!Q30</f>
        <v>0</v>
      </c>
      <c r="M30">
        <f>BattleDungeonItem!P30</f>
        <v>0</v>
      </c>
      <c r="N30">
        <f>BattleDungeonItem!R30</f>
        <v>100</v>
      </c>
      <c r="O30">
        <f>BattleDungeonItem!AD30</f>
        <v>1</v>
      </c>
      <c r="P30">
        <f>BattleDungeonItem!AC30</f>
        <v>1</v>
      </c>
      <c r="Q30">
        <f>BattleDungeonItem!AE30</f>
        <v>1</v>
      </c>
      <c r="R30">
        <f>BattleDungeonItem!AF30</f>
        <v>1</v>
      </c>
      <c r="S30" s="4">
        <v>27</v>
      </c>
      <c r="T30">
        <f>BattleDungeonItem!B30</f>
        <v>0</v>
      </c>
      <c r="U30" s="4">
        <v>0</v>
      </c>
      <c r="V30">
        <f>BattleDungeonItem!AJ30</f>
        <v>0</v>
      </c>
      <c r="W30" s="4">
        <v>0</v>
      </c>
      <c r="X30">
        <f>BattleDungeonItem!S30</f>
        <v>1</v>
      </c>
      <c r="Y30">
        <f>BattleDungeonItem!U30</f>
        <v>300</v>
      </c>
      <c r="Z30">
        <f>BattleDungeonItem!V30</f>
        <v>1</v>
      </c>
      <c r="AA30" s="1" t="str">
        <f>BattleDungeonItem!W30</f>
        <v>-1</v>
      </c>
      <c r="AB30">
        <f>BattleDungeonItem!X30</f>
        <v>300</v>
      </c>
      <c r="AC30" s="4">
        <v>0</v>
      </c>
      <c r="AD30">
        <f>BattleDungeonItem!AA30</f>
        <v>10000</v>
      </c>
      <c r="AE30">
        <f>BattleDungeonItem!AB30</f>
        <v>0</v>
      </c>
      <c r="AF30" s="4">
        <v>0</v>
      </c>
      <c r="AG30" s="4">
        <v>0</v>
      </c>
    </row>
    <row r="31" spans="1:33" x14ac:dyDescent="0.3">
      <c r="A31" t="str">
        <f>BattleDungeonItem!A31</f>
        <v>ixkey25</v>
      </c>
      <c r="B31" t="str">
        <f>BattleDungeonItem!E31</f>
        <v>Gateway Generating Key</v>
      </c>
      <c r="C31" s="1" t="str">
        <f>BattleDungeonItem!C31</f>
        <v>A30D1C</v>
      </c>
      <c r="D31" s="1">
        <f>BattleDungeonItem!D31</f>
        <v>3</v>
      </c>
      <c r="E31" s="1" t="str">
        <f>BattleDungeonItem!H31</f>
        <v>11111000</v>
      </c>
      <c r="F31" s="4">
        <v>23</v>
      </c>
      <c r="G31">
        <f>BattleDungeonItem!L31</f>
        <v>0</v>
      </c>
      <c r="H31" s="4">
        <v>0</v>
      </c>
      <c r="I31">
        <f>BattleDungeonItem!M31</f>
        <v>10000</v>
      </c>
      <c r="J31">
        <f>BattleDungeonItem!N31</f>
        <v>0</v>
      </c>
      <c r="K31">
        <f>BattleDungeonItem!O31</f>
        <v>0</v>
      </c>
      <c r="L31">
        <f>BattleDungeonItem!Q31</f>
        <v>0</v>
      </c>
      <c r="M31">
        <f>BattleDungeonItem!P31</f>
        <v>0</v>
      </c>
      <c r="N31">
        <f>BattleDungeonItem!R31</f>
        <v>100</v>
      </c>
      <c r="O31">
        <f>BattleDungeonItem!AD31</f>
        <v>1</v>
      </c>
      <c r="P31">
        <f>BattleDungeonItem!AC31</f>
        <v>1</v>
      </c>
      <c r="Q31">
        <f>BattleDungeonItem!AE31</f>
        <v>1</v>
      </c>
      <c r="R31">
        <f>BattleDungeonItem!AF31</f>
        <v>1</v>
      </c>
      <c r="S31" s="4">
        <v>28</v>
      </c>
      <c r="T31">
        <f>BattleDungeonItem!B31</f>
        <v>0</v>
      </c>
      <c r="U31" s="4">
        <v>0</v>
      </c>
      <c r="V31">
        <f>BattleDungeonItem!AJ31</f>
        <v>0</v>
      </c>
      <c r="W31" s="4">
        <v>0</v>
      </c>
      <c r="X31">
        <f>BattleDungeonItem!S31</f>
        <v>1</v>
      </c>
      <c r="Y31">
        <f>BattleDungeonItem!U31</f>
        <v>300</v>
      </c>
      <c r="Z31">
        <f>BattleDungeonItem!V31</f>
        <v>1</v>
      </c>
      <c r="AA31" s="1" t="str">
        <f>BattleDungeonItem!W31</f>
        <v>-1</v>
      </c>
      <c r="AB31">
        <f>BattleDungeonItem!X31</f>
        <v>300</v>
      </c>
      <c r="AC31" s="4">
        <v>0</v>
      </c>
      <c r="AD31">
        <f>BattleDungeonItem!AA31</f>
        <v>10000</v>
      </c>
      <c r="AE31">
        <f>BattleDungeonItem!AB31</f>
        <v>0</v>
      </c>
      <c r="AF31" s="4">
        <v>0</v>
      </c>
      <c r="AG31" s="4">
        <v>0</v>
      </c>
    </row>
    <row r="32" spans="1:33" x14ac:dyDescent="0.3">
      <c r="A32" t="str">
        <f>BattleDungeonItem!A32</f>
        <v>ixkey26</v>
      </c>
      <c r="B32" t="str">
        <f>BattleDungeonItem!E32</f>
        <v>Gateway Generating Key</v>
      </c>
      <c r="C32" s="1" t="str">
        <f>BattleDungeonItem!C32</f>
        <v>A30D1D</v>
      </c>
      <c r="D32" s="1">
        <f>BattleDungeonItem!D32</f>
        <v>3</v>
      </c>
      <c r="E32" s="1" t="str">
        <f>BattleDungeonItem!H32</f>
        <v>11111000</v>
      </c>
      <c r="F32" s="4">
        <v>23</v>
      </c>
      <c r="G32">
        <f>BattleDungeonItem!L32</f>
        <v>0</v>
      </c>
      <c r="H32" s="4">
        <v>0</v>
      </c>
      <c r="I32">
        <f>BattleDungeonItem!M32</f>
        <v>10000</v>
      </c>
      <c r="J32">
        <f>BattleDungeonItem!N32</f>
        <v>0</v>
      </c>
      <c r="K32">
        <f>BattleDungeonItem!O32</f>
        <v>0</v>
      </c>
      <c r="L32">
        <f>BattleDungeonItem!Q32</f>
        <v>0</v>
      </c>
      <c r="M32">
        <f>BattleDungeonItem!P32</f>
        <v>0</v>
      </c>
      <c r="N32">
        <f>BattleDungeonItem!R32</f>
        <v>100</v>
      </c>
      <c r="O32">
        <f>BattleDungeonItem!AD32</f>
        <v>1</v>
      </c>
      <c r="P32">
        <f>BattleDungeonItem!AC32</f>
        <v>1</v>
      </c>
      <c r="Q32">
        <f>BattleDungeonItem!AE32</f>
        <v>1</v>
      </c>
      <c r="R32">
        <f>BattleDungeonItem!AF32</f>
        <v>1</v>
      </c>
      <c r="S32" s="4">
        <v>29</v>
      </c>
      <c r="T32">
        <f>BattleDungeonItem!B32</f>
        <v>0</v>
      </c>
      <c r="U32" s="4">
        <v>0</v>
      </c>
      <c r="V32">
        <f>BattleDungeonItem!AJ32</f>
        <v>0</v>
      </c>
      <c r="W32" s="4">
        <v>0</v>
      </c>
      <c r="X32">
        <f>BattleDungeonItem!S32</f>
        <v>1</v>
      </c>
      <c r="Y32">
        <f>BattleDungeonItem!U32</f>
        <v>300</v>
      </c>
      <c r="Z32">
        <f>BattleDungeonItem!V32</f>
        <v>1</v>
      </c>
      <c r="AA32" s="1" t="str">
        <f>BattleDungeonItem!W32</f>
        <v>-1</v>
      </c>
      <c r="AB32">
        <f>BattleDungeonItem!X32</f>
        <v>300</v>
      </c>
      <c r="AC32" s="4">
        <v>0</v>
      </c>
      <c r="AD32">
        <f>BattleDungeonItem!AA32</f>
        <v>10000</v>
      </c>
      <c r="AE32">
        <f>BattleDungeonItem!AB32</f>
        <v>0</v>
      </c>
      <c r="AF32" s="4">
        <v>0</v>
      </c>
      <c r="AG32" s="4">
        <v>0</v>
      </c>
    </row>
    <row r="33" spans="1:33" x14ac:dyDescent="0.3">
      <c r="A33" t="str">
        <f>BattleDungeonItem!A33</f>
        <v>ixkey27</v>
      </c>
      <c r="B33" t="str">
        <f>BattleDungeonItem!E33</f>
        <v>Gateway Generating Key</v>
      </c>
      <c r="C33" s="1" t="str">
        <f>BattleDungeonItem!C33</f>
        <v>A30D1E</v>
      </c>
      <c r="D33" s="1">
        <f>BattleDungeonItem!D33</f>
        <v>3</v>
      </c>
      <c r="E33" s="1" t="str">
        <f>BattleDungeonItem!H33</f>
        <v>11111000</v>
      </c>
      <c r="F33" s="4">
        <v>23</v>
      </c>
      <c r="G33">
        <f>BattleDungeonItem!L33</f>
        <v>0</v>
      </c>
      <c r="H33" s="4">
        <v>0</v>
      </c>
      <c r="I33">
        <f>BattleDungeonItem!M33</f>
        <v>10000</v>
      </c>
      <c r="J33">
        <f>BattleDungeonItem!N33</f>
        <v>0</v>
      </c>
      <c r="K33">
        <f>BattleDungeonItem!O33</f>
        <v>0</v>
      </c>
      <c r="L33">
        <f>BattleDungeonItem!Q33</f>
        <v>0</v>
      </c>
      <c r="M33">
        <f>BattleDungeonItem!P33</f>
        <v>0</v>
      </c>
      <c r="N33">
        <f>BattleDungeonItem!R33</f>
        <v>100</v>
      </c>
      <c r="O33">
        <f>BattleDungeonItem!AD33</f>
        <v>1</v>
      </c>
      <c r="P33">
        <f>BattleDungeonItem!AC33</f>
        <v>1</v>
      </c>
      <c r="Q33">
        <f>BattleDungeonItem!AE33</f>
        <v>1</v>
      </c>
      <c r="R33">
        <f>BattleDungeonItem!AF33</f>
        <v>1</v>
      </c>
      <c r="S33" s="4">
        <v>30</v>
      </c>
      <c r="T33">
        <f>BattleDungeonItem!B33</f>
        <v>0</v>
      </c>
      <c r="U33" s="4">
        <v>0</v>
      </c>
      <c r="V33">
        <f>BattleDungeonItem!AJ33</f>
        <v>0</v>
      </c>
      <c r="W33" s="4">
        <v>0</v>
      </c>
      <c r="X33">
        <f>BattleDungeonItem!S33</f>
        <v>1</v>
      </c>
      <c r="Y33">
        <f>BattleDungeonItem!U33</f>
        <v>300</v>
      </c>
      <c r="Z33">
        <f>BattleDungeonItem!V33</f>
        <v>1</v>
      </c>
      <c r="AA33" s="1" t="str">
        <f>BattleDungeonItem!W33</f>
        <v>-1</v>
      </c>
      <c r="AB33">
        <f>BattleDungeonItem!X33</f>
        <v>300</v>
      </c>
      <c r="AC33" s="4">
        <v>0</v>
      </c>
      <c r="AD33">
        <f>BattleDungeonItem!AA33</f>
        <v>10000</v>
      </c>
      <c r="AE33">
        <f>BattleDungeonItem!AB33</f>
        <v>0</v>
      </c>
      <c r="AF33" s="4">
        <v>0</v>
      </c>
      <c r="AG33" s="4">
        <v>0</v>
      </c>
    </row>
    <row r="34" spans="1:33" x14ac:dyDescent="0.3">
      <c r="A34" t="str">
        <f>BattleDungeonItem!A34</f>
        <v>ixkey28</v>
      </c>
      <c r="B34" t="str">
        <f>BattleDungeonItem!E34</f>
        <v>Gateway Generating Key</v>
      </c>
      <c r="C34" s="1" t="str">
        <f>BattleDungeonItem!C34</f>
        <v>A30D1F</v>
      </c>
      <c r="D34" s="1">
        <f>BattleDungeonItem!D34</f>
        <v>3</v>
      </c>
      <c r="E34" s="1" t="str">
        <f>BattleDungeonItem!H34</f>
        <v>11111000</v>
      </c>
      <c r="F34" s="4">
        <v>23</v>
      </c>
      <c r="G34">
        <f>BattleDungeonItem!L34</f>
        <v>0</v>
      </c>
      <c r="H34" s="4">
        <v>0</v>
      </c>
      <c r="I34">
        <f>BattleDungeonItem!M34</f>
        <v>10000</v>
      </c>
      <c r="J34">
        <f>BattleDungeonItem!N34</f>
        <v>0</v>
      </c>
      <c r="K34">
        <f>BattleDungeonItem!O34</f>
        <v>0</v>
      </c>
      <c r="L34">
        <f>BattleDungeonItem!Q34</f>
        <v>0</v>
      </c>
      <c r="M34">
        <f>BattleDungeonItem!P34</f>
        <v>0</v>
      </c>
      <c r="N34">
        <f>BattleDungeonItem!R34</f>
        <v>100</v>
      </c>
      <c r="O34">
        <f>BattleDungeonItem!AD34</f>
        <v>1</v>
      </c>
      <c r="P34">
        <f>BattleDungeonItem!AC34</f>
        <v>1</v>
      </c>
      <c r="Q34">
        <f>BattleDungeonItem!AE34</f>
        <v>1</v>
      </c>
      <c r="R34">
        <f>BattleDungeonItem!AF34</f>
        <v>1</v>
      </c>
      <c r="S34" s="4">
        <v>31</v>
      </c>
      <c r="T34">
        <f>BattleDungeonItem!B34</f>
        <v>0</v>
      </c>
      <c r="U34" s="4">
        <v>0</v>
      </c>
      <c r="V34">
        <f>BattleDungeonItem!AJ34</f>
        <v>0</v>
      </c>
      <c r="W34" s="4">
        <v>0</v>
      </c>
      <c r="X34">
        <f>BattleDungeonItem!S34</f>
        <v>1</v>
      </c>
      <c r="Y34">
        <f>BattleDungeonItem!U34</f>
        <v>300</v>
      </c>
      <c r="Z34">
        <f>BattleDungeonItem!V34</f>
        <v>1</v>
      </c>
      <c r="AA34" s="1" t="str">
        <f>BattleDungeonItem!W34</f>
        <v>-1</v>
      </c>
      <c r="AB34">
        <f>BattleDungeonItem!X34</f>
        <v>300</v>
      </c>
      <c r="AC34" s="4">
        <v>0</v>
      </c>
      <c r="AD34">
        <f>BattleDungeonItem!AA34</f>
        <v>10000</v>
      </c>
      <c r="AE34">
        <f>BattleDungeonItem!AB34</f>
        <v>0</v>
      </c>
      <c r="AF34" s="4">
        <v>0</v>
      </c>
      <c r="AG34" s="4">
        <v>0</v>
      </c>
    </row>
    <row r="35" spans="1:33" x14ac:dyDescent="0.3">
      <c r="A35" t="str">
        <f>BattleDungeonItem!A35</f>
        <v>ixkey29</v>
      </c>
      <c r="B35" t="str">
        <f>BattleDungeonItem!E35</f>
        <v>Gateway Generating Key</v>
      </c>
      <c r="C35" s="1" t="str">
        <f>BattleDungeonItem!C35</f>
        <v>A30D20</v>
      </c>
      <c r="D35" s="1">
        <f>BattleDungeonItem!D35</f>
        <v>3</v>
      </c>
      <c r="E35" s="1" t="str">
        <f>BattleDungeonItem!H35</f>
        <v>11111000</v>
      </c>
      <c r="F35" s="4">
        <v>23</v>
      </c>
      <c r="G35">
        <f>BattleDungeonItem!L35</f>
        <v>0</v>
      </c>
      <c r="H35" s="4">
        <v>0</v>
      </c>
      <c r="I35">
        <f>BattleDungeonItem!M35</f>
        <v>10000</v>
      </c>
      <c r="J35">
        <f>BattleDungeonItem!N35</f>
        <v>0</v>
      </c>
      <c r="K35">
        <f>BattleDungeonItem!O35</f>
        <v>0</v>
      </c>
      <c r="L35">
        <f>BattleDungeonItem!Q35</f>
        <v>0</v>
      </c>
      <c r="M35">
        <f>BattleDungeonItem!P35</f>
        <v>0</v>
      </c>
      <c r="N35">
        <f>BattleDungeonItem!R35</f>
        <v>100</v>
      </c>
      <c r="O35">
        <f>BattleDungeonItem!AD35</f>
        <v>1</v>
      </c>
      <c r="P35">
        <f>BattleDungeonItem!AC35</f>
        <v>1</v>
      </c>
      <c r="Q35">
        <f>BattleDungeonItem!AE35</f>
        <v>1</v>
      </c>
      <c r="R35">
        <f>BattleDungeonItem!AF35</f>
        <v>1</v>
      </c>
      <c r="S35" s="4">
        <v>32</v>
      </c>
      <c r="T35">
        <f>BattleDungeonItem!B35</f>
        <v>0</v>
      </c>
      <c r="U35" s="4">
        <v>0</v>
      </c>
      <c r="V35">
        <f>BattleDungeonItem!AJ35</f>
        <v>0</v>
      </c>
      <c r="W35" s="4">
        <v>0</v>
      </c>
      <c r="X35">
        <f>BattleDungeonItem!S35</f>
        <v>1</v>
      </c>
      <c r="Y35">
        <f>BattleDungeonItem!U35</f>
        <v>300</v>
      </c>
      <c r="Z35">
        <f>BattleDungeonItem!V35</f>
        <v>1</v>
      </c>
      <c r="AA35" s="1" t="str">
        <f>BattleDungeonItem!W35</f>
        <v>-1</v>
      </c>
      <c r="AB35">
        <f>BattleDungeonItem!X35</f>
        <v>300</v>
      </c>
      <c r="AC35" s="4">
        <v>0</v>
      </c>
      <c r="AD35">
        <f>BattleDungeonItem!AA35</f>
        <v>10000</v>
      </c>
      <c r="AE35">
        <f>BattleDungeonItem!AB35</f>
        <v>0</v>
      </c>
      <c r="AF35" s="4">
        <v>0</v>
      </c>
      <c r="AG35" s="4">
        <v>0</v>
      </c>
    </row>
    <row r="36" spans="1:33" x14ac:dyDescent="0.3">
      <c r="A36" t="str">
        <f>BattleDungeonItem!A36</f>
        <v>ixkey30</v>
      </c>
      <c r="B36" t="str">
        <f>BattleDungeonItem!E36</f>
        <v>Gateway Generating Key</v>
      </c>
      <c r="C36" s="1" t="str">
        <f>BattleDungeonItem!C36</f>
        <v>A30D21</v>
      </c>
      <c r="D36" s="1">
        <f>BattleDungeonItem!D36</f>
        <v>3</v>
      </c>
      <c r="E36" s="1" t="str">
        <f>BattleDungeonItem!H36</f>
        <v>11111000</v>
      </c>
      <c r="F36" s="4">
        <v>23</v>
      </c>
      <c r="G36">
        <f>BattleDungeonItem!L36</f>
        <v>0</v>
      </c>
      <c r="H36" s="4">
        <v>0</v>
      </c>
      <c r="I36">
        <f>BattleDungeonItem!M36</f>
        <v>10000</v>
      </c>
      <c r="J36">
        <f>BattleDungeonItem!N36</f>
        <v>0</v>
      </c>
      <c r="K36">
        <f>BattleDungeonItem!O36</f>
        <v>0</v>
      </c>
      <c r="L36">
        <f>BattleDungeonItem!Q36</f>
        <v>0</v>
      </c>
      <c r="M36">
        <f>BattleDungeonItem!P36</f>
        <v>0</v>
      </c>
      <c r="N36">
        <f>BattleDungeonItem!R36</f>
        <v>100</v>
      </c>
      <c r="O36">
        <f>BattleDungeonItem!AD36</f>
        <v>1</v>
      </c>
      <c r="P36">
        <f>BattleDungeonItem!AC36</f>
        <v>1</v>
      </c>
      <c r="Q36">
        <f>BattleDungeonItem!AE36</f>
        <v>1</v>
      </c>
      <c r="R36">
        <f>BattleDungeonItem!AF36</f>
        <v>1</v>
      </c>
      <c r="S36" s="4">
        <v>33</v>
      </c>
      <c r="T36">
        <f>BattleDungeonItem!B36</f>
        <v>0</v>
      </c>
      <c r="U36" s="4">
        <v>0</v>
      </c>
      <c r="V36">
        <f>BattleDungeonItem!AJ36</f>
        <v>0</v>
      </c>
      <c r="W36" s="4">
        <v>0</v>
      </c>
      <c r="X36">
        <f>BattleDungeonItem!S36</f>
        <v>1</v>
      </c>
      <c r="Y36">
        <f>BattleDungeonItem!U36</f>
        <v>300</v>
      </c>
      <c r="Z36">
        <f>BattleDungeonItem!V36</f>
        <v>1</v>
      </c>
      <c r="AA36" s="1" t="str">
        <f>BattleDungeonItem!W36</f>
        <v>-1</v>
      </c>
      <c r="AB36">
        <f>BattleDungeonItem!X36</f>
        <v>300</v>
      </c>
      <c r="AC36" s="4">
        <v>0</v>
      </c>
      <c r="AD36">
        <f>BattleDungeonItem!AA36</f>
        <v>10000</v>
      </c>
      <c r="AE36">
        <f>BattleDungeonItem!AB36</f>
        <v>0</v>
      </c>
      <c r="AF36" s="4">
        <v>0</v>
      </c>
      <c r="AG36" s="4">
        <v>0</v>
      </c>
    </row>
    <row r="37" spans="1:33" x14ac:dyDescent="0.3">
      <c r="A37" t="str">
        <f>BattleDungeonItem!A37</f>
        <v>ixkey31</v>
      </c>
      <c r="B37" t="str">
        <f>BattleDungeonItem!E37</f>
        <v>Ancient Gateway Key</v>
      </c>
      <c r="C37" s="1" t="str">
        <f>BattleDungeonItem!C37</f>
        <v>A30D22</v>
      </c>
      <c r="D37" s="1">
        <f>BattleDungeonItem!D37</f>
        <v>6</v>
      </c>
      <c r="E37" s="1" t="str">
        <f>BattleDungeonItem!H37</f>
        <v>11111000</v>
      </c>
      <c r="F37" s="4">
        <v>23</v>
      </c>
      <c r="G37">
        <f>BattleDungeonItem!L37</f>
        <v>2</v>
      </c>
      <c r="H37" s="4">
        <v>0</v>
      </c>
      <c r="I37">
        <f>BattleDungeonItem!M37</f>
        <v>10000</v>
      </c>
      <c r="J37">
        <f>BattleDungeonItem!N37</f>
        <v>225000</v>
      </c>
      <c r="K37">
        <f>BattleDungeonItem!O37</f>
        <v>0</v>
      </c>
      <c r="L37">
        <f>BattleDungeonItem!Q37</f>
        <v>0</v>
      </c>
      <c r="M37">
        <f>BattleDungeonItem!P37</f>
        <v>0</v>
      </c>
      <c r="N37">
        <f>BattleDungeonItem!R37</f>
        <v>100</v>
      </c>
      <c r="O37">
        <f>BattleDungeonItem!AD37</f>
        <v>1</v>
      </c>
      <c r="P37">
        <f>BattleDungeonItem!AC37</f>
        <v>1</v>
      </c>
      <c r="Q37">
        <f>BattleDungeonItem!AE37</f>
        <v>1</v>
      </c>
      <c r="R37">
        <f>BattleDungeonItem!AF37</f>
        <v>1</v>
      </c>
      <c r="S37" s="4">
        <v>34</v>
      </c>
      <c r="T37">
        <f>BattleDungeonItem!B37</f>
        <v>1</v>
      </c>
      <c r="U37" s="4">
        <v>0</v>
      </c>
      <c r="V37">
        <f>BattleDungeonItem!AJ37</f>
        <v>0</v>
      </c>
      <c r="W37" s="4">
        <v>0</v>
      </c>
      <c r="X37">
        <f>BattleDungeonItem!S37</f>
        <v>1</v>
      </c>
      <c r="Y37">
        <f>BattleDungeonItem!U37</f>
        <v>300</v>
      </c>
      <c r="Z37">
        <f>BattleDungeonItem!V37</f>
        <v>1</v>
      </c>
      <c r="AA37" s="1" t="str">
        <f>BattleDungeonItem!W37</f>
        <v>-1</v>
      </c>
      <c r="AB37">
        <f>BattleDungeonItem!X37</f>
        <v>300</v>
      </c>
      <c r="AC37" s="4">
        <v>0</v>
      </c>
      <c r="AD37">
        <f>BattleDungeonItem!AA37</f>
        <v>10000</v>
      </c>
      <c r="AE37">
        <f>BattleDungeonItem!AB37</f>
        <v>0</v>
      </c>
      <c r="AF37" s="4">
        <v>0</v>
      </c>
      <c r="AG37" s="4">
        <v>0</v>
      </c>
    </row>
    <row r="38" spans="1:33" x14ac:dyDescent="0.3">
      <c r="A38" t="str">
        <f>BattleDungeonItem!A38</f>
        <v>ixkey32</v>
      </c>
      <c r="B38" t="str">
        <f>BattleDungeonItem!E38</f>
        <v>Shiny Saint Gateway Key</v>
      </c>
      <c r="C38" s="1" t="str">
        <f>BattleDungeonItem!C38</f>
        <v>A30D23</v>
      </c>
      <c r="D38" s="1">
        <f>BattleDungeonItem!D38</f>
        <v>5</v>
      </c>
      <c r="E38" s="1" t="str">
        <f>BattleDungeonItem!H38</f>
        <v>11111000</v>
      </c>
      <c r="F38" s="4">
        <v>23</v>
      </c>
      <c r="G38">
        <f>BattleDungeonItem!L38</f>
        <v>2</v>
      </c>
      <c r="H38" s="4">
        <v>0</v>
      </c>
      <c r="I38">
        <f>BattleDungeonItem!M38</f>
        <v>10000</v>
      </c>
      <c r="J38">
        <f>BattleDungeonItem!N38</f>
        <v>175000</v>
      </c>
      <c r="K38">
        <f>BattleDungeonItem!O38</f>
        <v>0</v>
      </c>
      <c r="L38">
        <f>BattleDungeonItem!Q38</f>
        <v>0</v>
      </c>
      <c r="M38">
        <f>BattleDungeonItem!P38</f>
        <v>0</v>
      </c>
      <c r="N38">
        <f>BattleDungeonItem!R38</f>
        <v>100</v>
      </c>
      <c r="O38">
        <f>BattleDungeonItem!AD38</f>
        <v>1</v>
      </c>
      <c r="P38">
        <f>BattleDungeonItem!AC38</f>
        <v>1</v>
      </c>
      <c r="Q38">
        <f>BattleDungeonItem!AE38</f>
        <v>1</v>
      </c>
      <c r="R38">
        <f>BattleDungeonItem!AF38</f>
        <v>1</v>
      </c>
      <c r="S38" s="4">
        <v>35</v>
      </c>
      <c r="T38">
        <f>BattleDungeonItem!B38</f>
        <v>1</v>
      </c>
      <c r="U38" s="4">
        <v>0</v>
      </c>
      <c r="V38">
        <f>BattleDungeonItem!AJ38</f>
        <v>0</v>
      </c>
      <c r="W38" s="4">
        <v>0</v>
      </c>
      <c r="X38">
        <f>BattleDungeonItem!S38</f>
        <v>1</v>
      </c>
      <c r="Y38">
        <f>BattleDungeonItem!U38</f>
        <v>300</v>
      </c>
      <c r="Z38">
        <f>BattleDungeonItem!V38</f>
        <v>1</v>
      </c>
      <c r="AA38" s="1" t="str">
        <f>BattleDungeonItem!W38</f>
        <v>-1</v>
      </c>
      <c r="AB38">
        <f>BattleDungeonItem!X38</f>
        <v>300</v>
      </c>
      <c r="AC38" s="4">
        <v>0</v>
      </c>
      <c r="AD38">
        <f>BattleDungeonItem!AA38</f>
        <v>10000</v>
      </c>
      <c r="AE38">
        <f>BattleDungeonItem!AB38</f>
        <v>0</v>
      </c>
      <c r="AF38" s="4">
        <v>0</v>
      </c>
      <c r="AG38" s="4">
        <v>0</v>
      </c>
    </row>
    <row r="39" spans="1:33" x14ac:dyDescent="0.3">
      <c r="A39" t="str">
        <f>BattleDungeonItem!A39</f>
        <v>ixbde25</v>
      </c>
      <c r="B39" t="str">
        <f>BattleDungeonItem!E39</f>
        <v>Event Dungeon25~30</v>
      </c>
      <c r="C39" s="1" t="str">
        <f>BattleDungeonItem!C39</f>
        <v>A30D00</v>
      </c>
      <c r="D39" s="1">
        <f>BattleDungeonItem!D39</f>
        <v>1</v>
      </c>
      <c r="E39" s="1" t="str">
        <f>BattleDungeonItem!H39</f>
        <v>11111000</v>
      </c>
      <c r="F39" s="4">
        <v>23</v>
      </c>
      <c r="G39">
        <f>BattleDungeonItem!L39</f>
        <v>0</v>
      </c>
      <c r="H39" s="4">
        <v>0</v>
      </c>
      <c r="I39">
        <f>BattleDungeonItem!M39</f>
        <v>200000</v>
      </c>
      <c r="J39">
        <f>BattleDungeonItem!N39</f>
        <v>0</v>
      </c>
      <c r="K39">
        <f>BattleDungeonItem!O39</f>
        <v>0</v>
      </c>
      <c r="L39">
        <f>BattleDungeonItem!Q39</f>
        <v>0</v>
      </c>
      <c r="M39">
        <f>BattleDungeonItem!P39</f>
        <v>0</v>
      </c>
      <c r="N39">
        <f>BattleDungeonItem!R39</f>
        <v>1</v>
      </c>
      <c r="O39">
        <f>BattleDungeonItem!AD39</f>
        <v>0</v>
      </c>
      <c r="P39">
        <f>BattleDungeonItem!AC39</f>
        <v>0</v>
      </c>
      <c r="Q39">
        <f>BattleDungeonItem!AE39</f>
        <v>0</v>
      </c>
      <c r="R39">
        <f>BattleDungeonItem!AF39</f>
        <v>0</v>
      </c>
      <c r="S39" s="4">
        <v>36</v>
      </c>
      <c r="T39">
        <f>BattleDungeonItem!B39</f>
        <v>0</v>
      </c>
      <c r="U39" s="4">
        <v>0</v>
      </c>
      <c r="V39">
        <f>BattleDungeonItem!AJ39</f>
        <v>0</v>
      </c>
      <c r="W39" s="4">
        <v>0</v>
      </c>
      <c r="X39">
        <f>BattleDungeonItem!S39</f>
        <v>0</v>
      </c>
      <c r="Y39">
        <f>BattleDungeonItem!U39</f>
        <v>300</v>
      </c>
      <c r="Z39">
        <f>BattleDungeonItem!V39</f>
        <v>1</v>
      </c>
      <c r="AA39" s="1" t="str">
        <f>BattleDungeonItem!W39</f>
        <v>-1</v>
      </c>
      <c r="AB39">
        <f>BattleDungeonItem!X39</f>
        <v>200</v>
      </c>
      <c r="AC39" s="4">
        <v>0</v>
      </c>
      <c r="AD39">
        <f>BattleDungeonItem!AA39</f>
        <v>250000</v>
      </c>
      <c r="AE39">
        <f>BattleDungeonItem!AB39</f>
        <v>0</v>
      </c>
      <c r="AF39" s="4">
        <v>0</v>
      </c>
      <c r="AG39" s="4">
        <v>0</v>
      </c>
    </row>
    <row r="40" spans="1:33" x14ac:dyDescent="0.3">
      <c r="A40" t="str">
        <f>BattleDungeonItem!A40</f>
        <v>ixbde35</v>
      </c>
      <c r="B40" t="str">
        <f>BattleDungeonItem!E40</f>
        <v>Event Dungeon31~35</v>
      </c>
      <c r="C40" s="1" t="str">
        <f>BattleDungeonItem!C40</f>
        <v>A30D02</v>
      </c>
      <c r="D40" s="1">
        <f>BattleDungeonItem!D40</f>
        <v>1</v>
      </c>
      <c r="E40" s="1" t="str">
        <f>BattleDungeonItem!H40</f>
        <v>11111000</v>
      </c>
      <c r="F40" s="4">
        <v>23</v>
      </c>
      <c r="G40">
        <f>BattleDungeonItem!L40</f>
        <v>0</v>
      </c>
      <c r="H40" s="4">
        <v>0</v>
      </c>
      <c r="I40">
        <f>BattleDungeonItem!M40</f>
        <v>500000</v>
      </c>
      <c r="J40">
        <f>BattleDungeonItem!N40</f>
        <v>0</v>
      </c>
      <c r="K40">
        <f>BattleDungeonItem!O40</f>
        <v>0</v>
      </c>
      <c r="L40">
        <f>BattleDungeonItem!Q40</f>
        <v>0</v>
      </c>
      <c r="M40">
        <f>BattleDungeonItem!P40</f>
        <v>0</v>
      </c>
      <c r="N40">
        <f>BattleDungeonItem!R40</f>
        <v>1</v>
      </c>
      <c r="O40">
        <f>BattleDungeonItem!AD40</f>
        <v>0</v>
      </c>
      <c r="P40">
        <f>BattleDungeonItem!AC40</f>
        <v>0</v>
      </c>
      <c r="Q40">
        <f>BattleDungeonItem!AE40</f>
        <v>0</v>
      </c>
      <c r="R40">
        <f>BattleDungeonItem!AF40</f>
        <v>0</v>
      </c>
      <c r="S40" s="4">
        <v>37</v>
      </c>
      <c r="T40">
        <f>BattleDungeonItem!B40</f>
        <v>0</v>
      </c>
      <c r="U40" s="4">
        <v>0</v>
      </c>
      <c r="V40">
        <f>BattleDungeonItem!AJ40</f>
        <v>0</v>
      </c>
      <c r="W40" s="4">
        <v>0</v>
      </c>
      <c r="X40">
        <f>BattleDungeonItem!S40</f>
        <v>0</v>
      </c>
      <c r="Y40">
        <f>BattleDungeonItem!U40</f>
        <v>300</v>
      </c>
      <c r="Z40">
        <f>BattleDungeonItem!V40</f>
        <v>1</v>
      </c>
      <c r="AA40" s="1" t="str">
        <f>BattleDungeonItem!W40</f>
        <v>-1</v>
      </c>
      <c r="AB40">
        <f>BattleDungeonItem!X40</f>
        <v>300</v>
      </c>
      <c r="AC40" s="4">
        <v>0</v>
      </c>
      <c r="AD40">
        <f>BattleDungeonItem!AA40</f>
        <v>500000</v>
      </c>
      <c r="AE40">
        <f>BattleDungeonItem!AB40</f>
        <v>0</v>
      </c>
      <c r="AF40" s="4">
        <v>0</v>
      </c>
      <c r="AG40" s="4">
        <v>0</v>
      </c>
    </row>
    <row r="41" spans="1:33" x14ac:dyDescent="0.3">
      <c r="A41" t="str">
        <f>BattleDungeonItem!A41</f>
        <v>ixbde40</v>
      </c>
      <c r="B41" t="str">
        <f>BattleDungeonItem!E41</f>
        <v>Event Dungeon36~40</v>
      </c>
      <c r="C41" s="1" t="str">
        <f>BattleDungeonItem!C41</f>
        <v>A30D03</v>
      </c>
      <c r="D41" s="1">
        <f>BattleDungeonItem!D41</f>
        <v>1</v>
      </c>
      <c r="E41" s="1" t="str">
        <f>BattleDungeonItem!H41</f>
        <v>11111000</v>
      </c>
      <c r="F41" s="4">
        <v>23</v>
      </c>
      <c r="G41">
        <f>BattleDungeonItem!L41</f>
        <v>0</v>
      </c>
      <c r="H41" s="4">
        <v>0</v>
      </c>
      <c r="I41">
        <f>BattleDungeonItem!M41</f>
        <v>1000000</v>
      </c>
      <c r="J41">
        <f>BattleDungeonItem!N41</f>
        <v>0</v>
      </c>
      <c r="K41">
        <f>BattleDungeonItem!O41</f>
        <v>0</v>
      </c>
      <c r="L41">
        <f>BattleDungeonItem!Q41</f>
        <v>0</v>
      </c>
      <c r="M41">
        <f>BattleDungeonItem!P41</f>
        <v>0</v>
      </c>
      <c r="N41">
        <f>BattleDungeonItem!R41</f>
        <v>1</v>
      </c>
      <c r="O41">
        <f>BattleDungeonItem!AD41</f>
        <v>0</v>
      </c>
      <c r="P41">
        <f>BattleDungeonItem!AC41</f>
        <v>0</v>
      </c>
      <c r="Q41">
        <f>BattleDungeonItem!AE41</f>
        <v>0</v>
      </c>
      <c r="R41">
        <f>BattleDungeonItem!AF41</f>
        <v>0</v>
      </c>
      <c r="S41" s="4">
        <v>38</v>
      </c>
      <c r="T41">
        <f>BattleDungeonItem!B41</f>
        <v>0</v>
      </c>
      <c r="U41" s="4">
        <v>0</v>
      </c>
      <c r="V41">
        <f>BattleDungeonItem!AJ41</f>
        <v>0</v>
      </c>
      <c r="W41" s="4">
        <v>0</v>
      </c>
      <c r="X41">
        <f>BattleDungeonItem!S41</f>
        <v>0</v>
      </c>
      <c r="Y41">
        <f>BattleDungeonItem!U41</f>
        <v>300</v>
      </c>
      <c r="Z41">
        <f>BattleDungeonItem!V41</f>
        <v>1</v>
      </c>
      <c r="AA41" s="1" t="str">
        <f>BattleDungeonItem!W41</f>
        <v>-1</v>
      </c>
      <c r="AB41">
        <f>BattleDungeonItem!X41</f>
        <v>300</v>
      </c>
      <c r="AC41" s="4">
        <v>0</v>
      </c>
      <c r="AD41">
        <f>BattleDungeonItem!AA41</f>
        <v>1000000</v>
      </c>
      <c r="AE41">
        <f>BattleDungeonItem!AB41</f>
        <v>0</v>
      </c>
      <c r="AF41" s="4">
        <v>0</v>
      </c>
      <c r="AG41" s="4">
        <v>0</v>
      </c>
    </row>
    <row r="42" spans="1:33" x14ac:dyDescent="0.3">
      <c r="A42" t="str">
        <f>BattleDungeonItem!A42</f>
        <v>ixbee25</v>
      </c>
      <c r="B42" t="str">
        <f>BattleDungeonItem!E42</f>
        <v>Event Dungeon30</v>
      </c>
      <c r="C42" s="1" t="str">
        <f>BattleDungeonItem!C42</f>
        <v>A30D00</v>
      </c>
      <c r="D42" s="1">
        <f>BattleDungeonItem!D42</f>
        <v>1</v>
      </c>
      <c r="E42" s="1" t="str">
        <f>BattleDungeonItem!H42</f>
        <v>11111000</v>
      </c>
      <c r="F42" s="4">
        <v>23</v>
      </c>
      <c r="G42">
        <f>BattleDungeonItem!L42</f>
        <v>0</v>
      </c>
      <c r="H42" s="4">
        <v>0</v>
      </c>
      <c r="I42">
        <f>BattleDungeonItem!M42</f>
        <v>2000000</v>
      </c>
      <c r="J42">
        <f>BattleDungeonItem!N42</f>
        <v>0</v>
      </c>
      <c r="K42">
        <f>BattleDungeonItem!O42</f>
        <v>0</v>
      </c>
      <c r="L42">
        <f>BattleDungeonItem!Q42</f>
        <v>0</v>
      </c>
      <c r="M42">
        <f>BattleDungeonItem!P42</f>
        <v>0</v>
      </c>
      <c r="N42">
        <f>BattleDungeonItem!R42</f>
        <v>1</v>
      </c>
      <c r="O42">
        <f>BattleDungeonItem!AD42</f>
        <v>1</v>
      </c>
      <c r="P42">
        <f>BattleDungeonItem!AC42</f>
        <v>1</v>
      </c>
      <c r="Q42">
        <f>BattleDungeonItem!AE42</f>
        <v>0</v>
      </c>
      <c r="R42">
        <f>BattleDungeonItem!AF42</f>
        <v>1</v>
      </c>
      <c r="S42" s="4">
        <v>39</v>
      </c>
      <c r="T42">
        <f>BattleDungeonItem!B42</f>
        <v>0</v>
      </c>
      <c r="U42" s="4">
        <v>0</v>
      </c>
      <c r="V42">
        <f>BattleDungeonItem!AJ42</f>
        <v>0</v>
      </c>
      <c r="W42" s="4">
        <v>0</v>
      </c>
      <c r="X42">
        <f>BattleDungeonItem!S42</f>
        <v>1</v>
      </c>
      <c r="Y42">
        <f>BattleDungeonItem!U42</f>
        <v>600</v>
      </c>
      <c r="Z42">
        <f>BattleDungeonItem!V42</f>
        <v>1</v>
      </c>
      <c r="AA42" s="1" t="str">
        <f>BattleDungeonItem!W42</f>
        <v>-1</v>
      </c>
      <c r="AB42">
        <f>BattleDungeonItem!X42</f>
        <v>300</v>
      </c>
      <c r="AC42" s="4">
        <v>0</v>
      </c>
      <c r="AD42">
        <f>BattleDungeonItem!AA42</f>
        <v>500000</v>
      </c>
      <c r="AE42">
        <f>BattleDungeonItem!AB42</f>
        <v>0</v>
      </c>
      <c r="AF42" s="4">
        <v>0</v>
      </c>
      <c r="AG42" s="4">
        <v>0</v>
      </c>
    </row>
    <row r="43" spans="1:33" x14ac:dyDescent="0.3">
      <c r="A43" t="str">
        <f>BattleDungeonItem!A43</f>
        <v>ixbee35</v>
      </c>
      <c r="B43" t="str">
        <f>BattleDungeonItem!E43</f>
        <v>Event Dungeon35</v>
      </c>
      <c r="C43" s="1" t="str">
        <f>BattleDungeonItem!C43</f>
        <v>A30D02</v>
      </c>
      <c r="D43" s="1">
        <f>BattleDungeonItem!D43</f>
        <v>1</v>
      </c>
      <c r="E43" s="1" t="str">
        <f>BattleDungeonItem!H43</f>
        <v>11111000</v>
      </c>
      <c r="F43" s="4">
        <v>23</v>
      </c>
      <c r="G43">
        <f>BattleDungeonItem!L43</f>
        <v>0</v>
      </c>
      <c r="H43" s="4">
        <v>0</v>
      </c>
      <c r="I43">
        <f>BattleDungeonItem!M43</f>
        <v>2000000</v>
      </c>
      <c r="J43">
        <f>BattleDungeonItem!N43</f>
        <v>0</v>
      </c>
      <c r="K43">
        <f>BattleDungeonItem!O43</f>
        <v>0</v>
      </c>
      <c r="L43">
        <f>BattleDungeonItem!Q43</f>
        <v>0</v>
      </c>
      <c r="M43">
        <f>BattleDungeonItem!P43</f>
        <v>0</v>
      </c>
      <c r="N43">
        <f>BattleDungeonItem!R43</f>
        <v>1</v>
      </c>
      <c r="O43">
        <f>BattleDungeonItem!AD43</f>
        <v>1</v>
      </c>
      <c r="P43">
        <f>BattleDungeonItem!AC43</f>
        <v>1</v>
      </c>
      <c r="Q43">
        <f>BattleDungeonItem!AE43</f>
        <v>0</v>
      </c>
      <c r="R43">
        <f>BattleDungeonItem!AF43</f>
        <v>1</v>
      </c>
      <c r="S43" s="4">
        <v>40</v>
      </c>
      <c r="T43">
        <f>BattleDungeonItem!B43</f>
        <v>0</v>
      </c>
      <c r="U43" s="4">
        <v>0</v>
      </c>
      <c r="V43">
        <f>BattleDungeonItem!AJ43</f>
        <v>0</v>
      </c>
      <c r="W43" s="4">
        <v>0</v>
      </c>
      <c r="X43">
        <f>BattleDungeonItem!S43</f>
        <v>1</v>
      </c>
      <c r="Y43">
        <f>BattleDungeonItem!U43</f>
        <v>600</v>
      </c>
      <c r="Z43">
        <f>BattleDungeonItem!V43</f>
        <v>1</v>
      </c>
      <c r="AA43" s="1" t="str">
        <f>BattleDungeonItem!W43</f>
        <v>-1</v>
      </c>
      <c r="AB43">
        <f>BattleDungeonItem!X43</f>
        <v>300</v>
      </c>
      <c r="AC43" s="4">
        <v>0</v>
      </c>
      <c r="AD43">
        <f>BattleDungeonItem!AA43</f>
        <v>500000</v>
      </c>
      <c r="AE43">
        <f>BattleDungeonItem!AB43</f>
        <v>0</v>
      </c>
      <c r="AF43" s="4">
        <v>0</v>
      </c>
      <c r="AG43" s="4">
        <v>0</v>
      </c>
    </row>
    <row r="44" spans="1:33" x14ac:dyDescent="0.3">
      <c r="A44" t="str">
        <f>BattleDungeonItem!A44</f>
        <v>ixbee40</v>
      </c>
      <c r="B44" t="str">
        <f>BattleDungeonItem!E44</f>
        <v>Event Dungeon40</v>
      </c>
      <c r="C44" s="1" t="str">
        <f>BattleDungeonItem!C44</f>
        <v>A30D03</v>
      </c>
      <c r="D44" s="1">
        <f>BattleDungeonItem!D44</f>
        <v>1</v>
      </c>
      <c r="E44" s="1" t="str">
        <f>BattleDungeonItem!H44</f>
        <v>11111000</v>
      </c>
      <c r="F44" s="4">
        <v>23</v>
      </c>
      <c r="G44">
        <f>BattleDungeonItem!L44</f>
        <v>0</v>
      </c>
      <c r="H44" s="4">
        <v>0</v>
      </c>
      <c r="I44">
        <f>BattleDungeonItem!M44</f>
        <v>2000000</v>
      </c>
      <c r="J44">
        <f>BattleDungeonItem!N44</f>
        <v>0</v>
      </c>
      <c r="K44">
        <f>BattleDungeonItem!O44</f>
        <v>0</v>
      </c>
      <c r="L44">
        <f>BattleDungeonItem!Q44</f>
        <v>0</v>
      </c>
      <c r="M44">
        <f>BattleDungeonItem!P44</f>
        <v>0</v>
      </c>
      <c r="N44">
        <f>BattleDungeonItem!R44</f>
        <v>1</v>
      </c>
      <c r="O44">
        <f>BattleDungeonItem!AD44</f>
        <v>1</v>
      </c>
      <c r="P44">
        <f>BattleDungeonItem!AC44</f>
        <v>1</v>
      </c>
      <c r="Q44">
        <f>BattleDungeonItem!AE44</f>
        <v>0</v>
      </c>
      <c r="R44">
        <f>BattleDungeonItem!AF44</f>
        <v>1</v>
      </c>
      <c r="S44" s="4">
        <v>41</v>
      </c>
      <c r="T44">
        <f>BattleDungeonItem!B44</f>
        <v>0</v>
      </c>
      <c r="U44" s="4">
        <v>0</v>
      </c>
      <c r="V44">
        <f>BattleDungeonItem!AJ44</f>
        <v>0</v>
      </c>
      <c r="W44" s="4">
        <v>0</v>
      </c>
      <c r="X44">
        <f>BattleDungeonItem!S44</f>
        <v>1</v>
      </c>
      <c r="Y44">
        <f>BattleDungeonItem!U44</f>
        <v>600</v>
      </c>
      <c r="Z44">
        <f>BattleDungeonItem!V44</f>
        <v>1</v>
      </c>
      <c r="AA44" s="1" t="str">
        <f>BattleDungeonItem!W44</f>
        <v>-1</v>
      </c>
      <c r="AB44">
        <f>BattleDungeonItem!X44</f>
        <v>300</v>
      </c>
      <c r="AC44" s="4">
        <v>0</v>
      </c>
      <c r="AD44">
        <f>BattleDungeonItem!AA44</f>
        <v>500000</v>
      </c>
      <c r="AE44">
        <f>BattleDungeonItem!AB44</f>
        <v>0</v>
      </c>
      <c r="AF44" s="4">
        <v>0</v>
      </c>
      <c r="AG44" s="4">
        <v>0</v>
      </c>
    </row>
    <row r="45" spans="1:33" x14ac:dyDescent="0.3">
      <c r="A45" t="str">
        <f>BattleDungeonItem!A45</f>
        <v>ixins01</v>
      </c>
      <c r="B45" t="str">
        <f>BattleDungeonItem!E45</f>
        <v>Gateway creation key</v>
      </c>
      <c r="C45" s="1" t="str">
        <f>BattleDungeonItem!C45</f>
        <v>A30D30</v>
      </c>
      <c r="D45" s="1">
        <f>BattleDungeonItem!D45</f>
        <v>1</v>
      </c>
      <c r="E45" s="1" t="str">
        <f>BattleDungeonItem!H45</f>
        <v>11111000</v>
      </c>
      <c r="F45" s="4">
        <v>23</v>
      </c>
      <c r="G45">
        <f>BattleDungeonItem!L45</f>
        <v>0</v>
      </c>
      <c r="H45" s="4">
        <v>0</v>
      </c>
      <c r="I45">
        <f>BattleDungeonItem!M45</f>
        <v>39000</v>
      </c>
      <c r="J45">
        <f>BattleDungeonItem!N45</f>
        <v>0</v>
      </c>
      <c r="K45">
        <f>BattleDungeonItem!O45</f>
        <v>0</v>
      </c>
      <c r="L45">
        <f>BattleDungeonItem!Q45</f>
        <v>0</v>
      </c>
      <c r="M45">
        <f>BattleDungeonItem!P45</f>
        <v>0</v>
      </c>
      <c r="N45">
        <f>BattleDungeonItem!R45</f>
        <v>100</v>
      </c>
      <c r="O45">
        <f>BattleDungeonItem!AD45</f>
        <v>1</v>
      </c>
      <c r="P45">
        <f>BattleDungeonItem!AC45</f>
        <v>1</v>
      </c>
      <c r="Q45">
        <f>BattleDungeonItem!AE45</f>
        <v>1</v>
      </c>
      <c r="R45">
        <f>BattleDungeonItem!AF45</f>
        <v>1</v>
      </c>
      <c r="S45" s="4">
        <v>42</v>
      </c>
      <c r="T45">
        <f>BattleDungeonItem!B45</f>
        <v>0</v>
      </c>
      <c r="U45" s="4">
        <v>0</v>
      </c>
      <c r="V45">
        <f>BattleDungeonItem!AJ45</f>
        <v>0</v>
      </c>
      <c r="W45" s="4">
        <v>0</v>
      </c>
      <c r="X45">
        <f>BattleDungeonItem!S45</f>
        <v>1</v>
      </c>
      <c r="Y45">
        <f>BattleDungeonItem!U45</f>
        <v>300</v>
      </c>
      <c r="Z45">
        <f>BattleDungeonItem!V45</f>
        <v>1</v>
      </c>
      <c r="AA45" s="1" t="str">
        <f>BattleDungeonItem!W45</f>
        <v>-1</v>
      </c>
      <c r="AB45">
        <f>BattleDungeonItem!X45</f>
        <v>300</v>
      </c>
      <c r="AC45" s="4">
        <v>0</v>
      </c>
      <c r="AD45">
        <f>BattleDungeonItem!AA45</f>
        <v>10000</v>
      </c>
      <c r="AE45">
        <f>BattleDungeonItem!AB45</f>
        <v>0</v>
      </c>
      <c r="AF45" s="4">
        <v>0</v>
      </c>
      <c r="AG45" s="4">
        <v>0</v>
      </c>
    </row>
    <row r="46" spans="1:33" x14ac:dyDescent="0.3">
      <c r="A46" t="str">
        <f>BattleDungeonItem!A46</f>
        <v>ixins02</v>
      </c>
      <c r="B46" t="str">
        <f>BattleDungeonItem!E46</f>
        <v>Gateway creation key</v>
      </c>
      <c r="C46" s="1" t="str">
        <f>BattleDungeonItem!C46</f>
        <v>A30D31</v>
      </c>
      <c r="D46" s="1">
        <f>BattleDungeonItem!D46</f>
        <v>1</v>
      </c>
      <c r="E46" s="1" t="str">
        <f>BattleDungeonItem!H46</f>
        <v>11111000</v>
      </c>
      <c r="F46" s="4">
        <v>23</v>
      </c>
      <c r="G46">
        <f>BattleDungeonItem!L46</f>
        <v>0</v>
      </c>
      <c r="H46" s="4">
        <v>0</v>
      </c>
      <c r="I46">
        <f>BattleDungeonItem!M46</f>
        <v>39000</v>
      </c>
      <c r="J46">
        <f>BattleDungeonItem!N46</f>
        <v>0</v>
      </c>
      <c r="K46">
        <f>BattleDungeonItem!O46</f>
        <v>0</v>
      </c>
      <c r="L46">
        <f>BattleDungeonItem!Q46</f>
        <v>0</v>
      </c>
      <c r="M46">
        <f>BattleDungeonItem!P46</f>
        <v>0</v>
      </c>
      <c r="N46">
        <f>BattleDungeonItem!R46</f>
        <v>100</v>
      </c>
      <c r="O46">
        <f>BattleDungeonItem!AD46</f>
        <v>1</v>
      </c>
      <c r="P46">
        <f>BattleDungeonItem!AC46</f>
        <v>1</v>
      </c>
      <c r="Q46">
        <f>BattleDungeonItem!AE46</f>
        <v>1</v>
      </c>
      <c r="R46">
        <f>BattleDungeonItem!AF46</f>
        <v>1</v>
      </c>
      <c r="S46" s="4">
        <v>43</v>
      </c>
      <c r="T46">
        <f>BattleDungeonItem!B46</f>
        <v>0</v>
      </c>
      <c r="U46" s="4">
        <v>0</v>
      </c>
      <c r="V46">
        <f>BattleDungeonItem!AJ46</f>
        <v>0</v>
      </c>
      <c r="W46" s="4">
        <v>0</v>
      </c>
      <c r="X46">
        <f>BattleDungeonItem!S46</f>
        <v>1</v>
      </c>
      <c r="Y46">
        <f>BattleDungeonItem!U46</f>
        <v>300</v>
      </c>
      <c r="Z46">
        <f>BattleDungeonItem!V46</f>
        <v>1</v>
      </c>
      <c r="AA46" s="1" t="str">
        <f>BattleDungeonItem!W46</f>
        <v>-1</v>
      </c>
      <c r="AB46">
        <f>BattleDungeonItem!X46</f>
        <v>300</v>
      </c>
      <c r="AC46" s="4">
        <v>0</v>
      </c>
      <c r="AD46">
        <f>BattleDungeonItem!AA46</f>
        <v>10000</v>
      </c>
      <c r="AE46">
        <f>BattleDungeonItem!AB46</f>
        <v>0</v>
      </c>
      <c r="AF46" s="4">
        <v>0</v>
      </c>
      <c r="AG46" s="4">
        <v>0</v>
      </c>
    </row>
    <row r="47" spans="1:33" x14ac:dyDescent="0.3">
      <c r="A47" t="str">
        <f>BattleDungeonItem!A47</f>
        <v>ixins03</v>
      </c>
      <c r="B47" t="str">
        <f>BattleDungeonItem!E47</f>
        <v>A dimension tranfer Gate Creation Key[The Present]</v>
      </c>
      <c r="C47" s="1" t="str">
        <f>BattleDungeonItem!C47</f>
        <v>A30D32</v>
      </c>
      <c r="D47" s="1">
        <f>BattleDungeonItem!D47</f>
        <v>1</v>
      </c>
      <c r="E47" s="1" t="str">
        <f>BattleDungeonItem!H47</f>
        <v>11111000</v>
      </c>
      <c r="F47" s="4">
        <v>23</v>
      </c>
      <c r="G47">
        <f>BattleDungeonItem!L47</f>
        <v>0</v>
      </c>
      <c r="H47" s="4">
        <v>0</v>
      </c>
      <c r="I47">
        <f>BattleDungeonItem!M47</f>
        <v>39000</v>
      </c>
      <c r="J47">
        <f>BattleDungeonItem!N47</f>
        <v>0</v>
      </c>
      <c r="K47">
        <f>BattleDungeonItem!O47</f>
        <v>0</v>
      </c>
      <c r="L47">
        <f>BattleDungeonItem!Q47</f>
        <v>0</v>
      </c>
      <c r="M47">
        <f>BattleDungeonItem!P47</f>
        <v>0</v>
      </c>
      <c r="N47">
        <f>BattleDungeonItem!R47</f>
        <v>100</v>
      </c>
      <c r="O47">
        <f>BattleDungeonItem!AD47</f>
        <v>1</v>
      </c>
      <c r="P47">
        <f>BattleDungeonItem!AC47</f>
        <v>1</v>
      </c>
      <c r="Q47">
        <f>BattleDungeonItem!AE47</f>
        <v>1</v>
      </c>
      <c r="R47">
        <f>BattleDungeonItem!AF47</f>
        <v>1</v>
      </c>
      <c r="S47" s="4">
        <v>44</v>
      </c>
      <c r="T47">
        <f>BattleDungeonItem!B47</f>
        <v>0</v>
      </c>
      <c r="U47" s="4">
        <v>0</v>
      </c>
      <c r="V47">
        <f>BattleDungeonItem!AJ47</f>
        <v>0</v>
      </c>
      <c r="W47" s="4">
        <v>0</v>
      </c>
      <c r="X47">
        <f>BattleDungeonItem!S47</f>
        <v>1</v>
      </c>
      <c r="Y47">
        <f>BattleDungeonItem!U47</f>
        <v>300</v>
      </c>
      <c r="Z47">
        <f>BattleDungeonItem!V47</f>
        <v>1</v>
      </c>
      <c r="AA47" s="1" t="str">
        <f>BattleDungeonItem!W47</f>
        <v>-1</v>
      </c>
      <c r="AB47">
        <f>BattleDungeonItem!X47</f>
        <v>300</v>
      </c>
      <c r="AC47" s="4">
        <v>0</v>
      </c>
      <c r="AD47">
        <f>BattleDungeonItem!AA47</f>
        <v>10000</v>
      </c>
      <c r="AE47">
        <f>BattleDungeonItem!AB47</f>
        <v>0</v>
      </c>
      <c r="AF47" s="4">
        <v>0</v>
      </c>
      <c r="AG47" s="4">
        <v>0</v>
      </c>
    </row>
    <row r="48" spans="1:33" x14ac:dyDescent="0.3">
      <c r="A48" t="str">
        <f>BattleDungeonItem!A48</f>
        <v>ixins04</v>
      </c>
      <c r="B48" t="str">
        <f>BattleDungeonItem!E48</f>
        <v>A dimension tranfer Gate Creation Key[The Future]</v>
      </c>
      <c r="C48" s="1" t="str">
        <f>BattleDungeonItem!C48</f>
        <v>A30D33</v>
      </c>
      <c r="D48" s="1">
        <f>BattleDungeonItem!D48</f>
        <v>1</v>
      </c>
      <c r="E48" s="1" t="str">
        <f>BattleDungeonItem!H48</f>
        <v>11111000</v>
      </c>
      <c r="F48" s="4">
        <v>23</v>
      </c>
      <c r="G48">
        <f>BattleDungeonItem!L48</f>
        <v>0</v>
      </c>
      <c r="H48" s="4">
        <v>0</v>
      </c>
      <c r="I48">
        <f>BattleDungeonItem!M48</f>
        <v>39000</v>
      </c>
      <c r="J48">
        <f>BattleDungeonItem!N48</f>
        <v>0</v>
      </c>
      <c r="K48">
        <f>BattleDungeonItem!O48</f>
        <v>0</v>
      </c>
      <c r="L48">
        <f>BattleDungeonItem!Q48</f>
        <v>0</v>
      </c>
      <c r="M48">
        <f>BattleDungeonItem!P48</f>
        <v>0</v>
      </c>
      <c r="N48">
        <f>BattleDungeonItem!R48</f>
        <v>100</v>
      </c>
      <c r="O48">
        <f>BattleDungeonItem!AD48</f>
        <v>1</v>
      </c>
      <c r="P48">
        <f>BattleDungeonItem!AC48</f>
        <v>1</v>
      </c>
      <c r="Q48">
        <f>BattleDungeonItem!AE48</f>
        <v>1</v>
      </c>
      <c r="R48">
        <f>BattleDungeonItem!AF48</f>
        <v>1</v>
      </c>
      <c r="S48" s="4">
        <v>45</v>
      </c>
      <c r="T48">
        <f>BattleDungeonItem!B48</f>
        <v>0</v>
      </c>
      <c r="U48" s="4">
        <v>0</v>
      </c>
      <c r="V48">
        <f>BattleDungeonItem!AJ48</f>
        <v>0</v>
      </c>
      <c r="W48" s="4">
        <v>0</v>
      </c>
      <c r="X48">
        <f>BattleDungeonItem!S48</f>
        <v>1</v>
      </c>
      <c r="Y48">
        <f>BattleDungeonItem!U48</f>
        <v>300</v>
      </c>
      <c r="Z48">
        <f>BattleDungeonItem!V48</f>
        <v>1</v>
      </c>
      <c r="AA48" s="1" t="str">
        <f>BattleDungeonItem!W48</f>
        <v>-1</v>
      </c>
      <c r="AB48">
        <f>BattleDungeonItem!X48</f>
        <v>300</v>
      </c>
      <c r="AC48" s="4">
        <v>0</v>
      </c>
      <c r="AD48">
        <f>BattleDungeonItem!AA48</f>
        <v>10000</v>
      </c>
      <c r="AE48">
        <f>BattleDungeonItem!AB48</f>
        <v>0</v>
      </c>
      <c r="AF48" s="4">
        <v>0</v>
      </c>
      <c r="AG48" s="4">
        <v>0</v>
      </c>
    </row>
    <row r="49" spans="1:33" x14ac:dyDescent="0.3">
      <c r="A49" t="str">
        <f>BattleDungeonItem!A49</f>
        <v>ixkey33</v>
      </c>
      <c r="B49" t="str">
        <f>BattleDungeonItem!E49</f>
        <v>Cursed Gateway Key</v>
      </c>
      <c r="C49" s="1" t="str">
        <f>BattleDungeonItem!C49</f>
        <v>A30D22</v>
      </c>
      <c r="D49" s="1">
        <f>BattleDungeonItem!D49</f>
        <v>3</v>
      </c>
      <c r="E49" s="1" t="str">
        <f>BattleDungeonItem!H49</f>
        <v>11111000</v>
      </c>
      <c r="F49" s="4">
        <v>23</v>
      </c>
      <c r="G49">
        <f>BattleDungeonItem!L49</f>
        <v>0</v>
      </c>
      <c r="H49" s="4">
        <v>0</v>
      </c>
      <c r="I49">
        <f>BattleDungeonItem!M49</f>
        <v>20000</v>
      </c>
      <c r="J49">
        <f>BattleDungeonItem!N49</f>
        <v>0</v>
      </c>
      <c r="K49">
        <f>BattleDungeonItem!O49</f>
        <v>0</v>
      </c>
      <c r="L49">
        <f>BattleDungeonItem!Q49</f>
        <v>0</v>
      </c>
      <c r="M49">
        <f>BattleDungeonItem!P49</f>
        <v>0</v>
      </c>
      <c r="N49">
        <f>BattleDungeonItem!R49</f>
        <v>100</v>
      </c>
      <c r="O49">
        <f>BattleDungeonItem!AD49</f>
        <v>1</v>
      </c>
      <c r="P49">
        <f>BattleDungeonItem!AC49</f>
        <v>1</v>
      </c>
      <c r="Q49">
        <f>BattleDungeonItem!AE49</f>
        <v>1</v>
      </c>
      <c r="R49">
        <f>BattleDungeonItem!AF49</f>
        <v>1</v>
      </c>
      <c r="S49" s="4">
        <v>47</v>
      </c>
      <c r="T49">
        <f>BattleDungeonItem!B49</f>
        <v>1</v>
      </c>
      <c r="U49" s="4">
        <v>0</v>
      </c>
      <c r="V49">
        <f>BattleDungeonItem!AJ49</f>
        <v>0</v>
      </c>
      <c r="W49" s="4">
        <v>0</v>
      </c>
      <c r="X49">
        <f>BattleDungeonItem!S49</f>
        <v>1</v>
      </c>
      <c r="Y49">
        <f>BattleDungeonItem!U49</f>
        <v>300</v>
      </c>
      <c r="Z49">
        <f>BattleDungeonItem!V49</f>
        <v>1</v>
      </c>
      <c r="AA49" s="1" t="str">
        <f>BattleDungeonItem!W49</f>
        <v>-1</v>
      </c>
      <c r="AB49">
        <f>BattleDungeonItem!X49</f>
        <v>300</v>
      </c>
      <c r="AC49" s="4">
        <v>0</v>
      </c>
      <c r="AD49">
        <f>BattleDungeonItem!AA49</f>
        <v>10000</v>
      </c>
      <c r="AE49">
        <f>BattleDungeonItem!AB49</f>
        <v>0</v>
      </c>
      <c r="AF49" s="4">
        <v>0</v>
      </c>
      <c r="AG49" s="4">
        <v>0</v>
      </c>
    </row>
    <row r="50" spans="1:33" x14ac:dyDescent="0.3">
      <c r="A50" t="str">
        <f>BattleDungeonItem!A50</f>
        <v>ixkey34</v>
      </c>
      <c r="B50" t="str">
        <f>BattleDungeonItem!E50</f>
        <v>Lethal Gateway Key</v>
      </c>
      <c r="C50" s="1" t="str">
        <f>BattleDungeonItem!C50</f>
        <v>A30D23</v>
      </c>
      <c r="D50" s="1">
        <f>BattleDungeonItem!D50</f>
        <v>4</v>
      </c>
      <c r="E50" s="1" t="str">
        <f>BattleDungeonItem!H50</f>
        <v>11111000</v>
      </c>
      <c r="F50" s="4">
        <v>23</v>
      </c>
      <c r="G50">
        <f>BattleDungeonItem!L50</f>
        <v>0</v>
      </c>
      <c r="H50" s="4">
        <v>0</v>
      </c>
      <c r="I50">
        <f>BattleDungeonItem!M50</f>
        <v>20000</v>
      </c>
      <c r="J50">
        <f>BattleDungeonItem!N50</f>
        <v>0</v>
      </c>
      <c r="K50">
        <f>BattleDungeonItem!O50</f>
        <v>0</v>
      </c>
      <c r="L50">
        <f>BattleDungeonItem!Q50</f>
        <v>0</v>
      </c>
      <c r="M50">
        <f>BattleDungeonItem!P50</f>
        <v>0</v>
      </c>
      <c r="N50">
        <f>BattleDungeonItem!R50</f>
        <v>100</v>
      </c>
      <c r="O50">
        <f>BattleDungeonItem!AD50</f>
        <v>1</v>
      </c>
      <c r="P50">
        <f>BattleDungeonItem!AC50</f>
        <v>1</v>
      </c>
      <c r="Q50">
        <f>BattleDungeonItem!AE50</f>
        <v>1</v>
      </c>
      <c r="R50">
        <f>BattleDungeonItem!AF50</f>
        <v>1</v>
      </c>
      <c r="S50" s="4">
        <v>48</v>
      </c>
      <c r="T50">
        <f>BattleDungeonItem!B50</f>
        <v>1</v>
      </c>
      <c r="U50" s="4">
        <v>0</v>
      </c>
      <c r="V50">
        <f>BattleDungeonItem!AJ50</f>
        <v>0</v>
      </c>
      <c r="W50" s="4">
        <v>0</v>
      </c>
      <c r="X50">
        <f>BattleDungeonItem!S50</f>
        <v>1</v>
      </c>
      <c r="Y50">
        <f>BattleDungeonItem!U50</f>
        <v>300</v>
      </c>
      <c r="Z50">
        <f>BattleDungeonItem!V50</f>
        <v>1</v>
      </c>
      <c r="AA50" s="1" t="str">
        <f>BattleDungeonItem!W50</f>
        <v>-1</v>
      </c>
      <c r="AB50">
        <f>BattleDungeonItem!X50</f>
        <v>300</v>
      </c>
      <c r="AC50" s="4">
        <v>0</v>
      </c>
      <c r="AD50">
        <f>BattleDungeonItem!AA50</f>
        <v>10000</v>
      </c>
      <c r="AE50">
        <f>BattleDungeonItem!AB50</f>
        <v>0</v>
      </c>
      <c r="AF50" s="4">
        <v>0</v>
      </c>
      <c r="AG50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pane ySplit="2" topLeftCell="A3" activePane="bottomLeft" state="frozen"/>
      <selection pane="bottomLeft"/>
    </sheetView>
  </sheetViews>
  <sheetFormatPr defaultRowHeight="14.4" x14ac:dyDescent="0.3"/>
  <sheetData>
    <row r="1" spans="1:3" x14ac:dyDescent="0.3">
      <c r="A1" s="2" t="s">
        <v>1</v>
      </c>
      <c r="B1" s="2" t="s">
        <v>187</v>
      </c>
      <c r="C1" s="2" t="s">
        <v>3</v>
      </c>
    </row>
    <row r="2" spans="1:3" x14ac:dyDescent="0.3">
      <c r="A2" s="2" t="s">
        <v>180</v>
      </c>
      <c r="B2" s="2" t="s">
        <v>188</v>
      </c>
      <c r="C2" s="2"/>
    </row>
    <row r="3" spans="1:3" x14ac:dyDescent="0.3">
      <c r="A3" s="4">
        <v>0</v>
      </c>
      <c r="B3" s="4" t="s">
        <v>193</v>
      </c>
      <c r="C3" s="2"/>
    </row>
    <row r="4" spans="1:3" x14ac:dyDescent="0.3">
      <c r="A4" s="4">
        <v>1</v>
      </c>
      <c r="B4" s="4" t="s">
        <v>193</v>
      </c>
      <c r="C4" s="2"/>
    </row>
    <row r="5" spans="1:3" x14ac:dyDescent="0.3">
      <c r="A5" s="4">
        <v>2</v>
      </c>
      <c r="B5" s="4" t="s">
        <v>193</v>
      </c>
      <c r="C5" s="2"/>
    </row>
    <row r="6" spans="1:3" x14ac:dyDescent="0.3">
      <c r="A6" s="4">
        <v>3</v>
      </c>
      <c r="B6" s="4" t="s">
        <v>193</v>
      </c>
      <c r="C6" s="2"/>
    </row>
    <row r="7" spans="1:3" x14ac:dyDescent="0.3">
      <c r="A7" s="4">
        <v>4</v>
      </c>
      <c r="B7" s="4" t="s">
        <v>194</v>
      </c>
      <c r="C7" s="2"/>
    </row>
    <row r="8" spans="1:3" x14ac:dyDescent="0.3">
      <c r="A8" s="4">
        <v>5</v>
      </c>
      <c r="B8" s="4" t="s">
        <v>195</v>
      </c>
      <c r="C8" s="2"/>
    </row>
    <row r="9" spans="1:3" x14ac:dyDescent="0.3">
      <c r="A9" s="4">
        <v>6</v>
      </c>
      <c r="B9" s="4" t="s">
        <v>196</v>
      </c>
      <c r="C9" s="2"/>
    </row>
    <row r="10" spans="1:3" x14ac:dyDescent="0.3">
      <c r="A10" s="4">
        <v>7</v>
      </c>
      <c r="B10" s="4" t="s">
        <v>197</v>
      </c>
      <c r="C10" s="2"/>
    </row>
    <row r="11" spans="1:3" x14ac:dyDescent="0.3">
      <c r="A11" s="4">
        <v>8</v>
      </c>
      <c r="B11" s="4" t="s">
        <v>198</v>
      </c>
      <c r="C11" s="2"/>
    </row>
    <row r="12" spans="1:3" x14ac:dyDescent="0.3">
      <c r="A12" s="4">
        <v>9</v>
      </c>
      <c r="B12" s="4" t="s">
        <v>199</v>
      </c>
      <c r="C12" s="2"/>
    </row>
    <row r="13" spans="1:3" x14ac:dyDescent="0.3">
      <c r="A13" s="4">
        <v>10</v>
      </c>
      <c r="B13" s="4" t="s">
        <v>200</v>
      </c>
      <c r="C13" s="2"/>
    </row>
    <row r="14" spans="1:3" x14ac:dyDescent="0.3">
      <c r="A14" s="4">
        <v>11</v>
      </c>
      <c r="B14" s="4" t="s">
        <v>201</v>
      </c>
      <c r="C14" s="2"/>
    </row>
    <row r="15" spans="1:3" x14ac:dyDescent="0.3">
      <c r="A15" s="4">
        <v>12</v>
      </c>
      <c r="B15" s="4" t="s">
        <v>202</v>
      </c>
      <c r="C15" s="2"/>
    </row>
    <row r="16" spans="1:3" x14ac:dyDescent="0.3">
      <c r="A16" s="4">
        <v>13</v>
      </c>
      <c r="B16" s="4" t="s">
        <v>203</v>
      </c>
      <c r="C16" s="2"/>
    </row>
    <row r="17" spans="1:3" x14ac:dyDescent="0.3">
      <c r="A17" s="4">
        <v>14</v>
      </c>
      <c r="B17" s="4" t="s">
        <v>213</v>
      </c>
      <c r="C17" s="2"/>
    </row>
    <row r="18" spans="1:3" x14ac:dyDescent="0.3">
      <c r="A18" s="4">
        <v>15</v>
      </c>
      <c r="B18" s="4" t="s">
        <v>214</v>
      </c>
      <c r="C18" s="2"/>
    </row>
    <row r="19" spans="1:3" x14ac:dyDescent="0.3">
      <c r="A19" s="4">
        <v>16</v>
      </c>
      <c r="B19" s="4" t="s">
        <v>215</v>
      </c>
      <c r="C19" s="2"/>
    </row>
    <row r="20" spans="1:3" x14ac:dyDescent="0.3">
      <c r="A20" s="4">
        <v>17</v>
      </c>
      <c r="B20" s="4" t="s">
        <v>216</v>
      </c>
      <c r="C20" s="2"/>
    </row>
    <row r="21" spans="1:3" x14ac:dyDescent="0.3">
      <c r="A21" s="4">
        <v>18</v>
      </c>
      <c r="B21" s="4" t="s">
        <v>217</v>
      </c>
      <c r="C21" s="2"/>
    </row>
    <row r="22" spans="1:3" x14ac:dyDescent="0.3">
      <c r="A22" s="4">
        <v>19</v>
      </c>
      <c r="B22" s="4" t="s">
        <v>218</v>
      </c>
      <c r="C22" s="2"/>
    </row>
    <row r="23" spans="1:3" x14ac:dyDescent="0.3">
      <c r="A23" s="4">
        <v>20</v>
      </c>
      <c r="B23" s="4" t="s">
        <v>219</v>
      </c>
      <c r="C23" s="2"/>
    </row>
    <row r="24" spans="1:3" x14ac:dyDescent="0.3">
      <c r="A24" s="4">
        <v>21</v>
      </c>
      <c r="B24" s="4" t="s">
        <v>220</v>
      </c>
      <c r="C24" s="2"/>
    </row>
    <row r="25" spans="1:3" x14ac:dyDescent="0.3">
      <c r="A25" s="4">
        <v>22</v>
      </c>
      <c r="B25" s="4" t="s">
        <v>221</v>
      </c>
      <c r="C25" s="2"/>
    </row>
    <row r="26" spans="1:3" x14ac:dyDescent="0.3">
      <c r="A26" s="4">
        <v>23</v>
      </c>
      <c r="B26" s="4" t="s">
        <v>222</v>
      </c>
      <c r="C26" s="2"/>
    </row>
    <row r="27" spans="1:3" x14ac:dyDescent="0.3">
      <c r="A27" s="4">
        <v>24</v>
      </c>
      <c r="B27" s="4" t="s">
        <v>223</v>
      </c>
      <c r="C27" s="2"/>
    </row>
    <row r="28" spans="1:3" x14ac:dyDescent="0.3">
      <c r="A28" s="4">
        <v>25</v>
      </c>
      <c r="B28" s="4" t="s">
        <v>224</v>
      </c>
      <c r="C28" s="2"/>
    </row>
    <row r="29" spans="1:3" x14ac:dyDescent="0.3">
      <c r="A29" s="4">
        <v>26</v>
      </c>
      <c r="B29" s="4" t="s">
        <v>225</v>
      </c>
      <c r="C29" s="2"/>
    </row>
    <row r="30" spans="1:3" x14ac:dyDescent="0.3">
      <c r="A30" s="4">
        <v>27</v>
      </c>
      <c r="B30" s="4" t="s">
        <v>226</v>
      </c>
      <c r="C30" s="2"/>
    </row>
    <row r="31" spans="1:3" x14ac:dyDescent="0.3">
      <c r="A31" s="4">
        <v>28</v>
      </c>
      <c r="B31" s="4" t="s">
        <v>227</v>
      </c>
      <c r="C31" s="2"/>
    </row>
    <row r="32" spans="1:3" x14ac:dyDescent="0.3">
      <c r="A32" s="4">
        <v>29</v>
      </c>
      <c r="B32" s="4" t="s">
        <v>228</v>
      </c>
      <c r="C32" s="2"/>
    </row>
    <row r="33" spans="1:3" x14ac:dyDescent="0.3">
      <c r="A33" s="4">
        <v>30</v>
      </c>
      <c r="B33" s="4" t="s">
        <v>229</v>
      </c>
      <c r="C33" s="2"/>
    </row>
    <row r="34" spans="1:3" x14ac:dyDescent="0.3">
      <c r="A34" s="4">
        <v>31</v>
      </c>
      <c r="B34" s="4" t="s">
        <v>230</v>
      </c>
      <c r="C34" s="2"/>
    </row>
    <row r="35" spans="1:3" x14ac:dyDescent="0.3">
      <c r="A35" s="4">
        <v>32</v>
      </c>
      <c r="B35" s="4" t="s">
        <v>231</v>
      </c>
      <c r="C35" s="2"/>
    </row>
    <row r="36" spans="1:3" x14ac:dyDescent="0.3">
      <c r="A36" s="4">
        <v>33</v>
      </c>
      <c r="B36" s="4" t="s">
        <v>232</v>
      </c>
      <c r="C36" s="2"/>
    </row>
    <row r="37" spans="1:3" x14ac:dyDescent="0.3">
      <c r="A37" s="4">
        <v>34</v>
      </c>
      <c r="B37" s="4" t="s">
        <v>244</v>
      </c>
      <c r="C37" s="2"/>
    </row>
    <row r="38" spans="1:3" x14ac:dyDescent="0.3">
      <c r="A38" s="4">
        <v>35</v>
      </c>
      <c r="B38" s="4" t="s">
        <v>245</v>
      </c>
      <c r="C38" s="2"/>
    </row>
    <row r="39" spans="1:3" x14ac:dyDescent="0.3">
      <c r="A39" s="4">
        <v>36</v>
      </c>
      <c r="B39" s="4" t="s">
        <v>193</v>
      </c>
      <c r="C39" s="2"/>
    </row>
    <row r="40" spans="1:3" x14ac:dyDescent="0.3">
      <c r="A40" s="4">
        <v>37</v>
      </c>
      <c r="B40" s="4" t="s">
        <v>193</v>
      </c>
      <c r="C40" s="2"/>
    </row>
    <row r="41" spans="1:3" x14ac:dyDescent="0.3">
      <c r="A41" s="4">
        <v>38</v>
      </c>
      <c r="B41" s="4" t="s">
        <v>193</v>
      </c>
      <c r="C41" s="2"/>
    </row>
    <row r="42" spans="1:3" x14ac:dyDescent="0.3">
      <c r="A42" s="4">
        <v>39</v>
      </c>
      <c r="B42" s="4" t="s">
        <v>193</v>
      </c>
      <c r="C42" s="2"/>
    </row>
    <row r="43" spans="1:3" x14ac:dyDescent="0.3">
      <c r="A43" s="4">
        <v>40</v>
      </c>
      <c r="B43" s="4" t="s">
        <v>193</v>
      </c>
      <c r="C43" s="2"/>
    </row>
    <row r="44" spans="1:3" x14ac:dyDescent="0.3">
      <c r="A44" s="4">
        <v>41</v>
      </c>
      <c r="B44" s="4" t="s">
        <v>193</v>
      </c>
      <c r="C44" s="2"/>
    </row>
    <row r="45" spans="1:3" x14ac:dyDescent="0.3">
      <c r="A45" s="4">
        <v>42</v>
      </c>
      <c r="B45" s="4" t="s">
        <v>233</v>
      </c>
      <c r="C45" s="2"/>
    </row>
    <row r="46" spans="1:3" x14ac:dyDescent="0.3">
      <c r="A46" s="4">
        <v>43</v>
      </c>
      <c r="B46" s="4" t="s">
        <v>234</v>
      </c>
      <c r="C46" s="2"/>
    </row>
    <row r="47" spans="1:3" x14ac:dyDescent="0.3">
      <c r="A47" s="4">
        <v>44</v>
      </c>
      <c r="B47" s="4" t="s">
        <v>235</v>
      </c>
      <c r="C47" s="2"/>
    </row>
    <row r="48" spans="1:3" x14ac:dyDescent="0.3">
      <c r="A48" s="4">
        <v>45</v>
      </c>
      <c r="B48" s="4" t="s">
        <v>236</v>
      </c>
      <c r="C48" s="2"/>
    </row>
    <row r="49" spans="1:3" x14ac:dyDescent="0.3">
      <c r="A49" s="4">
        <v>46</v>
      </c>
      <c r="B49" s="4" t="s">
        <v>236</v>
      </c>
      <c r="C49" s="2"/>
    </row>
    <row r="50" spans="1:3" x14ac:dyDescent="0.3">
      <c r="A50" s="4">
        <v>47</v>
      </c>
      <c r="B50" s="4" t="s">
        <v>246</v>
      </c>
    </row>
    <row r="51" spans="1:3" x14ac:dyDescent="0.3">
      <c r="A51" s="4">
        <v>48</v>
      </c>
      <c r="B51" s="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BattleDungeonItem</vt:lpstr>
      <vt:lpstr>23decrypt</vt:lpstr>
      <vt:lpstr>23desc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2025-10-30T14:42:53Z</dcterms:modified>
</cp:coreProperties>
</file>