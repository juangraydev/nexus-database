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1260456E-8523-4DDB-99A9-754DE38B2BD6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UnitKeyItem" sheetId="1" r:id="rId1"/>
    <sheet name="UnitFrame" sheetId="2" r:id="rId2"/>
    <sheet name="19decrypt" sheetId="7" r:id="rId3"/>
    <sheet name="19desc" sheetId="6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6" i="7" l="1"/>
  <c r="AN6" i="7"/>
  <c r="AM6" i="7"/>
  <c r="AL6" i="7"/>
  <c r="AK6" i="7"/>
  <c r="AJ6" i="7"/>
  <c r="AI6" i="7"/>
  <c r="AH6" i="7"/>
  <c r="AG6" i="7"/>
  <c r="AF6" i="7"/>
  <c r="AE6" i="7"/>
  <c r="AD6" i="7"/>
  <c r="AB6" i="7"/>
  <c r="AA6" i="7"/>
  <c r="Z6" i="7"/>
  <c r="Y6" i="7"/>
  <c r="X6" i="7"/>
  <c r="T6" i="7"/>
  <c r="R6" i="7"/>
  <c r="Q6" i="7"/>
  <c r="P6" i="7"/>
  <c r="O6" i="7"/>
  <c r="N6" i="7"/>
  <c r="M6" i="7"/>
  <c r="L6" i="7"/>
  <c r="K6" i="7"/>
  <c r="J6" i="7"/>
  <c r="I6" i="7"/>
  <c r="G6" i="7"/>
  <c r="E6" i="7"/>
  <c r="D6" i="7"/>
  <c r="C6" i="7"/>
  <c r="B6" i="7"/>
  <c r="A6" i="7"/>
  <c r="AO5" i="7"/>
  <c r="AN5" i="7"/>
  <c r="AM5" i="7"/>
  <c r="AL5" i="7"/>
  <c r="AK5" i="7"/>
  <c r="AJ5" i="7"/>
  <c r="AI5" i="7"/>
  <c r="AH5" i="7"/>
  <c r="AG5" i="7"/>
  <c r="AF5" i="7"/>
  <c r="AE5" i="7"/>
  <c r="AD5" i="7"/>
  <c r="AB5" i="7"/>
  <c r="AA5" i="7"/>
  <c r="Z5" i="7"/>
  <c r="Y5" i="7"/>
  <c r="X5" i="7"/>
  <c r="T5" i="7"/>
  <c r="R5" i="7"/>
  <c r="Q5" i="7"/>
  <c r="P5" i="7"/>
  <c r="O5" i="7"/>
  <c r="N5" i="7"/>
  <c r="M5" i="7"/>
  <c r="L5" i="7"/>
  <c r="K5" i="7"/>
  <c r="J5" i="7"/>
  <c r="I5" i="7"/>
  <c r="G5" i="7"/>
  <c r="E5" i="7"/>
  <c r="D5" i="7"/>
  <c r="C5" i="7"/>
  <c r="B5" i="7"/>
  <c r="A5" i="7"/>
  <c r="AO4" i="7"/>
  <c r="AN4" i="7"/>
  <c r="AM4" i="7"/>
  <c r="AL4" i="7"/>
  <c r="AK4" i="7"/>
  <c r="AJ4" i="7"/>
  <c r="AI4" i="7"/>
  <c r="AH4" i="7"/>
  <c r="AG4" i="7"/>
  <c r="AF4" i="7"/>
  <c r="AE4" i="7"/>
  <c r="AD4" i="7"/>
  <c r="AB4" i="7"/>
  <c r="AA4" i="7"/>
  <c r="Z4" i="7"/>
  <c r="Y4" i="7"/>
  <c r="X4" i="7"/>
  <c r="T4" i="7"/>
  <c r="R4" i="7"/>
  <c r="Q4" i="7"/>
  <c r="P4" i="7"/>
  <c r="O4" i="7"/>
  <c r="N4" i="7"/>
  <c r="M4" i="7"/>
  <c r="L4" i="7"/>
  <c r="K4" i="7"/>
  <c r="J4" i="7"/>
  <c r="I4" i="7"/>
  <c r="G4" i="7"/>
  <c r="E4" i="7"/>
  <c r="D4" i="7"/>
  <c r="C4" i="7"/>
  <c r="B4" i="7"/>
  <c r="A4" i="7"/>
  <c r="AO3" i="7"/>
  <c r="AN3" i="7"/>
  <c r="AM3" i="7"/>
  <c r="AL3" i="7"/>
  <c r="AK3" i="7"/>
  <c r="AJ3" i="7"/>
  <c r="AI3" i="7"/>
  <c r="AH3" i="7"/>
  <c r="AG3" i="7"/>
  <c r="AF3" i="7"/>
  <c r="AE3" i="7"/>
  <c r="AD3" i="7"/>
  <c r="AB3" i="7"/>
  <c r="AA3" i="7"/>
  <c r="Z3" i="7"/>
  <c r="Y3" i="7"/>
  <c r="X3" i="7"/>
  <c r="T3" i="7"/>
  <c r="R3" i="7"/>
  <c r="Q3" i="7"/>
  <c r="P3" i="7"/>
  <c r="O3" i="7"/>
  <c r="N3" i="7"/>
  <c r="M3" i="7"/>
  <c r="L3" i="7"/>
  <c r="K3" i="7"/>
  <c r="J3" i="7"/>
  <c r="I3" i="7"/>
  <c r="G3" i="7"/>
  <c r="E3" i="7"/>
  <c r="D3" i="7"/>
  <c r="C3" i="7"/>
  <c r="B3" i="7"/>
  <c r="A3" i="7"/>
  <c r="AO2" i="7"/>
  <c r="AN2" i="7"/>
  <c r="AM2" i="7"/>
  <c r="AL2" i="7"/>
  <c r="AK2" i="7"/>
  <c r="AJ2" i="7"/>
  <c r="AI2" i="7"/>
  <c r="AH2" i="7"/>
  <c r="AG2" i="7"/>
  <c r="AF2" i="7"/>
  <c r="AE2" i="7"/>
  <c r="AD2" i="7"/>
  <c r="AB2" i="7"/>
  <c r="AA2" i="7"/>
  <c r="Z2" i="7"/>
  <c r="Y2" i="7"/>
  <c r="X2" i="7"/>
  <c r="T2" i="7"/>
  <c r="R2" i="7"/>
  <c r="Q2" i="7"/>
  <c r="P2" i="7"/>
  <c r="O2" i="7"/>
  <c r="N2" i="7"/>
  <c r="M2" i="7"/>
  <c r="L2" i="7"/>
  <c r="K2" i="7"/>
  <c r="J2" i="7"/>
  <c r="I2" i="7"/>
  <c r="G2" i="7"/>
  <c r="E2" i="7"/>
  <c r="D2" i="7"/>
  <c r="C2" i="7"/>
  <c r="B2" i="7"/>
  <c r="A2" i="7"/>
</calcChain>
</file>

<file path=xl/sharedStrings.xml><?xml version="1.0" encoding="utf-8"?>
<sst xmlns="http://schemas.openxmlformats.org/spreadsheetml/2006/main" count="196" uniqueCount="111">
  <si>
    <t>string[64]</t>
  </si>
  <si>
    <t>dword</t>
  </si>
  <si>
    <t>END</t>
  </si>
  <si>
    <t>Code</t>
  </si>
  <si>
    <t>IsExist</t>
  </si>
  <si>
    <t>Model</t>
  </si>
  <si>
    <t>Icon</t>
  </si>
  <si>
    <t>Name</t>
  </si>
  <si>
    <t>Civil</t>
  </si>
  <si>
    <t>FRAType</t>
  </si>
  <si>
    <t>IsSell</t>
  </si>
  <si>
    <t>IsExchange</t>
  </si>
  <si>
    <t>IsGround</t>
  </si>
  <si>
    <t>IsStore</t>
  </si>
  <si>
    <t>IsNormAcc</t>
  </si>
  <si>
    <t>ToolTip</t>
  </si>
  <si>
    <t>inbbb01</t>
  </si>
  <si>
    <t>730700</t>
  </si>
  <si>
    <t>11000</t>
  </si>
  <si>
    <t>tinbbb01</t>
  </si>
  <si>
    <t>inbbb02</t>
  </si>
  <si>
    <t>730701</t>
  </si>
  <si>
    <t>tinbbb02</t>
  </si>
  <si>
    <t>inbbb03</t>
  </si>
  <si>
    <t>730702</t>
  </si>
  <si>
    <t>tinbbb03</t>
  </si>
  <si>
    <t>inbbb04</t>
  </si>
  <si>
    <t>730703</t>
  </si>
  <si>
    <t>tinbbb04</t>
  </si>
  <si>
    <t>float</t>
  </si>
  <si>
    <t>Unit_HP</t>
  </si>
  <si>
    <t>DefGap</t>
  </si>
  <si>
    <t>DefFacing</t>
  </si>
  <si>
    <t>MoveRateSpeed</t>
  </si>
  <si>
    <t>Height</t>
  </si>
  <si>
    <t>Width</t>
  </si>
  <si>
    <t>Money</t>
  </si>
  <si>
    <t>StdPrice</t>
  </si>
  <si>
    <t>StdPoint</t>
  </si>
  <si>
    <t>GoldPoint</t>
  </si>
  <si>
    <t>KillPoint</t>
  </si>
  <si>
    <t>ProcPoint</t>
  </si>
  <si>
    <t>StorePrice</t>
  </si>
  <si>
    <t>RepPrice</t>
  </si>
  <si>
    <t>IsDestroy</t>
  </si>
  <si>
    <t>IsRepair</t>
  </si>
  <si>
    <t>Head</t>
  </si>
  <si>
    <t>Upper</t>
  </si>
  <si>
    <t>Lower</t>
  </si>
  <si>
    <t>Arms</t>
  </si>
  <si>
    <t>Shoulder</t>
  </si>
  <si>
    <t>Back</t>
  </si>
  <si>
    <t>BullaetArms</t>
  </si>
  <si>
    <t>BulletShould</t>
  </si>
  <si>
    <t>BGO</t>
  </si>
  <si>
    <t>unhe001</t>
  </si>
  <si>
    <t>unup001</t>
  </si>
  <si>
    <t>unlo001</t>
  </si>
  <si>
    <t>unar001</t>
  </si>
  <si>
    <t>unsg000</t>
  </si>
  <si>
    <t>unbg000</t>
  </si>
  <si>
    <t>unbu001</t>
  </si>
  <si>
    <t>BCA</t>
  </si>
  <si>
    <t>unhe021</t>
  </si>
  <si>
    <t>unup021</t>
  </si>
  <si>
    <t>unlo021</t>
  </si>
  <si>
    <t>unar021</t>
  </si>
  <si>
    <t>unsc000</t>
  </si>
  <si>
    <t>unbc000</t>
  </si>
  <si>
    <t>unbu021</t>
  </si>
  <si>
    <t>BEN</t>
  </si>
  <si>
    <t>unhe041</t>
  </si>
  <si>
    <t>unup041</t>
  </si>
  <si>
    <t>unlo041</t>
  </si>
  <si>
    <t>unar041</t>
  </si>
  <si>
    <t>unse000</t>
  </si>
  <si>
    <t>unbe000</t>
  </si>
  <si>
    <t>unbu041</t>
  </si>
  <si>
    <t>BNO</t>
  </si>
  <si>
    <t>unhe061</t>
  </si>
  <si>
    <t>unup061</t>
  </si>
  <si>
    <t>unlo061</t>
  </si>
  <si>
    <t>unar061</t>
  </si>
  <si>
    <t>unsn000</t>
  </si>
  <si>
    <t>unbn000</t>
  </si>
  <si>
    <t>unbu061</t>
  </si>
  <si>
    <t>Count</t>
  </si>
  <si>
    <t>text</t>
  </si>
  <si>
    <t>Desc</t>
  </si>
  <si>
    <t>clcode</t>
  </si>
  <si>
    <t>xeh</t>
  </si>
  <si>
    <t>stb</t>
  </si>
  <si>
    <t>byte</t>
  </si>
  <si>
    <t>word</t>
  </si>
  <si>
    <t>long</t>
  </si>
  <si>
    <t>ListID</t>
  </si>
  <si>
    <t>none</t>
  </si>
  <si>
    <t>Descript</t>
  </si>
  <si>
    <t>IsCash</t>
  </si>
  <si>
    <t>IsTime</t>
  </si>
  <si>
    <t>UpLvLim</t>
  </si>
  <si>
    <t>hz</t>
  </si>
  <si>
    <t>custom[dword]</t>
  </si>
  <si>
    <t>Goliath</t>
  </si>
  <si>
    <t>Catapult</t>
  </si>
  <si>
    <t>Engineer</t>
  </si>
  <si>
    <t>Nomad</t>
  </si>
  <si>
    <t>[Goliath Master Key] MAU for close range battle [Require the master key to Repair/Trade]</t>
  </si>
  <si>
    <t>[Catapult Master Key] Long range type MAU[Require the master key to Repair/Trade]</t>
  </si>
  <si>
    <t>[Engineer Master Key] Special type MAU[Require the master key to Repair/Trade]</t>
  </si>
  <si>
    <t>[Nomad Master Key] Transportation type MAU[Require the master key to Repair/Trade]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</si>
</sst>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9.5703125" bestFit="1" customWidth="1"/>
    <col min="6" max="6" width="9.42578125" bestFit="1" customWidth="1"/>
    <col min="7" max="7" width="8.7109375" bestFit="1" customWidth="1"/>
    <col min="8" max="8" width="6.7109375" bestFit="1" customWidth="1"/>
    <col min="9" max="9" width="10.7109375" bestFit="1" customWidth="1"/>
    <col min="10" max="10" width="9" bestFit="1" customWidth="1"/>
    <col min="11" max="11" width="7.140625" bestFit="1" customWidth="1"/>
    <col min="12" max="12" width="10.42578125" bestFit="1" customWidth="1"/>
    <col min="13" max="13" width="9.42578125" bestFit="1" customWidth="1"/>
    <col min="14" max="14" width="4.7109375" bestFit="1" customWidth="1"/>
  </cols>
  <sheetData>
    <row r="1" spans="1:14" x14ac:dyDescent="0.25">
      <c r="A1" t="s">
        <v>0</v>
      </c>
      <c r="B1" t="s">
        <v>1</v>
      </c>
      <c r="C1" s="1" t="s">
        <v>0</v>
      </c>
      <c r="D1" t="s">
        <v>1</v>
      </c>
      <c r="E1" t="s">
        <v>0</v>
      </c>
      <c r="F1" s="1" t="s">
        <v>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0</v>
      </c>
      <c r="N1" t="s">
        <v>2</v>
      </c>
    </row>
    <row r="2" spans="1:14" x14ac:dyDescent="0.25">
      <c r="A2" t="s">
        <v>3</v>
      </c>
      <c r="B2" t="s">
        <v>4</v>
      </c>
      <c r="C2" s="1" t="s">
        <v>5</v>
      </c>
      <c r="D2" t="s">
        <v>6</v>
      </c>
      <c r="E2" t="s">
        <v>7</v>
      </c>
      <c r="F2" s="1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4" x14ac:dyDescent="0.25">
      <c r="A3" t="s">
        <v>16</v>
      </c>
      <c r="B3">
        <v>1</v>
      </c>
      <c r="C3" s="1" t="s">
        <v>17</v>
      </c>
      <c r="D3">
        <v>1</v>
      </c>
      <c r="E3" s="3" t="s">
        <v>103</v>
      </c>
      <c r="F3" s="1" t="s">
        <v>18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 t="s">
        <v>19</v>
      </c>
    </row>
    <row r="4" spans="1:14" x14ac:dyDescent="0.25">
      <c r="A4" t="s">
        <v>20</v>
      </c>
      <c r="B4">
        <v>1</v>
      </c>
      <c r="C4" s="1" t="s">
        <v>21</v>
      </c>
      <c r="D4">
        <v>2</v>
      </c>
      <c r="E4" s="3" t="s">
        <v>104</v>
      </c>
      <c r="F4" s="1" t="s">
        <v>18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 t="s">
        <v>22</v>
      </c>
    </row>
    <row r="5" spans="1:14" x14ac:dyDescent="0.25">
      <c r="A5" t="s">
        <v>23</v>
      </c>
      <c r="B5">
        <v>1</v>
      </c>
      <c r="C5" s="1" t="s">
        <v>24</v>
      </c>
      <c r="D5">
        <v>3</v>
      </c>
      <c r="E5" s="3" t="s">
        <v>105</v>
      </c>
      <c r="F5" s="1" t="s">
        <v>18</v>
      </c>
      <c r="G5">
        <v>2</v>
      </c>
      <c r="H5">
        <v>1</v>
      </c>
      <c r="I5">
        <v>0</v>
      </c>
      <c r="J5">
        <v>0</v>
      </c>
      <c r="K5">
        <v>0</v>
      </c>
      <c r="L5">
        <v>1</v>
      </c>
      <c r="M5" t="s">
        <v>25</v>
      </c>
    </row>
    <row r="6" spans="1:14" x14ac:dyDescent="0.25">
      <c r="A6" t="s">
        <v>26</v>
      </c>
      <c r="B6">
        <v>1</v>
      </c>
      <c r="C6" s="1" t="s">
        <v>27</v>
      </c>
      <c r="D6">
        <v>4</v>
      </c>
      <c r="E6" s="3" t="s">
        <v>106</v>
      </c>
      <c r="F6" s="1" t="s">
        <v>18</v>
      </c>
      <c r="G6">
        <v>3</v>
      </c>
      <c r="H6">
        <v>1</v>
      </c>
      <c r="I6">
        <v>0</v>
      </c>
      <c r="J6">
        <v>0</v>
      </c>
      <c r="K6">
        <v>0</v>
      </c>
      <c r="L6">
        <v>1</v>
      </c>
      <c r="M6" t="s">
        <v>28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7109375" bestFit="1" customWidth="1"/>
    <col min="3" max="3" width="8.140625" bestFit="1" customWidth="1"/>
    <col min="4" max="5" width="12" bestFit="1" customWidth="1"/>
    <col min="6" max="6" width="15.7109375" bestFit="1" customWidth="1"/>
    <col min="7" max="7" width="6.85546875" bestFit="1" customWidth="1"/>
    <col min="8" max="8" width="6.42578125" bestFit="1" customWidth="1"/>
    <col min="9" max="9" width="7.140625" bestFit="1" customWidth="1"/>
    <col min="10" max="10" width="8.28515625" bestFit="1" customWidth="1"/>
    <col min="11" max="11" width="8.5703125" bestFit="1" customWidth="1"/>
    <col min="12" max="12" width="9.85546875" bestFit="1" customWidth="1"/>
    <col min="13" max="13" width="8.5703125" bestFit="1" customWidth="1"/>
    <col min="14" max="14" width="9.5703125" bestFit="1" customWidth="1"/>
    <col min="15" max="15" width="10.140625" bestFit="1" customWidth="1"/>
    <col min="16" max="16" width="8.85546875" bestFit="1" customWidth="1"/>
    <col min="17" max="17" width="9.28515625" bestFit="1" customWidth="1"/>
    <col min="18" max="18" width="8.140625" bestFit="1" customWidth="1"/>
    <col min="19" max="24" width="9.42578125" bestFit="1" customWidth="1"/>
    <col min="25" max="25" width="11.85546875" bestFit="1" customWidth="1"/>
    <col min="26" max="26" width="12.42578125" bestFit="1" customWidth="1"/>
    <col min="27" max="27" width="4.7109375" bestFit="1" customWidth="1"/>
  </cols>
  <sheetData>
    <row r="1" spans="1:27" x14ac:dyDescent="0.25">
      <c r="A1" t="s">
        <v>0</v>
      </c>
      <c r="B1" t="s">
        <v>1</v>
      </c>
      <c r="C1" t="s">
        <v>1</v>
      </c>
      <c r="D1" t="s">
        <v>29</v>
      </c>
      <c r="E1" t="s">
        <v>29</v>
      </c>
      <c r="F1" t="s">
        <v>29</v>
      </c>
      <c r="G1" t="s">
        <v>29</v>
      </c>
      <c r="H1" t="s">
        <v>29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2</v>
      </c>
    </row>
    <row r="2" spans="1:27" x14ac:dyDescent="0.25">
      <c r="A2" t="s">
        <v>3</v>
      </c>
      <c r="B2" t="s">
        <v>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</row>
    <row r="3" spans="1:27" x14ac:dyDescent="0.25">
      <c r="A3" t="s">
        <v>54</v>
      </c>
      <c r="B3">
        <v>0</v>
      </c>
      <c r="C3">
        <v>300000</v>
      </c>
      <c r="D3">
        <v>0.5</v>
      </c>
      <c r="E3">
        <v>0.17181999981403351</v>
      </c>
      <c r="F3">
        <v>2.5</v>
      </c>
      <c r="G3">
        <v>25</v>
      </c>
      <c r="H3">
        <v>15</v>
      </c>
      <c r="I3">
        <v>0</v>
      </c>
      <c r="J3">
        <v>1000000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60</v>
      </c>
    </row>
    <row r="4" spans="1:27" x14ac:dyDescent="0.25">
      <c r="A4" t="s">
        <v>62</v>
      </c>
      <c r="B4">
        <v>1</v>
      </c>
      <c r="C4">
        <v>160000</v>
      </c>
      <c r="D4">
        <v>0.57499998807907104</v>
      </c>
      <c r="E4">
        <v>0.19619199633598328</v>
      </c>
      <c r="F4">
        <v>2.5</v>
      </c>
      <c r="G4">
        <v>25</v>
      </c>
      <c r="H4">
        <v>15</v>
      </c>
      <c r="I4">
        <v>0</v>
      </c>
      <c r="J4">
        <v>1000000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Z4" t="s">
        <v>68</v>
      </c>
    </row>
    <row r="5" spans="1:27" x14ac:dyDescent="0.25">
      <c r="A5" t="s">
        <v>70</v>
      </c>
      <c r="B5">
        <v>2</v>
      </c>
      <c r="C5">
        <v>110000</v>
      </c>
      <c r="D5">
        <v>0.5</v>
      </c>
      <c r="E5">
        <v>0.5</v>
      </c>
      <c r="F5">
        <v>2.5</v>
      </c>
      <c r="G5">
        <v>25</v>
      </c>
      <c r="H5">
        <v>15</v>
      </c>
      <c r="I5">
        <v>0</v>
      </c>
      <c r="J5">
        <v>1000000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  <c r="X5" t="s">
        <v>76</v>
      </c>
      <c r="Y5" t="s">
        <v>77</v>
      </c>
      <c r="Z5" t="s">
        <v>76</v>
      </c>
    </row>
    <row r="6" spans="1:27" x14ac:dyDescent="0.25">
      <c r="A6" t="s">
        <v>78</v>
      </c>
      <c r="B6">
        <v>3</v>
      </c>
      <c r="C6">
        <v>110000</v>
      </c>
      <c r="D6">
        <v>0.5</v>
      </c>
      <c r="E6">
        <v>0.5</v>
      </c>
      <c r="F6">
        <v>2.5</v>
      </c>
      <c r="G6">
        <v>25</v>
      </c>
      <c r="H6">
        <v>15</v>
      </c>
      <c r="I6">
        <v>0</v>
      </c>
      <c r="J6">
        <v>1000000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140625" style="2" bestFit="1" customWidth="1"/>
    <col min="2" max="2" width="9.5703125" bestFit="1" customWidth="1"/>
    <col min="3" max="3" width="7" style="2" bestFit="1" customWidth="1"/>
    <col min="4" max="4" width="6.7109375" bestFit="1" customWidth="1"/>
    <col min="5" max="5" width="6" style="2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8.7109375" bestFit="1" customWidth="1"/>
    <col min="25" max="26" width="15.7109375" bestFit="1" customWidth="1"/>
    <col min="27" max="27" width="6.85546875" bestFit="1" customWidth="1"/>
    <col min="28" max="28" width="6.42578125" bestFit="1" customWidth="1"/>
    <col min="29" max="29" width="5.5703125" bestFit="1" customWidth="1"/>
    <col min="30" max="30" width="8.140625" bestFit="1" customWidth="1"/>
    <col min="31" max="31" width="8.85546875" bestFit="1" customWidth="1"/>
    <col min="32" max="39" width="14.7109375" bestFit="1" customWidth="1"/>
    <col min="40" max="40" width="9.28515625" bestFit="1" customWidth="1"/>
    <col min="41" max="41" width="8.140625" bestFit="1" customWidth="1"/>
    <col min="42" max="42" width="6.7109375" bestFit="1" customWidth="1"/>
    <col min="43" max="43" width="4.7109375" bestFit="1" customWidth="1"/>
  </cols>
  <sheetData>
    <row r="1" spans="1:43" x14ac:dyDescent="0.25">
      <c r="A1" s="2" t="s">
        <v>89</v>
      </c>
      <c r="B1" t="s">
        <v>0</v>
      </c>
      <c r="C1" s="2" t="s">
        <v>90</v>
      </c>
      <c r="D1" t="s">
        <v>1</v>
      </c>
      <c r="E1" s="2" t="s">
        <v>91</v>
      </c>
      <c r="F1" t="s">
        <v>92</v>
      </c>
      <c r="G1" t="s">
        <v>92</v>
      </c>
      <c r="H1" t="s">
        <v>93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94</v>
      </c>
      <c r="X1" t="s">
        <v>1</v>
      </c>
      <c r="Y1" t="s">
        <v>29</v>
      </c>
      <c r="Z1" t="s">
        <v>29</v>
      </c>
      <c r="AA1" t="s">
        <v>92</v>
      </c>
      <c r="AB1" t="s">
        <v>92</v>
      </c>
      <c r="AC1" t="s">
        <v>93</v>
      </c>
      <c r="AD1" t="s">
        <v>1</v>
      </c>
      <c r="AE1" t="s">
        <v>1</v>
      </c>
      <c r="AF1" t="s">
        <v>102</v>
      </c>
      <c r="AG1" t="s">
        <v>102</v>
      </c>
      <c r="AH1" t="s">
        <v>102</v>
      </c>
      <c r="AI1" t="s">
        <v>102</v>
      </c>
      <c r="AJ1" t="s">
        <v>102</v>
      </c>
      <c r="AK1" t="s">
        <v>102</v>
      </c>
      <c r="AL1" t="s">
        <v>102</v>
      </c>
      <c r="AM1" t="s">
        <v>102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25">
      <c r="A2" s="2" t="str">
        <f>UnitKeyItem!A2</f>
        <v>Code</v>
      </c>
      <c r="B2" t="str">
        <f>UnitKeyItem!E2</f>
        <v>Name</v>
      </c>
      <c r="C2" s="1" t="str">
        <f>UnitKeyItem!C2</f>
        <v>Model</v>
      </c>
      <c r="D2" t="str">
        <f>UnitKeyItem!D2</f>
        <v>Icon</v>
      </c>
      <c r="E2" s="1" t="str">
        <f>UnitKeyItem!F2</f>
        <v>Civil</v>
      </c>
      <c r="F2" t="s">
        <v>95</v>
      </c>
      <c r="G2" t="str">
        <f>UnitFrame!I2</f>
        <v>Money</v>
      </c>
      <c r="H2" t="s">
        <v>96</v>
      </c>
      <c r="I2" t="str">
        <f>UnitFrame!J2</f>
        <v>StdPrice</v>
      </c>
      <c r="J2" t="str">
        <f>UnitFrame!K2</f>
        <v>StdPoint</v>
      </c>
      <c r="K2" t="str">
        <f>UnitFrame!L2</f>
        <v>GoldPoint</v>
      </c>
      <c r="L2" t="str">
        <f>UnitFrame!N2</f>
        <v>ProcPoint</v>
      </c>
      <c r="M2" t="str">
        <f>UnitFrame!M2</f>
        <v>KillPoint</v>
      </c>
      <c r="N2" t="str">
        <f>UnitFrame!O2</f>
        <v>StorePrice</v>
      </c>
      <c r="O2" t="str">
        <f>UnitKeyItem!I2</f>
        <v>IsExchange</v>
      </c>
      <c r="P2" t="str">
        <f>UnitKeyItem!H2</f>
        <v>IsSell</v>
      </c>
      <c r="Q2" t="str">
        <f>UnitKeyItem!J2</f>
        <v>IsGround</v>
      </c>
      <c r="R2" t="str">
        <f>UnitKeyItem!K2</f>
        <v>IsStore</v>
      </c>
      <c r="S2" t="s">
        <v>97</v>
      </c>
      <c r="T2" t="str">
        <f>UnitKeyItem!B2</f>
        <v>IsExist</v>
      </c>
      <c r="U2" t="s">
        <v>98</v>
      </c>
      <c r="V2" t="s">
        <v>99</v>
      </c>
      <c r="W2" t="s">
        <v>100</v>
      </c>
      <c r="X2" t="str">
        <f>UnitFrame!B2</f>
        <v>FRAType</v>
      </c>
      <c r="Y2" t="str">
        <f>UnitFrame!F2</f>
        <v>MoveRateSpeed</v>
      </c>
      <c r="Z2" t="str">
        <f>UnitFrame!F2</f>
        <v>MoveRateSpeed</v>
      </c>
      <c r="AA2" t="str">
        <f>UnitFrame!G2</f>
        <v>Height</v>
      </c>
      <c r="AB2" t="str">
        <f>UnitFrame!H2</f>
        <v>Width</v>
      </c>
      <c r="AC2" t="s">
        <v>96</v>
      </c>
      <c r="AD2" t="str">
        <f>UnitFrame!C2</f>
        <v>Unit_HP</v>
      </c>
      <c r="AE2" t="str">
        <f>UnitFrame!P2</f>
        <v>RepPrice</v>
      </c>
      <c r="AF2" t="str">
        <f>UnitFrame!S2</f>
        <v>Head</v>
      </c>
      <c r="AG2" t="str">
        <f>UnitFrame!T2</f>
        <v>Upper</v>
      </c>
      <c r="AH2" t="str">
        <f>UnitFrame!U2</f>
        <v>Lower</v>
      </c>
      <c r="AI2" t="str">
        <f>UnitFrame!V2</f>
        <v>Arms</v>
      </c>
      <c r="AJ2" t="str">
        <f>UnitFrame!W2</f>
        <v>Shoulder</v>
      </c>
      <c r="AK2" t="str">
        <f>UnitFrame!X2</f>
        <v>Back</v>
      </c>
      <c r="AL2" t="str">
        <f>UnitFrame!Y2</f>
        <v>BullaetArms</v>
      </c>
      <c r="AM2" t="str">
        <f>UnitFrame!Z2</f>
        <v>BulletShould</v>
      </c>
      <c r="AN2" t="str">
        <f>UnitFrame!Q2</f>
        <v>IsDestroy</v>
      </c>
      <c r="AO2" t="str">
        <f>UnitFrame!R2</f>
        <v>IsRepair</v>
      </c>
      <c r="AP2" t="s">
        <v>101</v>
      </c>
    </row>
    <row r="3" spans="1:43" x14ac:dyDescent="0.25">
      <c r="A3" s="2" t="str">
        <f>UnitKeyItem!A3</f>
        <v>inbbb01</v>
      </c>
      <c r="B3" t="str">
        <f>UnitKeyItem!E3</f>
        <v>Goliath</v>
      </c>
      <c r="C3" s="1" t="str">
        <f>UnitKeyItem!C3</f>
        <v>730700</v>
      </c>
      <c r="D3">
        <f>UnitKeyItem!D3</f>
        <v>1</v>
      </c>
      <c r="E3" s="1" t="str">
        <f>UnitKeyItem!F3</f>
        <v>11000</v>
      </c>
      <c r="F3">
        <v>19</v>
      </c>
      <c r="G3">
        <f>UnitFrame!I3</f>
        <v>0</v>
      </c>
      <c r="H3">
        <v>0</v>
      </c>
      <c r="I3">
        <f>UnitFrame!J3</f>
        <v>1000000</v>
      </c>
      <c r="J3">
        <f>UnitFrame!K3</f>
        <v>0</v>
      </c>
      <c r="K3">
        <f>UnitFrame!L3</f>
        <v>0</v>
      </c>
      <c r="L3">
        <f>UnitFrame!N3</f>
        <v>0</v>
      </c>
      <c r="M3">
        <f>UnitFrame!M3</f>
        <v>0</v>
      </c>
      <c r="N3">
        <f>UnitFrame!O3</f>
        <v>0</v>
      </c>
      <c r="O3">
        <f>UnitKeyItem!I3</f>
        <v>0</v>
      </c>
      <c r="P3">
        <f>UnitKeyItem!H3</f>
        <v>1</v>
      </c>
      <c r="Q3">
        <f>UnitKeyItem!J3</f>
        <v>0</v>
      </c>
      <c r="R3">
        <f>UnitKeyItem!K3</f>
        <v>0</v>
      </c>
      <c r="S3">
        <v>0</v>
      </c>
      <c r="T3">
        <f>UnitKeyItem!B3</f>
        <v>1</v>
      </c>
      <c r="U3">
        <v>0</v>
      </c>
      <c r="V3">
        <v>0</v>
      </c>
      <c r="W3">
        <v>0</v>
      </c>
      <c r="X3">
        <f>UnitFrame!B3</f>
        <v>0</v>
      </c>
      <c r="Y3">
        <f>UnitFrame!F3</f>
        <v>2.5</v>
      </c>
      <c r="Z3">
        <f>UnitFrame!F3</f>
        <v>2.5</v>
      </c>
      <c r="AA3">
        <f>UnitFrame!G3</f>
        <v>25</v>
      </c>
      <c r="AB3">
        <f>UnitFrame!H3</f>
        <v>15</v>
      </c>
      <c r="AC3">
        <v>0</v>
      </c>
      <c r="AD3">
        <f>UnitFrame!C3</f>
        <v>300000</v>
      </c>
      <c r="AE3">
        <f>UnitFrame!P3</f>
        <v>1</v>
      </c>
      <c r="AF3" t="str">
        <f>UnitFrame!S3</f>
        <v>unhe001</v>
      </c>
      <c r="AG3" t="str">
        <f>UnitFrame!T3</f>
        <v>unup001</v>
      </c>
      <c r="AH3" t="str">
        <f>UnitFrame!U3</f>
        <v>unlo001</v>
      </c>
      <c r="AI3" t="str">
        <f>UnitFrame!V3</f>
        <v>unar001</v>
      </c>
      <c r="AJ3" t="str">
        <f>UnitFrame!W3</f>
        <v>unsg000</v>
      </c>
      <c r="AK3" t="str">
        <f>UnitFrame!X3</f>
        <v>unbg000</v>
      </c>
      <c r="AL3" t="str">
        <f>UnitFrame!Y3</f>
        <v>unbu001</v>
      </c>
      <c r="AM3" t="str">
        <f>UnitFrame!Z3</f>
        <v>unbg000</v>
      </c>
      <c r="AN3">
        <f>UnitFrame!Q3</f>
        <v>0</v>
      </c>
      <c r="AO3">
        <f>UnitFrame!R3</f>
        <v>1</v>
      </c>
      <c r="AP3">
        <v>0</v>
      </c>
    </row>
    <row r="4" spans="1:43" x14ac:dyDescent="0.25">
      <c r="A4" s="2" t="str">
        <f>UnitKeyItem!A4</f>
        <v>inbbb02</v>
      </c>
      <c r="B4" t="str">
        <f>UnitKeyItem!E4</f>
        <v>Catapult</v>
      </c>
      <c r="C4" s="1" t="str">
        <f>UnitKeyItem!C4</f>
        <v>730701</v>
      </c>
      <c r="D4">
        <f>UnitKeyItem!D4</f>
        <v>2</v>
      </c>
      <c r="E4" s="1" t="str">
        <f>UnitKeyItem!F4</f>
        <v>11000</v>
      </c>
      <c r="F4">
        <v>19</v>
      </c>
      <c r="G4">
        <f>UnitFrame!I4</f>
        <v>0</v>
      </c>
      <c r="H4">
        <v>0</v>
      </c>
      <c r="I4">
        <f>UnitFrame!J4</f>
        <v>1000000</v>
      </c>
      <c r="J4">
        <f>UnitFrame!K4</f>
        <v>0</v>
      </c>
      <c r="K4">
        <f>UnitFrame!L4</f>
        <v>0</v>
      </c>
      <c r="L4">
        <f>UnitFrame!N4</f>
        <v>0</v>
      </c>
      <c r="M4">
        <f>UnitFrame!M4</f>
        <v>0</v>
      </c>
      <c r="N4">
        <f>UnitFrame!O4</f>
        <v>0</v>
      </c>
      <c r="O4">
        <f>UnitKeyItem!I4</f>
        <v>0</v>
      </c>
      <c r="P4">
        <f>UnitKeyItem!H4</f>
        <v>1</v>
      </c>
      <c r="Q4">
        <f>UnitKeyItem!J4</f>
        <v>0</v>
      </c>
      <c r="R4">
        <f>UnitKeyItem!K4</f>
        <v>0</v>
      </c>
      <c r="S4">
        <v>1</v>
      </c>
      <c r="T4">
        <f>UnitKeyItem!B4</f>
        <v>1</v>
      </c>
      <c r="U4">
        <v>0</v>
      </c>
      <c r="V4">
        <v>0</v>
      </c>
      <c r="W4">
        <v>0</v>
      </c>
      <c r="X4">
        <f>UnitFrame!B4</f>
        <v>1</v>
      </c>
      <c r="Y4">
        <f>UnitFrame!F4</f>
        <v>2.5</v>
      </c>
      <c r="Z4">
        <f>UnitFrame!F4</f>
        <v>2.5</v>
      </c>
      <c r="AA4">
        <f>UnitFrame!G4</f>
        <v>25</v>
      </c>
      <c r="AB4">
        <f>UnitFrame!H4</f>
        <v>15</v>
      </c>
      <c r="AC4">
        <v>0</v>
      </c>
      <c r="AD4">
        <f>UnitFrame!C4</f>
        <v>160000</v>
      </c>
      <c r="AE4">
        <f>UnitFrame!P4</f>
        <v>1</v>
      </c>
      <c r="AF4" t="str">
        <f>UnitFrame!S4</f>
        <v>unhe021</v>
      </c>
      <c r="AG4" t="str">
        <f>UnitFrame!T4</f>
        <v>unup021</v>
      </c>
      <c r="AH4" t="str">
        <f>UnitFrame!U4</f>
        <v>unlo021</v>
      </c>
      <c r="AI4" t="str">
        <f>UnitFrame!V4</f>
        <v>unar021</v>
      </c>
      <c r="AJ4" t="str">
        <f>UnitFrame!W4</f>
        <v>unsc000</v>
      </c>
      <c r="AK4" t="str">
        <f>UnitFrame!X4</f>
        <v>unbc000</v>
      </c>
      <c r="AL4" t="str">
        <f>UnitFrame!Y4</f>
        <v>unbu021</v>
      </c>
      <c r="AM4" t="str">
        <f>UnitFrame!Z4</f>
        <v>unbc000</v>
      </c>
      <c r="AN4">
        <f>UnitFrame!Q4</f>
        <v>0</v>
      </c>
      <c r="AO4">
        <f>UnitFrame!R4</f>
        <v>1</v>
      </c>
      <c r="AP4">
        <v>0</v>
      </c>
    </row>
    <row r="5" spans="1:43" x14ac:dyDescent="0.25">
      <c r="A5" s="2" t="str">
        <f>UnitKeyItem!A5</f>
        <v>inbbb03</v>
      </c>
      <c r="B5" t="str">
        <f>UnitKeyItem!E5</f>
        <v>Engineer</v>
      </c>
      <c r="C5" s="1" t="str">
        <f>UnitKeyItem!C5</f>
        <v>730702</v>
      </c>
      <c r="D5">
        <f>UnitKeyItem!D5</f>
        <v>3</v>
      </c>
      <c r="E5" s="1" t="str">
        <f>UnitKeyItem!F5</f>
        <v>11000</v>
      </c>
      <c r="F5">
        <v>19</v>
      </c>
      <c r="G5">
        <f>UnitFrame!I5</f>
        <v>0</v>
      </c>
      <c r="H5">
        <v>0</v>
      </c>
      <c r="I5">
        <f>UnitFrame!J5</f>
        <v>1000000</v>
      </c>
      <c r="J5">
        <f>UnitFrame!K5</f>
        <v>0</v>
      </c>
      <c r="K5">
        <f>UnitFrame!L5</f>
        <v>0</v>
      </c>
      <c r="L5">
        <f>UnitFrame!N5</f>
        <v>0</v>
      </c>
      <c r="M5">
        <f>UnitFrame!M5</f>
        <v>0</v>
      </c>
      <c r="N5">
        <f>UnitFrame!O5</f>
        <v>0</v>
      </c>
      <c r="O5">
        <f>UnitKeyItem!I5</f>
        <v>0</v>
      </c>
      <c r="P5">
        <f>UnitKeyItem!H5</f>
        <v>1</v>
      </c>
      <c r="Q5">
        <f>UnitKeyItem!J5</f>
        <v>0</v>
      </c>
      <c r="R5">
        <f>UnitKeyItem!K5</f>
        <v>0</v>
      </c>
      <c r="S5">
        <v>2</v>
      </c>
      <c r="T5">
        <f>UnitKeyItem!B5</f>
        <v>1</v>
      </c>
      <c r="U5">
        <v>0</v>
      </c>
      <c r="V5">
        <v>0</v>
      </c>
      <c r="W5">
        <v>0</v>
      </c>
      <c r="X5">
        <f>UnitFrame!B5</f>
        <v>2</v>
      </c>
      <c r="Y5">
        <f>UnitFrame!F5</f>
        <v>2.5</v>
      </c>
      <c r="Z5">
        <f>UnitFrame!F5</f>
        <v>2.5</v>
      </c>
      <c r="AA5">
        <f>UnitFrame!G5</f>
        <v>25</v>
      </c>
      <c r="AB5">
        <f>UnitFrame!H5</f>
        <v>15</v>
      </c>
      <c r="AC5">
        <v>0</v>
      </c>
      <c r="AD5">
        <f>UnitFrame!C5</f>
        <v>110000</v>
      </c>
      <c r="AE5">
        <f>UnitFrame!P5</f>
        <v>1</v>
      </c>
      <c r="AF5" t="str">
        <f>UnitFrame!S5</f>
        <v>unhe041</v>
      </c>
      <c r="AG5" t="str">
        <f>UnitFrame!T5</f>
        <v>unup041</v>
      </c>
      <c r="AH5" t="str">
        <f>UnitFrame!U5</f>
        <v>unlo041</v>
      </c>
      <c r="AI5" t="str">
        <f>UnitFrame!V5</f>
        <v>unar041</v>
      </c>
      <c r="AJ5" t="str">
        <f>UnitFrame!W5</f>
        <v>unse000</v>
      </c>
      <c r="AK5" t="str">
        <f>UnitFrame!X5</f>
        <v>unbe000</v>
      </c>
      <c r="AL5" t="str">
        <f>UnitFrame!Y5</f>
        <v>unbu041</v>
      </c>
      <c r="AM5" t="str">
        <f>UnitFrame!Z5</f>
        <v>unbe000</v>
      </c>
      <c r="AN5">
        <f>UnitFrame!Q5</f>
        <v>0</v>
      </c>
      <c r="AO5">
        <f>UnitFrame!R5</f>
        <v>1</v>
      </c>
      <c r="AP5">
        <v>0</v>
      </c>
    </row>
    <row r="6" spans="1:43" x14ac:dyDescent="0.25">
      <c r="A6" s="2" t="str">
        <f>UnitKeyItem!A6</f>
        <v>inbbb04</v>
      </c>
      <c r="B6" t="str">
        <f>UnitKeyItem!E6</f>
        <v>Nomad</v>
      </c>
      <c r="C6" s="1" t="str">
        <f>UnitKeyItem!C6</f>
        <v>730703</v>
      </c>
      <c r="D6">
        <f>UnitKeyItem!D6</f>
        <v>4</v>
      </c>
      <c r="E6" s="1" t="str">
        <f>UnitKeyItem!F6</f>
        <v>11000</v>
      </c>
      <c r="F6">
        <v>19</v>
      </c>
      <c r="G6">
        <f>UnitFrame!I6</f>
        <v>0</v>
      </c>
      <c r="H6">
        <v>0</v>
      </c>
      <c r="I6">
        <f>UnitFrame!J6</f>
        <v>1000000</v>
      </c>
      <c r="J6">
        <f>UnitFrame!K6</f>
        <v>0</v>
      </c>
      <c r="K6">
        <f>UnitFrame!L6</f>
        <v>0</v>
      </c>
      <c r="L6">
        <f>UnitFrame!N6</f>
        <v>0</v>
      </c>
      <c r="M6">
        <f>UnitFrame!M6</f>
        <v>0</v>
      </c>
      <c r="N6">
        <f>UnitFrame!O6</f>
        <v>0</v>
      </c>
      <c r="O6">
        <f>UnitKeyItem!I6</f>
        <v>0</v>
      </c>
      <c r="P6">
        <f>UnitKeyItem!H6</f>
        <v>1</v>
      </c>
      <c r="Q6">
        <f>UnitKeyItem!J6</f>
        <v>0</v>
      </c>
      <c r="R6">
        <f>UnitKeyItem!K6</f>
        <v>0</v>
      </c>
      <c r="S6">
        <v>3</v>
      </c>
      <c r="T6">
        <f>UnitKeyItem!B6</f>
        <v>1</v>
      </c>
      <c r="U6">
        <v>0</v>
      </c>
      <c r="V6">
        <v>0</v>
      </c>
      <c r="W6">
        <v>0</v>
      </c>
      <c r="X6">
        <f>UnitFrame!B6</f>
        <v>3</v>
      </c>
      <c r="Y6">
        <f>UnitFrame!F6</f>
        <v>2.5</v>
      </c>
      <c r="Z6">
        <f>UnitFrame!F6</f>
        <v>2.5</v>
      </c>
      <c r="AA6">
        <f>UnitFrame!G6</f>
        <v>25</v>
      </c>
      <c r="AB6">
        <f>UnitFrame!H6</f>
        <v>15</v>
      </c>
      <c r="AC6">
        <v>0</v>
      </c>
      <c r="AD6">
        <f>UnitFrame!C6</f>
        <v>110000</v>
      </c>
      <c r="AE6">
        <f>UnitFrame!P6</f>
        <v>1</v>
      </c>
      <c r="AF6" t="str">
        <f>UnitFrame!S6</f>
        <v>unhe061</v>
      </c>
      <c r="AG6" t="str">
        <f>UnitFrame!T6</f>
        <v>unup061</v>
      </c>
      <c r="AH6" t="str">
        <f>UnitFrame!U6</f>
        <v>unlo061</v>
      </c>
      <c r="AI6" t="str">
        <f>UnitFrame!V6</f>
        <v>unar061</v>
      </c>
      <c r="AJ6" t="str">
        <f>UnitFrame!W6</f>
        <v>unsn000</v>
      </c>
      <c r="AK6" t="str">
        <f>UnitFrame!X6</f>
        <v>unbn000</v>
      </c>
      <c r="AL6" t="str">
        <f>UnitFrame!Y6</f>
        <v>unbu061</v>
      </c>
      <c r="AM6" t="str">
        <f>UnitFrame!Z6</f>
        <v>unbn000</v>
      </c>
      <c r="AN6">
        <f>UnitFrame!Q6</f>
        <v>0</v>
      </c>
      <c r="AO6">
        <f>UnitFrame!R6</f>
        <v>1</v>
      </c>
      <c r="AP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3" t="s">
        <v>1</v>
      </c>
      <c r="B1" s="3" t="s">
        <v>87</v>
      </c>
      <c r="C1" s="3" t="s">
        <v>2</v>
      </c>
    </row>
    <row r="2" spans="1:3" x14ac:dyDescent="0.25">
      <c r="A2" s="3" t="s">
        <v>86</v>
      </c>
      <c r="B2" s="3" t="s">
        <v>88</v>
      </c>
      <c r="C2" s="3"/>
    </row>
    <row r="3" spans="1:3" x14ac:dyDescent="0.25">
      <c r="A3" s="3">
        <v>0</v>
      </c>
      <c r="B3" s="3" t="s">
        <v>107</v>
      </c>
      <c r="C3" s="3"/>
    </row>
    <row r="4" spans="1:3" x14ac:dyDescent="0.25">
      <c r="A4" s="3">
        <v>1</v>
      </c>
      <c r="B4" s="3" t="s">
        <v>108</v>
      </c>
      <c r="C4" s="3"/>
    </row>
    <row r="5" spans="1:3" x14ac:dyDescent="0.25">
      <c r="A5" s="3">
        <v>2</v>
      </c>
      <c r="B5" s="3" t="s">
        <v>109</v>
      </c>
      <c r="C5" s="3"/>
    </row>
    <row r="6" spans="1:3" x14ac:dyDescent="0.25">
      <c r="A6" s="3">
        <v>3</v>
      </c>
      <c r="B6" s="3" t="s">
        <v>110</v>
      </c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UnitKeyItem</vt:lpstr>
      <vt:lpstr>UnitFrame</vt:lpstr>
      <vt:lpstr>19decrypt</vt:lpstr>
      <vt:lpstr>19desc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2020-07-10T20:51:43Z</dcterms:modified>
</cp:coreProperties>
</file>