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BC76135C-44BB-4B0C-A229-29C24622A912}" xr6:coauthVersionLast="47" xr6:coauthVersionMax="47" xr10:uidLastSave="{00000000-0000-0000-0000-000000000000}"/>
  <bookViews>
    <workbookView xWindow="-120" yWindow="-120" windowWidth="24240" windowHeight="13140"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<sst xmlns="http://schemas.openxmlformats.org/spreadsheetml/2006/main" count="2481" uniqueCount="1187">
  <si>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</si>
  <si>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</si>
  <si>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</si>
  <si>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</si>
  <si>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</si>
  <si>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</si>
  <si>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</si>
  <si>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</si>
  <si>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</si>
  <si>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</si>
  <si>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</si>
  <si>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</si>
  <si>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</si>
  <si>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</si>
  <si>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</si>
  <si>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</si>
  <si>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</si>
  <si>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</si>
  <si>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</si>
  <si>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</si>
  <si>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</si>
  <si>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</si>
  <si>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</si>
  <si>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</si>
  <si>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</si>
  <si>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</si>
  <si>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</si>
  <si>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</si>
  <si>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</si>
  <si>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</si>
  <si>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</si>
  <si>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</si>
  <si>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</si>
  <si>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</si>
  <si>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</si>
  <si>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</si>
  <si>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</si>
  <si>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</si>
  <si>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</si>
  <si>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</si>
  <si>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</si>
  <si>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</si>
  <si>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</si>
  <si>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</si>
  <si>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</si>
  <si>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</si>
  <si>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</si>
  <si>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</si>
  <si>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</si>
  <si>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</si>
  <si>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</si>
  <si>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</si>
  <si>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</si>
  <si>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</si>
  <si>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</si>
  <si>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</si>
  <si>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</si>
  <si>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</si>
  <si>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</si>
  <si>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</si>
  <si>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</si>
  <si>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</si>
  <si>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</si>
  <si>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</si>
  <si>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</si>
  <si>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</si>
  <si>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</si>
  <si>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</si>
  <si>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</si>
  <si>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</si>
  <si>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</si>
  <si>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</si>
  <si>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</si>
  <si>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</si>
  <si>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</si>
  <si>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</si>
  <si>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</si>
  <si>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</si>
  <si>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</si>
  <si>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</si>
  <si>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</si>
  <si>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</si>
  <si>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</si>
  <si>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</si>
  <si>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</si>
  <si>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</si>
  <si>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</si>
  <si>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</si>
  <si>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</si>
  <si>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</si>
  <si>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</si>
  <si>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</si>
  <si>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</si>
  <si>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</si>
  <si>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</si>
  <si>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</si>
  <si>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</si>
  <si>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</si>
  <si>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</si>
  <si>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</si>
  <si>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</si>
  <si>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</si>
  <si>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</si>
  <si>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</si>
  <si>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</si>
  <si>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</si>
  <si>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</si>
  <si>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</si>
  <si>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</si>
  <si>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</si>
  <si>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</si>
  <si>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</si>
  <si>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</si>
  <si>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</si>
  <si>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</si>
  <si>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</si>
  <si>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</si>
  <si>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</si>
  <si>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</si>
  <si>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</si>
  <si>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</si>
  <si>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</si>
  <si>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</si>
  <si>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</si>
  <si>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</si>
  <si>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</si>
  <si>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</si>
  <si>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</si>
  <si>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</si>
  <si>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</si>
  <si>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</si>
  <si>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</si>
  <si>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</si>
  <si>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</si>
  <si>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</si>
  <si>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</si>
  <si>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</si>
  <si>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</si>
  <si>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</si>
  <si>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</si>
  <si>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</si>
  <si>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</si>
  <si>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</si>
  <si>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</si>
  <si>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</si>
  <si>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</si>
  <si>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</si>
  <si>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</si>
  <si>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</si>
  <si>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</si>
  <si>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</si>
  <si>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</si>
  <si>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</si>
  <si>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</si>
  <si>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</si>
  <si>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</si>
  <si>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</si>
  <si>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</si>
  <si>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</si>
  <si>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</si>
  <si>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</si>
  <si>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</si>
  <si>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</si>
  <si>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</si>
  <si>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</si>
  <si>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</si>
  <si>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</si>
  <si>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</si>
  <si>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</si>
  <si>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</si>
  <si>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</si>
  <si>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</si>
  <si>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</si>
  <si>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</si>
  <si>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</si>
  <si>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</si>
  <si>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</si>
  <si>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</si>
  <si>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</si>
  <si>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</si>
  <si>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</si>
  <si>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</si>
  <si>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</si>
  <si>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</si>
  <si>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</si>
  <si>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</si>
  <si>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</si>
  <si>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</si>
  <si>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</si>
  <si>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</si>
  <si>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</si>
  <si>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</si>
  <si>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</si>
  <si>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</si>
  <si>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</si>
  <si>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</si>
  <si>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</si>
  <si>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</si>
  <si>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</si>
  <si>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</si>
  <si>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</si>
  <si>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</si>
  <si>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</si>
  <si>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</si>
  <si>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</si>
  <si>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</si>
  <si>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</si>
  <si>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</si>
  <si>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</si>
  <si>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</si>
  <si>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</si>
  <si>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</si>
  <si>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</si>
  <si>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</si>
  <si>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</si>
  <si>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</si>
  <si>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</si>
  <si>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</si>
  <si>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</si>
  <si>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</si>
  <si>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</si>
  <si>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</si>
  <si>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</si>
  <si>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</si>
  <si>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</si>
  <si>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</si>
  <si>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</si>
  <si>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</si>
  <si>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</si>
  <si>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</si>
  <si>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</si>
  <si>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</si>
  <si>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</si>
  <si>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</si>
  <si>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</si>
  <si>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</si>
  <si>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</si>
  <si>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</si>
  <si>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</si>
  <si>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</si>
  <si>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</si>
  <si>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</si>
  <si>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</si>
  <si>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</si>
  <si>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</si>
  <si>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</si>
  <si>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</si>
  <si>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</si>
  <si>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</si>
  <si>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</si>
  <si>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</si>
  <si>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</si>
  <si>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</si>
  <si>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</si>
  <si>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</si>
  <si>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</si>
  <si>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</si>
  <si>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</si>
  <si>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</si>
  <si>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</si>
  <si>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</si>
  <si>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</si>
  <si>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</si>
  <si>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</si>
  <si>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</si>
  <si>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</si>
  <si>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</si>
  <si>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</si>
  <si>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</si>
  <si>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</si>
  <si>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</si>
  <si>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</si>
  <si>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</si>
  <si>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</si>
  <si>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</si>
  <si>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</si>
  <si>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</si>
  <si>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</si>
  <si>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</si>
  <si>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</si>
  <si>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</si>
  <si>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</si>
  <si>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</si>
  <si>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</si>
  <si>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</si>
  <si>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</si>
  <si>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</si>
  <si>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</si>
  <si>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</si>
  <si>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</si>
  <si>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</si>
  <si>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</si>
  <si>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</si>
  <si>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</si>
  <si>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</si>
  <si>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</si>
  <si>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</si>
  <si>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</si>
  <si>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</si>
  <si>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</si>
  <si>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</si>
  <si>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</si>
  <si>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</si>
  <si>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</si>
  <si>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</si>
  <si>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</si>
  <si>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</si>
  <si>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</si>
  <si>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</si>
  <si>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</si>
  <si>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</si>
  <si>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</si>
  <si>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</si>
  <si>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</si>
  <si>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</si>
  <si>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</si>
  <si>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</si>
  <si>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</si>
  <si>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</si>
  <si>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</si>
  <si>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</si>
  <si>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</si>
  <si>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</si>
  <si>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</si>
  <si>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</si>
  <si>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</si>
  <si>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</si>
  <si>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</si>
  <si>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</si>
  <si>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</si>
  <si>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</si>
  <si>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</si>
  <si>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</si>
  <si>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</si>
  <si>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</si>
  <si>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</si>
  <si>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</si>
  <si>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</si>
  <si>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</si>
  <si>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</si>
  <si>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</si>
  <si>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</si>
  <si>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</si>
  <si>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</si>
  <si>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</si>
  <si>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</si>
  <si>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</si>
  <si>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</si>
  <si>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</si>
  <si>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</si>
  <si>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</si>
  <si>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</si>
  <si>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</si>
  <si>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</si>
  <si>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</si>
  <si>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</si>
  <si>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</si>
  <si>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</si>
  <si>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</si>
  <si>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</si>
  <si>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</si>
  <si>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</si>
  <si>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</si>
  <si>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</si>
  <si>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</si>
  <si>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</si>
  <si>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</si>
  <si>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</si>
  <si>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</si>
  <si>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</si>
  <si>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</si>
  <si>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</si>
  <si>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</si>
  <si>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</si>
  <si>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</si>
  <si>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</si>
  <si>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</si>
  <si>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</si>
  <si>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</si>
  <si>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</si>
  <si>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</si>
  <si>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</si>
  <si>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</si>
  <si>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</si>
  <si>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</si>
  <si>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</si>
  <si>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</si>
  <si>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</si>
  <si>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</si>
  <si>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</si>
  <si>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</si>
  <si>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</si>
  <si>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</si>
  <si>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</si>
  <si>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</si>
  <si>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</si>
  <si>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</si>
  <si>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</si>
  <si>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</si>
  <si>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</si>
  <si>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</si>
  <si>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</si>
  <si>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</si>
  <si>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</si>
  <si>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</si>
  <si>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</si>
  <si>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</si>
  <si>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</si>
  <si>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</si>
  <si>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</si>
  <si>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</si>
  <si>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</si>
  <si>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</si>
  <si>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</si>
  <si>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</si>
  <si>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</si>
  <si>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</si>
  <si>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</si>
  <si>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</si>
  <si>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</si>
  <si>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</si>
  <si>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</si>
  <si>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</si>
  <si>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</si>
  <si>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</si>
  <si>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</si>
  <si>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</si>
  <si>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</si>
  <si>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</si>
  <si>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</si>
  <si>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</si>
  <si>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</si>
  <si>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</si>
  <si>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</si>
  <si>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</si>
  <si>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</si>
  <si>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</si>
  <si>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</si>
  <si>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</si>
  <si>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</si>
  <si>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</si>
  <si>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</si>
  <si>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</si>
  <si>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</si>
  <si>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</si>
  <si>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</si>
  <si>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</si>
  <si>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</si>
  <si>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</si>
  <si>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</si>
  <si>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</si>
  <si>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</si>
  <si>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</si>
  <si>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</si>
  <si>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</si>
  <si>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</si>
  <si>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</si>
  <si>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</si>
  <si>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</si>
  <si>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</si>
  <si>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</si>
  <si>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</si>
  <si>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</si>
  <si>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</si>
  <si>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</si>
  <si>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</si>
  <si>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</si>
  <si>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</si>
  <si>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</si>
  <si>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</si>
  <si>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</si>
  <si>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</si>
  <si>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</si>
  <si>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</si>
  <si>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</si>
  <si>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</si>
  <si>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</si>
  <si>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</si>
  <si>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</si>
  <si>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</si>
  <si>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</si>
  <si>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</si>
  <si>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</si>
  <si>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</si>
  <si>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</si>
  <si>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</si>
  <si>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</si>
  <si>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</si>
  <si>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</si>
  <si>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</si>
  <si>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</si>
  <si>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</si>
  <si>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</si>
  <si>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</si>
  <si>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</si>
  <si>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</si>
  <si>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</si>
  <si>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</si>
  <si>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</si>
  <si>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</si>
  <si>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</si>
  <si>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</si>
  <si>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</si>
  <si>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</si>
  <si>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</si>
  <si>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</si>
  <si>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</si>
  <si>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</si>
  <si>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</si>
  <si>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</si>
  <si>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</si>
  <si>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</si>
  <si>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</si>
  <si>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</si>
  <si>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</si>
  <si>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</si>
  <si>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</si>
  <si>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</si>
  <si>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</si>
  <si>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</si>
  <si>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</si>
  <si>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</si>
  <si>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</si>
  <si>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</si>
  <si>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</si>
  <si>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</si>
  <si>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</si>
  <si>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</si>
  <si>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</si>
  <si>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</si>
  <si>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</si>
  <si>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</si>
  <si>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</si>
  <si>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</si>
  <si>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</si>
  <si>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</si>
  <si>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</si>
  <si>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</si>
  <si>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</si>
  <si>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</si>
  <si>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</si>
  <si>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</si>
  <si>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</si>
  <si>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</si>
  <si>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</si>
  <si>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</si>
  <si>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</si>
  <si>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</si>
  <si>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</si>
  <si>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</si>
  <si>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</si>
  <si>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</si>
  <si>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</si>
  <si>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</si>
  <si>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</si>
  <si>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</si>
  <si>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</si>
  <si>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</si>
  <si>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</si>
  <si>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</si>
  <si>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</si>
  <si>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</si>
  <si>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</si>
  <si>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</si>
  <si>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</si>
  <si>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</si>
  <si>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</si>
  <si>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</si>
  <si>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</si>
  <si>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</si>
  <si>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</si>
  <si>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</si>
  <si>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</si>
  <si>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</si>
  <si>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</si>
  <si>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</si>
  <si>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</si>
  <si>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</si>
  <si>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</si>
  <si>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</si>
  <si>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</si>
  <si>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</si>
  <si>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</si>
  <si>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</si>
  <si>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</si>
  <si>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</si>
  <si>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</si>
  <si>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</si>
  <si>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</si>
  <si>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</si>
  <si>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</si>
  <si>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</si>
  <si>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</si>
  <si>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</si>
  <si>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</si>
  <si>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</si>
  <si>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</si>
  <si>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</si>
  <si>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</si>
  <si>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</si>
  <si>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</si>
  <si>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</si>
  <si>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</si>
  <si>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</si>
  <si>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</si>
  <si>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</si>
  <si>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</si>
  <si>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</si>
  <si>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</si>
  <si>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</si>
  <si>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</si>
  <si>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</si>
  <si>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</si>
  <si>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</si>
  <si>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</si>
  <si>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</si>
  <si>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</si>
  <si>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</si>
  <si>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</si>
  <si>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</si>
  <si>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</si>
  <si>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</si>
  <si>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</si>
  <si>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</si>
  <si>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</si>
  <si>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</si>
  <si>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</si>
  <si>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</si>
  <si>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</si>
  <si>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</si>
  <si>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</si>
  <si>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</si>
  <si>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</si>
  <si>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</si>
  <si>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</si>
  <si>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</si>
  <si>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</si>
  <si>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</si>
  <si>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</si>
  <si>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</si>
  <si>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</si>
  <si>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</si>
  <si>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</si>
  <si>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</si>
  <si>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</si>
  <si>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</si>
  <si>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</si>
  <si>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</si>
  <si>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</si>
  <si>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</si>
  <si>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</si>
  <si>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</si>
  <si>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</si>
  <si>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</si>
  <si>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</si>
  <si>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</si>
  <si>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</si>
  <si>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</si>
  <si>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</si>
  <si>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</si>
  <si>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</si>
  <si>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</si>
  <si>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</si>
  <si>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</si>
  <si>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</si>
  <si>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</si>
  <si>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</si>
  <si>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</si>
  <si>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</si>
  <si>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</si>
  <si>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</si>
  <si>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</si>
  <si>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</si>
  <si>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</si>
  <si>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</si>
  <si>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</si>
  <si>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</si>
  <si>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</si>
  <si>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</si>
  <si>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</si>
  <si>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</si>
  <si>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</si>
  <si>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</si>
  <si>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</si>
  <si>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</si>
  <si>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</si>
  <si>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</si>
  <si>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</si>
  <si>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</si>
  <si>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</si>
  <si>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</si>
  <si>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</si>
  <si>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</si>
  <si>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</si>
  <si>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</si>
  <si>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</si>
  <si>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</si>
  <si>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</si>
  <si>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</si>
  <si>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</si>
  <si>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</si>
  <si>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</si>
  <si>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</si>
  <si>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</si>
  <si>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</si>
  <si>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</si>
  <si>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</si>
  <si>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</si>
  <si>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</si>
  <si>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</si>
  <si>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</si>
  <si>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</si>
  <si>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</si>
  <si>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</si>
  <si>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</si>
  <si>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</si>
  <si>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</si>
  <si>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</si>
  <si>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</si>
  <si>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</si>
  <si>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</si>
  <si>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</si>
  <si>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</si>
  <si>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</si>
  <si>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</si>
  <si>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</si>
  <si>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</si>
  <si>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</si>
  <si>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</si>
  <si>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</si>
  <si>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</si>
  <si>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</si>
  <si>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</si>
  <si>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</si>
  <si>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</si>
  <si>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</si>
  <si>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</si>
  <si>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</si>
  <si>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</si>
  <si>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</si>
  <si>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</si>
  <si>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</si>
  <si>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</si>
  <si>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</si>
  <si>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</si>
  <si>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</si>
  <si>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</si>
  <si>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</si>
  <si>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</si>
  <si>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</si>
  <si>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</si>
  <si>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</si>
  <si>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</si>
  <si>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</si>
  <si>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</si>
  <si>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</si>
  <si>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</si>
  <si>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</si>
  <si>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</si>
  <si>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</si>
  <si>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</si>
  <si>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</si>
  <si>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</si>
  <si>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</si>
  <si>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</si>
  <si>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</si>
  <si>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</si>
  <si>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</si>
  <si>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</si>
  <si>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</si>
  <si>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</si>
  <si>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</si>
  <si>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</si>
  <si>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</si>
  <si>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</si>
  <si>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</si>
  <si>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</si>
  <si>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</si>
  <si>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</si>
  <si>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</si>
  <si>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</si>
  <si>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</si>
  <si>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</si>
  <si>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</si>
  <si>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</si>
  <si>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</si>
  <si>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</si>
  <si>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</si>
  <si>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</si>
  <si>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</si>
  <si>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</si>
  <si>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</si>
  <si>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</si>
  <si>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</si>
  <si>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</si>
  <si>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</si>
  <si>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</si>
  <si>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</si>
  <si>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</si>
  <si>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</si>
  <si>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</si>
  <si>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</si>
  <si>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</si>
  <si>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</si>
  <si>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</si>
  <si>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</si>
  <si>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</si>
  <si>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</si>
  <si>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</si>
  <si>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</si>
  <si>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</si>
  <si>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</si>
  <si>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</si>
  <si>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</si>
  <si>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</si>
  <si>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</si>
  <si>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</si>
  <si>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</si>
  <si>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</si>
  <si>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</si>
  <si>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</si>
  <si>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</si>
  <si>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</si>
  <si>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</si>
  <si>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</si>
  <si>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</si>
  <si>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</si>
  <si>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</si>
  <si>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</si>
  <si>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</si>
  <si>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</si>
  <si>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</si>
  <si>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</si>
  <si>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</si>
  <si>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</si>
  <si>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</si>
  <si>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</si>
  <si>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</si>
  <si>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</si>
  <si>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</si>
  <si>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</si>
  <si>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</si>
  <si>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</si>
  <si>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</si>
  <si>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</si>
  <si>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</si>
  <si>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</si>
  <si>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</si>
  <si>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</si>
  <si>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</si>
  <si>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</si>
  <si>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</si>
  <si>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</si>
  <si>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</si>
  <si>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</si>
  <si>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</si>
  <si>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</si>
  <si>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</si>
  <si>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</si>
  <si>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</si>
  <si>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</si>
  <si>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</si>
  <si>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</si>
  <si>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</si>
  <si>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</si>
  <si>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</si>
  <si>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</si>
  <si>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</si>
  <si>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</si>
  <si>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</si>
  <si>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</si>
  <si>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</si>
  <si>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</si>
  <si>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</si>
  <si>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</si>
  <si>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</si>
  <si>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</si>
  <si>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</si>
  <si>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</si>
  <si>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</si>
  <si>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</si>
  <si>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</si>
  <si>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</si>
  <si>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</si>
  <si>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</si>
  <si>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</si>
  <si>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</si>
  <si>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</si>
  <si>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</si>
  <si>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</si>
  <si>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</si>
  <si>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</si>
  <si>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</si>
  <si>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</si>
  <si>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</si>
  <si>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</si>
  <si>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</si>
  <si>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</si>
  <si>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</si>
  <si>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</si>
  <si>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</si>
  <si>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</si>
  <si>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</si>
  <si>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</si>
  <si>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</si>
  <si>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</si>
  <si>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</si>
  <si>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</si>
  <si>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</si>
  <si>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</si>
  <si>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</si>
  <si>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</si>
  <si>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</si>
  <si>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</si>
  <si>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</si>
  <si>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</si>
  <si>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</si>
  <si>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</si>
  <si>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</si>
  <si>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</si>
  <si>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</si>
  <si>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</si>
  <si>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</si>
  <si>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</si>
  <si>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</si>
  <si>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</si>
  <si>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</si>
  <si>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</si>
  <si>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</si>
  <si>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</si>
  <si>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</si>
  <si>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</si>
  <si>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</si>
  <si>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</si>
  <si>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</si>
  <si>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</si>
  <si>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</si>
  <si>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</si>
  <si>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</si>
  <si>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</si>
  <si>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</si>
  <si>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</si>
  <si>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</si>
  <si>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</si>
  <si>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</si>
  <si>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</si>
  <si>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</si>
  <si>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</si>
  <si>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</si>
  <si>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</si>
  <si>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</si>
  <si>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</si>
  <si>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</si>
  <si>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</si>
  <si>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</si>
  <si>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</si>
  <si>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</si>
  <si>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</si>
  <si>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</si>
  <si>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</si>
  <si>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</si>
  <si>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</si>
  <si>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</si>
  <si>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</si>
  <si>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</si>
  <si>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</si>
  <si>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</si>
  <si>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</si>
  <si>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</si>
  <si>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</si>
  <si>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</si>
  <si>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</si>
  <si>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</si>
  <si>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</si>
  <si>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</si>
  <si>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</si>
  <si>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</si>
  <si>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</si>
  <si>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</si>
  <si>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</si>
  <si>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</si>
  <si>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</si>
  <si>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</si>
  <si>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</si>
  <si>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</si>
  <si>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</si>
  <si>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</si>
  <si>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</si>
  <si>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</si>
  <si>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</si>
  <si>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</si>
  <si>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</si>
  <si>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</si>
  <si>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</si>
  <si>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</si>
  <si>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</si>
  <si>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</si>
  <si>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</si>
  <si>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</si>
  <si>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</si>
  <si>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</si>
  <si>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</si>
  <si>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</si>
  <si>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</si>
  <si>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</si>
  <si>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</si>
  <si>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</si>
  <si>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</si>
  <si>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</si>
  <si>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</si>
  <si>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</si>
  <si>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</si>
  <si>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</si>
  <si>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</si>
  <si>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</si>
  <si>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</si>
  <si>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</si>
  <si>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</si>
  <si>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</si>
  <si>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</si>
  <si>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</si>
  <si>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</si>
  <si>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</si>
  <si>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</si>
  <si>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</si>
  <si>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</si>
  <si>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</si>
  <si>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</si>
  <si>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</si>
  <si>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</si>
  <si>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</si>
  <si>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</si>
  <si>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</si>
  <si>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</si>
  <si>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</si>
  <si>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</si>
  <si>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</si>
  <si>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</si>
  <si>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</si>
  <si>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</si>
  <si>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</si>
  <si>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</si>
  <si>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</si>
  <si>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</si>
  <si>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</si>
  <si>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</si>
  <si>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</si>
  <si>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</si>
  <si>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</si>
  <si>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</si>
  <si>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</si>
  <si>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</si>
  <si>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</si>
  <si>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</si>
  <si>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</si>
  <si>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</si>
  <si>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</si>
  <si>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</si>
  <si>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</si>
  <si>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</si>
  <si>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</si>
  <si>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</si>
  <si>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</si>
  <si>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</si>
  <si>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</si>
  <si>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</si>
  <si>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</si>
  <si>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</si>
  <si>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</si>
  <si>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</si>
  <si>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</si>
  <si>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</si>
  <si>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</si>
  <si>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</si>
  <si>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</si>
  <si>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</si>
  <si>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</si>
  <si>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</si>
  <si>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GameMaster Generator</t>
  </si>
  <si>
    <t>Uprising Attack Jade [30 Days]</t>
  </si>
  <si>
    <t>Uprising Attack Jade [48 Hours]</t>
  </si>
  <si>
    <t>Uprising Defense Jade [48 Hours]</t>
  </si>
  <si>
    <t>Uprising Defense Jade [30 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</si>
  <si>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</si>
  <si>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</si>
  <si>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</si>
  <si>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</si>
  <si>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</si>
  <si>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</si>
  <si>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</si>
  <si>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</si>
  <si>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</si>
  <si>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</si>
  <si>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</si>
  <si>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</si>
  <si>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</si>
  <si>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</si>
  <si>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</si>
  <si>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</si>
  <si>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</si>
  <si>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</si>
  <si>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</si>
  <si>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</si>
  <si>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</si>
  <si>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</si>
  <si>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</si>
  <si>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</si>
  <si>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</si>
  <si>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</si>
  <si>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</si>
  <si>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</si>
  <si>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</si>
  <si>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</si>
  <si>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</si>
  <si>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</si>
  <si>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</si>
  <si>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</si>
  <si>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</si>
  <si>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</si>
  <si>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</si>
  <si>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</si>
  <si>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</si>
  <si>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Increases aggro of monsters to self. Recommended for shield warriors.&lt;br&gt;&lt;font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</si>
  <si>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</si>
  <si>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</si>
  <si>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</si>
  <si>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</si>
  <si>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</si>
  <si>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</si>
  <si>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</si>
  <si>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</si>
  <si>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</si>
  <si>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</si>
  <si>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</si>
  <si>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</si>
  <si>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</si>
  <si>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</si>
  <si>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</si>
  <si>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</si>
  <si>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</si>
  <si>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</si>
  <si>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</si>
  <si>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</si>
  <si>
    <t>Jade of Communication 30Days</t>
  </si>
  <si>
    <t>Increases attack power.</t>
  </si>
  <si>
    <t>Increases defense power.</t>
  </si>
  <si>
    <t>Ignores shield defense and avoidance of enemies.</t>
  </si>
  <si>
    <t>Increases effectiveness of MAU.</t>
  </si>
  <si>
    <t>Increases aggro of monsters to self. Recommended for shield warriors.</t>
  </si>
  <si>
    <t>Decreases aggro of monsters from self. Recommended for those with weak defense.</t>
  </si>
  <si>
    <t>Increases effectiveness of Animus.</t>
  </si>
  <si>
    <t xml:space="preserve">Passive item that reflect players close attact ability  to MAU </t>
  </si>
  <si>
    <t>Shows invisible characters. Effect does not stack</t>
  </si>
  <si>
    <t>Increases movement speed. Effect does not stack</t>
  </si>
  <si>
    <t>Increases party level limit restriction.</t>
  </si>
  <si>
    <t>Decreases debuff duration by 30%.</t>
  </si>
  <si>
    <t>Recovers HP on fixed interval.</t>
  </si>
  <si>
    <t>Recovers HP on fixed interval.&lt;</t>
  </si>
  <si>
    <t>Increases movement speed.</t>
  </si>
  <si>
    <t>Shows invisible characters.</t>
  </si>
  <si>
    <t>Decreases debuff duration by 30%..</t>
  </si>
  <si>
    <t>Premium Card</t>
  </si>
  <si>
    <t>Charm of Clairvoyance 7 Days [pvp points]</t>
  </si>
  <si>
    <t>Charm of Speeding 7 Days [pvp points]</t>
  </si>
  <si>
    <t>Charm of Leader 7 Days [pvp points]</t>
  </si>
  <si>
    <t>Charm of Holiness 7 Days [pvp points]</t>
  </si>
  <si>
    <t>Charm of Restoration 7 Days [pvp points]</t>
  </si>
  <si>
    <t>Charm of Sympathy 7 Days [pvp points]</t>
  </si>
  <si>
    <t>Burst Generator 7 Days [pvp points]</t>
  </si>
  <si>
    <t>Protect Generator 7 Days [pvp points]</t>
  </si>
  <si>
    <t>Perfect Generator 7 Days [pvp points]</t>
  </si>
  <si>
    <t>Panzer Generator 7 Days [pvp points]</t>
  </si>
  <si>
    <t>Aggressive Generator 7 Days [pvp points]</t>
  </si>
  <si>
    <t>Silence Generator 7 Days [pvp points]</t>
  </si>
  <si>
    <t>Nexus Premium Card</t>
  </si>
  <si>
    <t>Charm of Clairvoyance 7 days[Cash]</t>
  </si>
  <si>
    <t>Charm of Speeding 7 days[Cash]</t>
  </si>
  <si>
    <t>Charm of Leader 7 days[Cash]</t>
  </si>
  <si>
    <t>Charm of Holiness 7 days[Cash]</t>
  </si>
  <si>
    <t>Charm of Restoration 7 days [Cash]</t>
  </si>
  <si>
    <t>Charm of Sympathy 7 days[Cash]</t>
  </si>
  <si>
    <t>Burst Generator 7 days [Cash]</t>
  </si>
  <si>
    <t>Protect Generator 7 days [Cash]</t>
  </si>
  <si>
    <t>Perfect Generator 7 days [Cash]</t>
  </si>
  <si>
    <t>Panzer Generator 7 days [Cash]</t>
  </si>
  <si>
    <t>Aggressive Generator 7 days [Cash]</t>
  </si>
  <si>
    <t>Silence Generator 7 days [Cash]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</si>
</sst>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11"/>
      <color rgb="FF9C0006"/>
      <name val="Calibri"/>
      <family val="2"/>
      <scheme val="minor"/>
    </font>
    <font>
      <sz val="11"/>
      <color rgb="FF9C5700"/>
      <name val="Calibri"/>
      <family val="2"/>
      <scheme val="minor"/>
    </font>
  </fonts>
  <fills count="8">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s>
  <borders count="4">
    <border>
      <left/>
      <right/>
      <top/>
      <bottom/>
      <diagonal/>
    </border>
    <border>
      <left/>
      <right/>
      <top/>
      <bottom/>
      <diagonal/>
    </border>
    <border>
      <left/>
      <right/>
      <top/>
      <bottom/>
      <diagonal/>
    </border>
    <border>
      <left/>
      <right/>
      <top/>
      <bottom/>
      <diagonal/>
    </border>
  </borders>
  <cellStyleXfs count="4">
    <xf numFmtId="0" fontId="0" fillId="0" borderId="0"/>
    <xf numFmtId="0" fontId="1" fillId="5" borderId="0" applyNumberFormat="0" applyBorder="0" applyAlignment="0" applyProtection="0"/>
    <xf numFmtId="0" fontId="2" fillId="6" borderId="0" applyNumberFormat="0" applyBorder="0" applyAlignment="0" applyProtection="0"/>
    <xf numFmtId="0" fontId="3" fillId="7" borderId="0" applyNumberFormat="0" applyBorder="0" applyAlignment="0" applyProtection="0"/>
  </cellStyleXfs>
  <cellXfs count="1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xf numFmtId="0" fontId="1" fillId="5" borderId="2" xfId="1" applyBorder="1"/>
    <xf numFmtId="0" fontId="2" fillId="6" borderId="2" xfId="2" applyBorder="1"/>
    <xf numFmtId="0" fontId="1" fillId="5" borderId="3" xfId="1" applyBorder="1"/>
    <xf numFmtId="0" fontId="1" fillId="5" borderId="1" xfId="1" applyBorder="1"/>
    <xf numFmtId="0" fontId="1" fillId="5" borderId="0" xfId="1"/>
    <xf numFmtId="0" fontId="3" fillId="7" borderId="3" xfId="3" applyBorder="1"/>
    <xf numFmtId="0" fontId="3" fillId="7" borderId="2" xfId="3" applyBorder="1"/>
    <xf numFmtId="0" fontId="3" fillId="7" borderId="1" xfId="3" applyBorder="1"/>
    <xf numFmtId="0" fontId="3" fillId="7" borderId="0" xfId="3"/>
  </cellXfs>
  <cellStyles count="4">
    <cellStyle name="Bad" xfId="2" builtinId="27"/>
    <cellStyle name="Good" xfId="1" builtinId="26"/>
    <cellStyle name="Neutral" xfId="3"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AE92" activePane="bottomRight" state="frozen"/>
      <selection pane="topRight" activeCell="B1" sqref="B1"/>
      <selection pane="bottomLeft" activeCell="A3" sqref="A3"/>
      <selection pane="bottomRight" activeCell="AT98" sqref="AT98"/>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style="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1142</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1036</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1036</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1036</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1036</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1036</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1036</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1036</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1036</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1036</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1036</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1036</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1036</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1036</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1036</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1036</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1036</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1036</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1036</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1036</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1036</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1036</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1036</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1036</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1036</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1036</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1036</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1036</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1036</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1036</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1036</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1036</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1036</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1036</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1036</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1036</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1036</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1036</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1036</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1036</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1036</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1036</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1036</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1036</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1036</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1036</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1036</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1036</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1036</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1036</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1036</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1036</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1036</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1036</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1036</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1036</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1036</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1036</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1036</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1036</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1036</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1036</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1036</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1036</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1036</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1036</v>
      </c>
      <c r="J67" s="2">
        <v>-1</v>
      </c>
      <c r="K67" s="2">
        <v>-1</v>
      </c>
      <c r="L67" s="2" t="s">
        <v>56</v>
      </c>
      <c r="M67" s="5">
        <v>6</v>
      </c>
      <c r="N67" s="5">
        <v>1819</v>
      </c>
      <c r="O67" s="5">
        <v>1819</v>
      </c>
      <c r="P67" s="5">
        <v>1819</v>
      </c>
      <c r="Q67" s="12">
        <v>1819</v>
      </c>
      <c r="R67" s="12">
        <v>1819</v>
      </c>
      <c r="S67" s="12">
        <v>1819</v>
      </c>
      <c r="T67" s="12">
        <v>1819</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1036</v>
      </c>
      <c r="J68" s="2">
        <v>-1</v>
      </c>
      <c r="K68" s="2">
        <v>-1</v>
      </c>
      <c r="L68" s="2" t="s">
        <v>56</v>
      </c>
      <c r="M68" s="5">
        <v>6</v>
      </c>
      <c r="N68" s="5">
        <v>1819</v>
      </c>
      <c r="O68" s="5">
        <v>1819</v>
      </c>
      <c r="P68" s="5">
        <v>1819</v>
      </c>
      <c r="Q68" s="12">
        <v>1819</v>
      </c>
      <c r="R68" s="12">
        <v>1819</v>
      </c>
      <c r="S68" s="12">
        <v>1819</v>
      </c>
      <c r="T68" s="12">
        <v>1819</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1036</v>
      </c>
      <c r="J69" s="2">
        <v>-1</v>
      </c>
      <c r="K69" s="2">
        <v>-1</v>
      </c>
      <c r="L69" s="2" t="s">
        <v>56</v>
      </c>
      <c r="M69" s="5">
        <v>6</v>
      </c>
      <c r="N69" s="5">
        <v>1819</v>
      </c>
      <c r="O69" s="5">
        <v>1819</v>
      </c>
      <c r="P69" s="5">
        <v>1819</v>
      </c>
      <c r="Q69" s="12">
        <v>1819</v>
      </c>
      <c r="R69" s="12">
        <v>1819</v>
      </c>
      <c r="S69" s="12">
        <v>1819</v>
      </c>
      <c r="T69" s="12">
        <v>1819</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1036</v>
      </c>
      <c r="J70" s="2">
        <v>-1</v>
      </c>
      <c r="K70" s="2">
        <v>-1</v>
      </c>
      <c r="L70" s="2" t="s">
        <v>56</v>
      </c>
      <c r="M70" s="5">
        <v>6</v>
      </c>
      <c r="N70" s="5">
        <v>1819</v>
      </c>
      <c r="O70" s="5">
        <v>1819</v>
      </c>
      <c r="P70" s="5">
        <v>1819</v>
      </c>
      <c r="Q70" s="12">
        <v>1819</v>
      </c>
      <c r="R70" s="12">
        <v>1819</v>
      </c>
      <c r="S70" s="12">
        <v>1819</v>
      </c>
      <c r="T70" s="12">
        <v>1819</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1036</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1036</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1036</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1036</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1036</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1036</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1036</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1036</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1036</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1077</v>
      </c>
      <c r="F80" s="2">
        <v>301</v>
      </c>
      <c r="G80" s="2">
        <v>300</v>
      </c>
      <c r="H80" s="3">
        <v>74</v>
      </c>
      <c r="I80" s="3" t="s">
        <v>1036</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1036</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1036</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1036</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1036</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1036</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1036</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1036</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1036</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1036</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1036</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1036</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1036</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1036</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1036</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1036</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1036</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1036</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1161</v>
      </c>
      <c r="F98" s="2">
        <v>301</v>
      </c>
      <c r="G98" s="2">
        <v>300</v>
      </c>
      <c r="H98" s="3">
        <v>86</v>
      </c>
      <c r="I98" s="3" t="s">
        <v>1036</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1</v>
      </c>
      <c r="AT98" s="3">
        <v>0</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1036</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1036</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1036</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1036</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1036</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1036</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1036</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1036</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1036</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1036</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2">
        <v>301</v>
      </c>
      <c r="G109" s="2">
        <v>300</v>
      </c>
      <c r="H109" s="3">
        <v>73</v>
      </c>
      <c r="I109" s="3" t="s">
        <v>1036</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1036</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1036</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1036</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1036</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1036</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1036</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1036</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1036</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1036</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1036</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1036</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1036</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1036</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1036</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1036</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1036</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1036</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1036</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1036</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1036</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1036</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1036</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1036</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1036</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1036</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1036</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1036</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1036</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1036</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1036</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1037</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1036</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1036</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1036</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1036</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1038</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1036</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1036</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1036</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1036</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1036</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1036</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1036</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1036</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1036</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1036</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1036</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1036</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1036</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1036</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1036</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1036</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1036</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1036</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1036</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1036</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1036</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1036</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1036</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1036</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1036</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1036</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1036</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1036</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1036</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1036</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1036</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1036</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1036</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1036</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1036</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1036</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1036</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1036</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1078</v>
      </c>
      <c r="F184" s="2">
        <v>301</v>
      </c>
      <c r="G184" s="2">
        <v>300</v>
      </c>
      <c r="H184" s="3">
        <v>106</v>
      </c>
      <c r="I184" s="3" t="s">
        <v>1036</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1036</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1036</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1036</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1036</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1036</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1079</v>
      </c>
      <c r="F190" s="2">
        <v>301</v>
      </c>
      <c r="G190" s="2">
        <v>300</v>
      </c>
      <c r="H190" s="3">
        <v>130</v>
      </c>
      <c r="I190" s="3" t="s">
        <v>1036</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1080</v>
      </c>
      <c r="F191" s="2">
        <v>301</v>
      </c>
      <c r="G191" s="2">
        <v>300</v>
      </c>
      <c r="H191" s="3">
        <v>130</v>
      </c>
      <c r="I191" s="3" t="s">
        <v>1036</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1081</v>
      </c>
      <c r="F192" s="2">
        <v>301</v>
      </c>
      <c r="G192" s="2">
        <v>300</v>
      </c>
      <c r="H192" s="3">
        <v>131</v>
      </c>
      <c r="I192" s="3" t="s">
        <v>1036</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1082</v>
      </c>
      <c r="F193" s="2">
        <v>301</v>
      </c>
      <c r="G193" s="2">
        <v>300</v>
      </c>
      <c r="H193" s="3">
        <v>131</v>
      </c>
      <c r="I193" s="3" t="s">
        <v>1036</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1036</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1036</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1174</v>
      </c>
      <c r="F196" s="2">
        <v>301</v>
      </c>
      <c r="G196" s="2">
        <v>300</v>
      </c>
      <c r="H196" s="3">
        <v>86</v>
      </c>
      <c r="I196" s="3" t="s">
        <v>1036</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18</v>
      </c>
      <c r="AC196" s="3">
        <v>5.000000074505806E-2</v>
      </c>
      <c r="AD196" s="3">
        <v>5.000000074505806E-2</v>
      </c>
      <c r="AE196" s="3">
        <v>24</v>
      </c>
      <c r="AF196" s="3">
        <v>5.000000074505806E-2</v>
      </c>
      <c r="AG196" s="3">
        <v>5.000000074505806E-2</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895</v>
      </c>
      <c r="F197" s="2">
        <v>301</v>
      </c>
      <c r="G197" s="2">
        <v>300</v>
      </c>
      <c r="H197" s="3">
        <v>138</v>
      </c>
      <c r="I197" s="3" t="s">
        <v>1036</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897</v>
      </c>
      <c r="F198" s="2">
        <v>301</v>
      </c>
      <c r="G198" s="2">
        <v>300</v>
      </c>
      <c r="H198" s="3">
        <v>138</v>
      </c>
      <c r="I198" s="3" t="s">
        <v>1036</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899</v>
      </c>
      <c r="F199" s="2">
        <v>301</v>
      </c>
      <c r="G199" s="2">
        <v>300</v>
      </c>
      <c r="H199" s="3">
        <v>138</v>
      </c>
      <c r="I199" s="3" t="s">
        <v>1036</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901</v>
      </c>
      <c r="F200" s="2">
        <v>301</v>
      </c>
      <c r="G200" s="2">
        <v>300</v>
      </c>
      <c r="H200" s="3">
        <v>138</v>
      </c>
      <c r="I200" s="3" t="s">
        <v>1036</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903</v>
      </c>
      <c r="F201" s="2">
        <v>301</v>
      </c>
      <c r="G201" s="2">
        <v>300</v>
      </c>
      <c r="H201" s="3">
        <v>94</v>
      </c>
      <c r="I201" s="3" t="s">
        <v>1036</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905</v>
      </c>
      <c r="F202" s="2">
        <v>301</v>
      </c>
      <c r="G202" s="2">
        <v>300</v>
      </c>
      <c r="H202" s="3">
        <v>95</v>
      </c>
      <c r="I202" s="3" t="s">
        <v>1036</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907</v>
      </c>
      <c r="F203" s="2">
        <v>301</v>
      </c>
      <c r="G203" s="2">
        <v>300</v>
      </c>
      <c r="H203" s="3">
        <v>98</v>
      </c>
      <c r="I203" s="3" t="s">
        <v>1036</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909</v>
      </c>
      <c r="F204" s="2">
        <v>301</v>
      </c>
      <c r="G204" s="2">
        <v>300</v>
      </c>
      <c r="H204" s="3">
        <v>102</v>
      </c>
      <c r="I204" s="3" t="s">
        <v>1036</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910</v>
      </c>
      <c r="F205" s="2">
        <v>301</v>
      </c>
      <c r="G205" s="2">
        <v>300</v>
      </c>
      <c r="H205" s="3">
        <v>104</v>
      </c>
      <c r="I205" s="3" t="s">
        <v>1036</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911</v>
      </c>
      <c r="F206" s="2">
        <v>301</v>
      </c>
      <c r="G206" s="2">
        <v>300</v>
      </c>
      <c r="H206" s="3">
        <v>105</v>
      </c>
      <c r="I206" s="3" t="s">
        <v>1036</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912</v>
      </c>
      <c r="F207" s="2">
        <v>301</v>
      </c>
      <c r="G207" s="2">
        <v>300</v>
      </c>
      <c r="H207" s="3">
        <v>109</v>
      </c>
      <c r="I207" s="3" t="s">
        <v>1036</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913</v>
      </c>
      <c r="F208" s="2">
        <v>301</v>
      </c>
      <c r="G208" s="2">
        <v>300</v>
      </c>
      <c r="H208" s="3">
        <v>110</v>
      </c>
      <c r="I208" s="3" t="s">
        <v>1036</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914</v>
      </c>
      <c r="F209" s="2">
        <v>301</v>
      </c>
      <c r="G209" s="2">
        <v>300</v>
      </c>
      <c r="H209" s="3">
        <v>139</v>
      </c>
      <c r="I209" s="3" t="s">
        <v>1036</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915</v>
      </c>
      <c r="F210" s="2">
        <v>301</v>
      </c>
      <c r="G210" s="2">
        <v>300</v>
      </c>
      <c r="H210" s="3">
        <v>140</v>
      </c>
      <c r="I210" s="3" t="s">
        <v>1036</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916</v>
      </c>
      <c r="F211" s="2">
        <v>301</v>
      </c>
      <c r="G211" s="2">
        <v>300</v>
      </c>
      <c r="H211" s="3">
        <v>141</v>
      </c>
      <c r="I211" s="3" t="s">
        <v>1036</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917</v>
      </c>
      <c r="F212" s="2">
        <v>301</v>
      </c>
      <c r="G212" s="2">
        <v>300</v>
      </c>
      <c r="H212" s="3">
        <v>142</v>
      </c>
      <c r="I212" s="3" t="s">
        <v>1036</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919</v>
      </c>
      <c r="F213" s="2">
        <v>301</v>
      </c>
      <c r="G213" s="2">
        <v>300</v>
      </c>
      <c r="H213" s="3">
        <v>143</v>
      </c>
      <c r="I213" s="3" t="s">
        <v>1036</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921</v>
      </c>
      <c r="F214" s="2">
        <v>301</v>
      </c>
      <c r="G214" s="2">
        <v>300</v>
      </c>
      <c r="H214" s="3">
        <v>144</v>
      </c>
      <c r="I214" s="3" t="s">
        <v>1036</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923</v>
      </c>
      <c r="F215" s="2">
        <v>301</v>
      </c>
      <c r="G215" s="2">
        <v>300</v>
      </c>
      <c r="H215" s="3">
        <v>145</v>
      </c>
      <c r="I215" s="3" t="s">
        <v>1036</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925</v>
      </c>
      <c r="F216" s="2">
        <v>301</v>
      </c>
      <c r="G216" s="2">
        <v>300</v>
      </c>
      <c r="H216" s="3">
        <v>146</v>
      </c>
      <c r="I216" s="3" t="s">
        <v>1036</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927</v>
      </c>
      <c r="F217" s="2">
        <v>301</v>
      </c>
      <c r="G217" s="2">
        <v>300</v>
      </c>
      <c r="H217" s="3">
        <v>147</v>
      </c>
      <c r="I217" s="3" t="s">
        <v>1036</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929</v>
      </c>
      <c r="F218" s="2">
        <v>301</v>
      </c>
      <c r="G218" s="2">
        <v>300</v>
      </c>
      <c r="H218" s="3">
        <v>148</v>
      </c>
      <c r="I218" s="3" t="s">
        <v>1036</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931</v>
      </c>
      <c r="F219" s="2">
        <v>301</v>
      </c>
      <c r="G219" s="2">
        <v>300</v>
      </c>
      <c r="H219" s="3">
        <v>132</v>
      </c>
      <c r="I219" s="3" t="s">
        <v>1036</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933</v>
      </c>
      <c r="F220" s="2">
        <v>301</v>
      </c>
      <c r="G220" s="2">
        <v>300</v>
      </c>
      <c r="H220" s="3">
        <v>75</v>
      </c>
      <c r="I220" s="3" t="s">
        <v>1036</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1036</v>
      </c>
      <c r="J221" s="7">
        <v>-1</v>
      </c>
      <c r="K221" s="7">
        <v>-1</v>
      </c>
      <c r="L221" s="7" t="s">
        <v>56</v>
      </c>
      <c r="M221" s="5">
        <v>0</v>
      </c>
      <c r="N221" s="8">
        <v>363636</v>
      </c>
      <c r="O221" s="8">
        <v>363636</v>
      </c>
      <c r="P221" s="8">
        <v>363636</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1036</v>
      </c>
      <c r="J222" s="7">
        <v>-1</v>
      </c>
      <c r="K222" s="7">
        <v>-1</v>
      </c>
      <c r="L222" s="7" t="s">
        <v>56</v>
      </c>
      <c r="M222" s="5">
        <v>0</v>
      </c>
      <c r="N222" s="8">
        <v>363636</v>
      </c>
      <c r="O222" s="8">
        <v>363636</v>
      </c>
      <c r="P222" s="8">
        <v>363636</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1036</v>
      </c>
      <c r="J223" s="7">
        <v>-1</v>
      </c>
      <c r="K223" s="7">
        <v>-1</v>
      </c>
      <c r="L223" s="7" t="s">
        <v>56</v>
      </c>
      <c r="M223" s="5">
        <v>0</v>
      </c>
      <c r="N223" s="8">
        <v>272727</v>
      </c>
      <c r="O223" s="8">
        <v>272727</v>
      </c>
      <c r="P223" s="8">
        <v>272727</v>
      </c>
      <c r="Q223" s="6">
        <v>0</v>
      </c>
      <c r="R223" s="6">
        <v>0</v>
      </c>
      <c r="S223" s="6">
        <v>0</v>
      </c>
      <c r="T223" s="6">
        <v>0</v>
      </c>
      <c r="U223" s="6">
        <v>3</v>
      </c>
      <c r="V223" s="7">
        <v>-1</v>
      </c>
      <c r="W223" s="7">
        <v>-1</v>
      </c>
      <c r="X223" s="6">
        <v>0</v>
      </c>
      <c r="Y223" s="6">
        <v>2</v>
      </c>
      <c r="Z223" s="6">
        <v>3676</v>
      </c>
      <c r="AA223" s="6">
        <v>1</v>
      </c>
      <c r="AB223" s="6">
        <v>53</v>
      </c>
      <c r="AC223" s="6">
        <v>1</v>
      </c>
      <c r="AD223" s="6">
        <v>1</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1036</v>
      </c>
      <c r="J224" s="7">
        <v>-1</v>
      </c>
      <c r="K224" s="7">
        <v>-1</v>
      </c>
      <c r="L224" s="7" t="s">
        <v>56</v>
      </c>
      <c r="M224" s="5">
        <v>0</v>
      </c>
      <c r="N224" s="8">
        <v>272727</v>
      </c>
      <c r="O224" s="8">
        <v>272727</v>
      </c>
      <c r="P224" s="8">
        <v>272727</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1036</v>
      </c>
      <c r="J225" s="7">
        <v>-1</v>
      </c>
      <c r="K225" s="7">
        <v>-1</v>
      </c>
      <c r="L225" s="7" t="s">
        <v>56</v>
      </c>
      <c r="M225" s="5">
        <v>0</v>
      </c>
      <c r="N225" s="8">
        <v>272727</v>
      </c>
      <c r="O225" s="8">
        <v>272727</v>
      </c>
      <c r="P225" s="8">
        <v>272727</v>
      </c>
      <c r="Q225" s="6">
        <v>0</v>
      </c>
      <c r="R225" s="6">
        <v>0</v>
      </c>
      <c r="S225" s="6">
        <v>0</v>
      </c>
      <c r="T225" s="6">
        <v>0</v>
      </c>
      <c r="U225" s="6">
        <v>3</v>
      </c>
      <c r="V225" s="7">
        <v>-1</v>
      </c>
      <c r="W225" s="7">
        <v>-1</v>
      </c>
      <c r="X225" s="6">
        <v>0</v>
      </c>
      <c r="Y225" s="6">
        <v>2</v>
      </c>
      <c r="Z225" s="6">
        <v>3680</v>
      </c>
      <c r="AA225" s="6">
        <v>1</v>
      </c>
      <c r="AB225" s="6">
        <v>12</v>
      </c>
      <c r="AC225" s="6">
        <v>0.03</v>
      </c>
      <c r="AD225" s="6">
        <v>0.03</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1036</v>
      </c>
      <c r="J226" s="7">
        <v>-1</v>
      </c>
      <c r="K226" s="7">
        <v>-1</v>
      </c>
      <c r="L226" s="7" t="s">
        <v>56</v>
      </c>
      <c r="M226" s="5">
        <v>0</v>
      </c>
      <c r="N226" s="8">
        <v>363636</v>
      </c>
      <c r="O226" s="8">
        <v>363636</v>
      </c>
      <c r="P226" s="8">
        <v>363636</v>
      </c>
      <c r="Q226" s="6">
        <v>0</v>
      </c>
      <c r="R226" s="6">
        <v>0</v>
      </c>
      <c r="S226" s="6">
        <v>0</v>
      </c>
      <c r="T226" s="6">
        <v>0</v>
      </c>
      <c r="U226" s="6">
        <v>3</v>
      </c>
      <c r="V226" s="7">
        <v>-1</v>
      </c>
      <c r="W226" s="7">
        <v>-1</v>
      </c>
      <c r="X226" s="6">
        <v>0</v>
      </c>
      <c r="Y226" s="6">
        <v>0</v>
      </c>
      <c r="Z226" s="6">
        <v>3682</v>
      </c>
      <c r="AA226" s="6">
        <v>1</v>
      </c>
      <c r="AB226" s="6">
        <v>18</v>
      </c>
      <c r="AC226" s="6">
        <v>0.05</v>
      </c>
      <c r="AD226" s="6">
        <v>0.05</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869</v>
      </c>
      <c r="F227" s="7">
        <v>301</v>
      </c>
      <c r="G227" s="7">
        <v>300</v>
      </c>
      <c r="H227" s="6">
        <v>105</v>
      </c>
      <c r="I227" s="6" t="s">
        <v>1036</v>
      </c>
      <c r="J227" s="7">
        <v>-1</v>
      </c>
      <c r="K227" s="7">
        <v>-1</v>
      </c>
      <c r="L227" s="7" t="s">
        <v>56</v>
      </c>
      <c r="M227" s="5">
        <v>0</v>
      </c>
      <c r="N227" s="8">
        <v>363636</v>
      </c>
      <c r="O227" s="8">
        <v>363636</v>
      </c>
      <c r="P227" s="8">
        <v>363636</v>
      </c>
      <c r="Q227" s="6">
        <v>0</v>
      </c>
      <c r="R227" s="6">
        <v>0</v>
      </c>
      <c r="S227" s="6">
        <v>0</v>
      </c>
      <c r="T227" s="6">
        <v>0</v>
      </c>
      <c r="U227" s="6">
        <v>3</v>
      </c>
      <c r="V227" s="7">
        <v>-1</v>
      </c>
      <c r="W227" s="7">
        <v>-1</v>
      </c>
      <c r="X227" s="6">
        <v>0</v>
      </c>
      <c r="Y227" s="6">
        <v>1</v>
      </c>
      <c r="Z227" s="6">
        <v>3683</v>
      </c>
      <c r="AA227" s="6">
        <v>1</v>
      </c>
      <c r="AB227" s="6">
        <v>24</v>
      </c>
      <c r="AC227" s="6">
        <v>0.05</v>
      </c>
      <c r="AD227" s="6">
        <v>0.05</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1036</v>
      </c>
      <c r="J228" s="7">
        <v>-1</v>
      </c>
      <c r="K228" s="7">
        <v>-1</v>
      </c>
      <c r="L228" s="7" t="s">
        <v>56</v>
      </c>
      <c r="M228" s="5">
        <v>0</v>
      </c>
      <c r="N228" s="8">
        <v>272727</v>
      </c>
      <c r="O228" s="8">
        <v>272727</v>
      </c>
      <c r="P228" s="8">
        <v>272727</v>
      </c>
      <c r="Q228" s="6">
        <v>0</v>
      </c>
      <c r="R228" s="6">
        <v>0</v>
      </c>
      <c r="S228" s="6">
        <v>0</v>
      </c>
      <c r="T228" s="6">
        <v>0</v>
      </c>
      <c r="U228" s="6">
        <v>3</v>
      </c>
      <c r="V228" s="7">
        <v>-1</v>
      </c>
      <c r="W228" s="7">
        <v>-1</v>
      </c>
      <c r="X228" s="6">
        <v>0</v>
      </c>
      <c r="Y228" s="6">
        <v>2</v>
      </c>
      <c r="Z228" s="6">
        <v>3685</v>
      </c>
      <c r="AA228" s="6">
        <v>2</v>
      </c>
      <c r="AB228" s="6">
        <v>48</v>
      </c>
      <c r="AC228" s="11">
        <v>7</v>
      </c>
      <c r="AD228" s="11">
        <v>7</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1038</v>
      </c>
      <c r="J229" s="7">
        <v>-1</v>
      </c>
      <c r="K229" s="7">
        <v>-1</v>
      </c>
      <c r="L229" s="7" t="s">
        <v>56</v>
      </c>
      <c r="M229" s="5">
        <v>0</v>
      </c>
      <c r="N229" s="8">
        <v>363636</v>
      </c>
      <c r="O229" s="8">
        <v>363636</v>
      </c>
      <c r="P229" s="8">
        <v>363636</v>
      </c>
      <c r="Q229" s="6">
        <v>0</v>
      </c>
      <c r="R229" s="6">
        <v>0</v>
      </c>
      <c r="S229" s="6">
        <v>0</v>
      </c>
      <c r="T229" s="6">
        <v>0</v>
      </c>
      <c r="U229" s="6">
        <v>3</v>
      </c>
      <c r="V229" s="7">
        <v>-1</v>
      </c>
      <c r="W229" s="7">
        <v>-1</v>
      </c>
      <c r="X229" s="6">
        <v>0</v>
      </c>
      <c r="Y229" s="6">
        <v>2</v>
      </c>
      <c r="Z229" s="6">
        <v>3686</v>
      </c>
      <c r="AA229" s="6">
        <v>2</v>
      </c>
      <c r="AB229" s="6">
        <v>29</v>
      </c>
      <c r="AC229" s="6">
        <v>0.10000000149011612</v>
      </c>
      <c r="AD229" s="6">
        <v>0.10000000149011612</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1036</v>
      </c>
      <c r="J230" s="7">
        <v>-1</v>
      </c>
      <c r="K230" s="7">
        <v>-1</v>
      </c>
      <c r="L230" s="7" t="s">
        <v>56</v>
      </c>
      <c r="M230" s="5">
        <v>0</v>
      </c>
      <c r="N230" s="8">
        <v>272727</v>
      </c>
      <c r="O230" s="8">
        <v>272727</v>
      </c>
      <c r="P230" s="8">
        <v>272727</v>
      </c>
      <c r="Q230" s="6">
        <v>0</v>
      </c>
      <c r="R230" s="6">
        <v>0</v>
      </c>
      <c r="S230" s="6">
        <v>0</v>
      </c>
      <c r="T230" s="6">
        <v>0</v>
      </c>
      <c r="U230" s="6">
        <v>3</v>
      </c>
      <c r="V230" s="7">
        <v>-1</v>
      </c>
      <c r="W230" s="7">
        <v>-1</v>
      </c>
      <c r="X230" s="6">
        <v>0</v>
      </c>
      <c r="Y230" s="6">
        <v>2</v>
      </c>
      <c r="Z230" s="6">
        <v>3687</v>
      </c>
      <c r="AA230" s="6">
        <v>1</v>
      </c>
      <c r="AB230" s="6">
        <v>28</v>
      </c>
      <c r="AC230" s="6">
        <v>25</v>
      </c>
      <c r="AD230" s="6">
        <v>25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1036</v>
      </c>
      <c r="J231" s="7">
        <v>-1</v>
      </c>
      <c r="K231" s="7">
        <v>-1</v>
      </c>
      <c r="L231" s="7" t="s">
        <v>56</v>
      </c>
      <c r="M231" s="5">
        <v>0</v>
      </c>
      <c r="N231" s="8">
        <v>272727</v>
      </c>
      <c r="O231" s="8">
        <v>272727</v>
      </c>
      <c r="P231" s="8">
        <v>272727</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1037</v>
      </c>
      <c r="J232" s="7">
        <v>-1</v>
      </c>
      <c r="K232" s="7">
        <v>-1</v>
      </c>
      <c r="L232" s="7" t="s">
        <v>56</v>
      </c>
      <c r="M232" s="5">
        <v>0</v>
      </c>
      <c r="N232" s="8">
        <v>363636</v>
      </c>
      <c r="O232" s="8">
        <v>363636</v>
      </c>
      <c r="P232" s="8">
        <v>363636</v>
      </c>
      <c r="Q232" s="6">
        <v>0</v>
      </c>
      <c r="R232" s="6">
        <v>0</v>
      </c>
      <c r="S232" s="6">
        <v>0</v>
      </c>
      <c r="T232" s="6">
        <v>0</v>
      </c>
      <c r="U232" s="6">
        <v>3</v>
      </c>
      <c r="V232" s="7">
        <v>-1</v>
      </c>
      <c r="W232" s="7">
        <v>-1</v>
      </c>
      <c r="X232" s="6">
        <v>0</v>
      </c>
      <c r="Y232" s="6">
        <v>2</v>
      </c>
      <c r="Z232" s="6">
        <v>3681</v>
      </c>
      <c r="AA232" s="6">
        <v>1</v>
      </c>
      <c r="AB232" s="6">
        <v>33</v>
      </c>
      <c r="AC232" s="6">
        <v>0.10000000149011612</v>
      </c>
      <c r="AD232" s="6">
        <v>0.10000000149011612</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938</v>
      </c>
      <c r="F233" s="2">
        <v>301</v>
      </c>
      <c r="G233" s="2">
        <v>300</v>
      </c>
      <c r="H233" s="3">
        <v>89</v>
      </c>
      <c r="I233" s="3" t="s">
        <v>1036</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939</v>
      </c>
      <c r="F234" s="2">
        <v>301</v>
      </c>
      <c r="G234" s="2">
        <v>300</v>
      </c>
      <c r="H234" s="3">
        <v>108</v>
      </c>
      <c r="I234" s="3" t="s">
        <v>1036</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1174</v>
      </c>
      <c r="F235" s="2">
        <v>301</v>
      </c>
      <c r="G235" s="2">
        <v>300</v>
      </c>
      <c r="H235" s="3">
        <v>167</v>
      </c>
      <c r="I235" s="3" t="s">
        <v>1036</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18</v>
      </c>
      <c r="AC235" s="3">
        <v>5.000000074505806E-2</v>
      </c>
      <c r="AD235" s="3">
        <v>5.000000074505806E-2</v>
      </c>
      <c r="AE235" s="3">
        <v>24</v>
      </c>
      <c r="AF235" s="3">
        <v>5.000000074505806E-2</v>
      </c>
      <c r="AG235" s="3">
        <v>5.000000074505806E-2</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1083</v>
      </c>
      <c r="F236" s="2">
        <v>301</v>
      </c>
      <c r="G236" s="2">
        <v>300</v>
      </c>
      <c r="H236" s="3">
        <v>167</v>
      </c>
      <c r="I236" s="3" t="s">
        <v>1036</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941</v>
      </c>
      <c r="F237" s="2">
        <v>301</v>
      </c>
      <c r="G237" s="2">
        <v>300</v>
      </c>
      <c r="H237" s="3">
        <v>167</v>
      </c>
      <c r="I237" s="3" t="s">
        <v>1036</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942</v>
      </c>
      <c r="F238" s="2">
        <v>301</v>
      </c>
      <c r="G238" s="2">
        <v>300</v>
      </c>
      <c r="H238" s="3">
        <v>167</v>
      </c>
      <c r="I238" s="3" t="s">
        <v>1036</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944</v>
      </c>
      <c r="F239" s="2">
        <v>301</v>
      </c>
      <c r="G239" s="2">
        <v>300</v>
      </c>
      <c r="H239" s="3">
        <v>167</v>
      </c>
      <c r="I239" s="3" t="s">
        <v>1036</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946</v>
      </c>
      <c r="F240" s="2">
        <v>301</v>
      </c>
      <c r="G240" s="2">
        <v>300</v>
      </c>
      <c r="H240" s="3">
        <v>167</v>
      </c>
      <c r="I240" s="3" t="s">
        <v>1036</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948</v>
      </c>
      <c r="F241" s="2">
        <v>301</v>
      </c>
      <c r="G241" s="2">
        <v>300</v>
      </c>
      <c r="H241" s="3">
        <v>167</v>
      </c>
      <c r="I241" s="3" t="s">
        <v>1036</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950</v>
      </c>
      <c r="F242" s="2">
        <v>301</v>
      </c>
      <c r="G242" s="2">
        <v>300</v>
      </c>
      <c r="H242" s="3">
        <v>167</v>
      </c>
      <c r="I242" s="3" t="s">
        <v>1036</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952</v>
      </c>
      <c r="F243" s="2">
        <v>301</v>
      </c>
      <c r="G243" s="2">
        <v>300</v>
      </c>
      <c r="H243" s="3">
        <v>167</v>
      </c>
      <c r="I243" s="3" t="s">
        <v>1036</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954</v>
      </c>
      <c r="F244" s="2">
        <v>301</v>
      </c>
      <c r="G244" s="2">
        <v>300</v>
      </c>
      <c r="H244" s="3">
        <v>167</v>
      </c>
      <c r="I244" s="3" t="s">
        <v>1036</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956</v>
      </c>
      <c r="F245" s="2">
        <v>301</v>
      </c>
      <c r="G245" s="2">
        <v>300</v>
      </c>
      <c r="H245" s="3">
        <v>167</v>
      </c>
      <c r="I245" s="3" t="s">
        <v>1036</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958</v>
      </c>
      <c r="F246" s="2">
        <v>301</v>
      </c>
      <c r="G246" s="2">
        <v>300</v>
      </c>
      <c r="H246" s="3">
        <v>167</v>
      </c>
      <c r="I246" s="3" t="s">
        <v>1036</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960</v>
      </c>
      <c r="F247" s="2">
        <v>301</v>
      </c>
      <c r="G247" s="2">
        <v>300</v>
      </c>
      <c r="H247" s="3">
        <v>167</v>
      </c>
      <c r="I247" s="3" t="s">
        <v>1036</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962</v>
      </c>
      <c r="F248" s="2">
        <v>301</v>
      </c>
      <c r="G248" s="2">
        <v>300</v>
      </c>
      <c r="H248" s="3">
        <v>167</v>
      </c>
      <c r="I248" s="3" t="s">
        <v>1036</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964</v>
      </c>
      <c r="F249" s="2">
        <v>301</v>
      </c>
      <c r="G249" s="2">
        <v>300</v>
      </c>
      <c r="H249" s="3">
        <v>167</v>
      </c>
      <c r="I249" s="3" t="s">
        <v>1036</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966</v>
      </c>
      <c r="F250" s="2">
        <v>301</v>
      </c>
      <c r="G250" s="2">
        <v>300</v>
      </c>
      <c r="H250" s="3">
        <v>167</v>
      </c>
      <c r="I250" s="3" t="s">
        <v>1036</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968</v>
      </c>
      <c r="F251" s="2">
        <v>301</v>
      </c>
      <c r="G251" s="2">
        <v>300</v>
      </c>
      <c r="H251" s="3">
        <v>167</v>
      </c>
      <c r="I251" s="3" t="s">
        <v>1036</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970</v>
      </c>
      <c r="F252" s="2">
        <v>301</v>
      </c>
      <c r="G252" s="2">
        <v>300</v>
      </c>
      <c r="H252" s="3">
        <v>167</v>
      </c>
      <c r="I252" s="3" t="s">
        <v>1036</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972</v>
      </c>
      <c r="F253" s="2">
        <v>301</v>
      </c>
      <c r="G253" s="2">
        <v>300</v>
      </c>
      <c r="H253" s="3">
        <v>108</v>
      </c>
      <c r="I253" s="3" t="s">
        <v>1038</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974</v>
      </c>
      <c r="F254" s="2">
        <v>301</v>
      </c>
      <c r="G254" s="2">
        <v>300</v>
      </c>
      <c r="H254" s="3">
        <v>162</v>
      </c>
      <c r="I254" s="3" t="s">
        <v>1036</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976</v>
      </c>
      <c r="F255" s="2">
        <v>301</v>
      </c>
      <c r="G255" s="2">
        <v>300</v>
      </c>
      <c r="H255" s="3">
        <v>163</v>
      </c>
      <c r="I255" s="3" t="s">
        <v>1036</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978</v>
      </c>
      <c r="F256" s="2">
        <v>301</v>
      </c>
      <c r="G256" s="2">
        <v>300</v>
      </c>
      <c r="H256" s="3">
        <v>164</v>
      </c>
      <c r="I256" s="3" t="s">
        <v>1036</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980</v>
      </c>
      <c r="F257" s="2">
        <v>301</v>
      </c>
      <c r="G257" s="2">
        <v>300</v>
      </c>
      <c r="H257" s="3">
        <v>165</v>
      </c>
      <c r="I257" s="3" t="s">
        <v>1036</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s="18" customFormat="1" x14ac:dyDescent="0.25">
      <c r="A258" s="15" t="s">
        <v>502</v>
      </c>
      <c r="B258" s="16">
        <v>1</v>
      </c>
      <c r="C258" s="16" t="s">
        <v>312</v>
      </c>
      <c r="D258" s="16">
        <v>150</v>
      </c>
      <c r="E258" s="16" t="s">
        <v>1162</v>
      </c>
      <c r="F258" s="17">
        <v>301</v>
      </c>
      <c r="G258" s="17">
        <v>300</v>
      </c>
      <c r="H258" s="16">
        <v>94</v>
      </c>
      <c r="I258" s="16" t="s">
        <v>1036</v>
      </c>
      <c r="J258" s="17">
        <v>-1</v>
      </c>
      <c r="K258" s="17">
        <v>-1</v>
      </c>
      <c r="L258" s="17" t="s">
        <v>56</v>
      </c>
      <c r="M258" s="15">
        <v>2</v>
      </c>
      <c r="N258" s="15">
        <v>1</v>
      </c>
      <c r="O258" s="15">
        <v>1</v>
      </c>
      <c r="P258" s="15">
        <v>1</v>
      </c>
      <c r="Q258" s="16">
        <v>1819</v>
      </c>
      <c r="R258" s="16">
        <v>1819</v>
      </c>
      <c r="S258" s="16">
        <v>1819</v>
      </c>
      <c r="T258" s="16">
        <v>1819</v>
      </c>
      <c r="U258" s="16">
        <v>1819</v>
      </c>
      <c r="V258" s="17">
        <v>-1</v>
      </c>
      <c r="W258" s="17">
        <v>-1</v>
      </c>
      <c r="X258" s="16">
        <v>0</v>
      </c>
      <c r="Y258" s="16">
        <v>2</v>
      </c>
      <c r="Z258" s="16">
        <v>3672</v>
      </c>
      <c r="AA258" s="16">
        <v>1</v>
      </c>
      <c r="AB258" s="16">
        <v>76</v>
      </c>
      <c r="AC258" s="16">
        <v>1</v>
      </c>
      <c r="AD258" s="16">
        <v>1</v>
      </c>
      <c r="AE258" s="16">
        <v>-1</v>
      </c>
      <c r="AF258" s="16">
        <v>-1</v>
      </c>
      <c r="AG258" s="16">
        <v>-1</v>
      </c>
      <c r="AH258" s="16">
        <v>-1</v>
      </c>
      <c r="AI258" s="16">
        <v>-1</v>
      </c>
      <c r="AJ258" s="16">
        <v>-1</v>
      </c>
      <c r="AK258" s="16">
        <v>-1</v>
      </c>
      <c r="AL258" s="16">
        <v>-1</v>
      </c>
      <c r="AM258" s="16">
        <v>-1</v>
      </c>
      <c r="AN258" s="16">
        <v>-1</v>
      </c>
      <c r="AO258" s="16">
        <v>-1</v>
      </c>
      <c r="AP258" s="16">
        <v>-1</v>
      </c>
      <c r="AQ258" s="16">
        <v>1</v>
      </c>
      <c r="AR258" s="16">
        <v>0</v>
      </c>
      <c r="AS258" s="16">
        <v>0</v>
      </c>
      <c r="AT258" s="16">
        <v>1</v>
      </c>
      <c r="AU258" s="17">
        <v>1</v>
      </c>
      <c r="AV258" s="17" t="str">
        <f t="shared" si="3"/>
        <v>tircha01</v>
      </c>
      <c r="AW258" s="16">
        <v>1</v>
      </c>
      <c r="AX258" s="16">
        <v>0</v>
      </c>
      <c r="AY258" s="16">
        <v>1</v>
      </c>
      <c r="AZ258" s="17"/>
    </row>
    <row r="259" spans="1:52" s="18" customFormat="1" x14ac:dyDescent="0.25">
      <c r="A259" s="15" t="s">
        <v>503</v>
      </c>
      <c r="B259" s="16">
        <v>1</v>
      </c>
      <c r="C259" s="16" t="s">
        <v>314</v>
      </c>
      <c r="D259" s="16">
        <v>151</v>
      </c>
      <c r="E259" s="16" t="s">
        <v>1163</v>
      </c>
      <c r="F259" s="17">
        <v>301</v>
      </c>
      <c r="G259" s="17">
        <v>300</v>
      </c>
      <c r="H259" s="16">
        <v>95</v>
      </c>
      <c r="I259" s="16" t="s">
        <v>1036</v>
      </c>
      <c r="J259" s="17">
        <v>-1</v>
      </c>
      <c r="K259" s="17">
        <v>-1</v>
      </c>
      <c r="L259" s="17" t="s">
        <v>56</v>
      </c>
      <c r="M259" s="15">
        <v>2</v>
      </c>
      <c r="N259" s="15">
        <v>1</v>
      </c>
      <c r="O259" s="15">
        <v>1</v>
      </c>
      <c r="P259" s="15">
        <v>1</v>
      </c>
      <c r="Q259" s="16">
        <v>1819</v>
      </c>
      <c r="R259" s="16">
        <v>1819</v>
      </c>
      <c r="S259" s="16">
        <v>1819</v>
      </c>
      <c r="T259" s="16">
        <v>1819</v>
      </c>
      <c r="U259" s="16">
        <v>1819</v>
      </c>
      <c r="V259" s="17">
        <v>-1</v>
      </c>
      <c r="W259" s="17">
        <v>-1</v>
      </c>
      <c r="X259" s="16">
        <v>0</v>
      </c>
      <c r="Y259" s="16">
        <v>2</v>
      </c>
      <c r="Z259" s="16">
        <v>3673</v>
      </c>
      <c r="AA259" s="16">
        <v>1</v>
      </c>
      <c r="AB259" s="16">
        <v>41</v>
      </c>
      <c r="AC259" s="16">
        <v>1</v>
      </c>
      <c r="AD259" s="16">
        <v>1</v>
      </c>
      <c r="AE259" s="16">
        <v>-1</v>
      </c>
      <c r="AF259" s="16">
        <v>-1</v>
      </c>
      <c r="AG259" s="16">
        <v>-1</v>
      </c>
      <c r="AH259" s="16">
        <v>-1</v>
      </c>
      <c r="AI259" s="16">
        <v>-1</v>
      </c>
      <c r="AJ259" s="16">
        <v>-1</v>
      </c>
      <c r="AK259" s="16">
        <v>-1</v>
      </c>
      <c r="AL259" s="16">
        <v>-1</v>
      </c>
      <c r="AM259" s="16">
        <v>-1</v>
      </c>
      <c r="AN259" s="16">
        <v>-1</v>
      </c>
      <c r="AO259" s="16">
        <v>-1</v>
      </c>
      <c r="AP259" s="16">
        <v>-1</v>
      </c>
      <c r="AQ259" s="16">
        <v>1</v>
      </c>
      <c r="AR259" s="16">
        <v>0</v>
      </c>
      <c r="AS259" s="16">
        <v>0</v>
      </c>
      <c r="AT259" s="16">
        <v>1</v>
      </c>
      <c r="AU259" s="17">
        <v>1</v>
      </c>
      <c r="AV259" s="17" t="str">
        <f t="shared" si="3"/>
        <v>tircha02</v>
      </c>
      <c r="AW259" s="16">
        <v>1</v>
      </c>
      <c r="AX259" s="16">
        <v>0</v>
      </c>
      <c r="AY259" s="16">
        <v>1</v>
      </c>
      <c r="AZ259" s="17"/>
    </row>
    <row r="260" spans="1:52" s="18" customFormat="1" x14ac:dyDescent="0.25">
      <c r="A260" s="15" t="s">
        <v>504</v>
      </c>
      <c r="B260" s="16">
        <v>1</v>
      </c>
      <c r="C260" s="16" t="s">
        <v>320</v>
      </c>
      <c r="D260" s="16">
        <v>152</v>
      </c>
      <c r="E260" s="16" t="s">
        <v>1164</v>
      </c>
      <c r="F260" s="17">
        <v>301</v>
      </c>
      <c r="G260" s="17">
        <v>300</v>
      </c>
      <c r="H260" s="16">
        <v>98</v>
      </c>
      <c r="I260" s="16" t="s">
        <v>1036</v>
      </c>
      <c r="J260" s="17">
        <v>-1</v>
      </c>
      <c r="K260" s="17">
        <v>-1</v>
      </c>
      <c r="L260" s="17" t="s">
        <v>56</v>
      </c>
      <c r="M260" s="15">
        <v>2</v>
      </c>
      <c r="N260" s="15">
        <v>1</v>
      </c>
      <c r="O260" s="15">
        <v>1</v>
      </c>
      <c r="P260" s="15">
        <v>1</v>
      </c>
      <c r="Q260" s="16">
        <v>1819</v>
      </c>
      <c r="R260" s="16">
        <v>1819</v>
      </c>
      <c r="S260" s="16">
        <v>1819</v>
      </c>
      <c r="T260" s="16">
        <v>1819</v>
      </c>
      <c r="U260" s="16">
        <v>1819</v>
      </c>
      <c r="V260" s="17">
        <v>-1</v>
      </c>
      <c r="W260" s="17">
        <v>-1</v>
      </c>
      <c r="X260" s="16">
        <v>0</v>
      </c>
      <c r="Y260" s="16">
        <v>2</v>
      </c>
      <c r="Z260" s="16">
        <v>3676</v>
      </c>
      <c r="AA260" s="16">
        <v>1</v>
      </c>
      <c r="AB260" s="16">
        <v>53</v>
      </c>
      <c r="AC260" s="16">
        <v>1</v>
      </c>
      <c r="AD260" s="16">
        <v>1</v>
      </c>
      <c r="AE260" s="16">
        <v>-1</v>
      </c>
      <c r="AF260" s="16">
        <v>-1</v>
      </c>
      <c r="AG260" s="16">
        <v>-1</v>
      </c>
      <c r="AH260" s="16">
        <v>-1</v>
      </c>
      <c r="AI260" s="16">
        <v>-1</v>
      </c>
      <c r="AJ260" s="16">
        <v>-1</v>
      </c>
      <c r="AK260" s="16">
        <v>-1</v>
      </c>
      <c r="AL260" s="16">
        <v>-1</v>
      </c>
      <c r="AM260" s="16">
        <v>-1</v>
      </c>
      <c r="AN260" s="16">
        <v>-1</v>
      </c>
      <c r="AO260" s="16">
        <v>-1</v>
      </c>
      <c r="AP260" s="16">
        <v>-1</v>
      </c>
      <c r="AQ260" s="16">
        <v>1</v>
      </c>
      <c r="AR260" s="16">
        <v>0</v>
      </c>
      <c r="AS260" s="16">
        <v>0</v>
      </c>
      <c r="AT260" s="16">
        <v>1</v>
      </c>
      <c r="AU260" s="17">
        <v>1</v>
      </c>
      <c r="AV260" s="17" t="str">
        <f t="shared" ref="AV260:AV323" si="4">"t"&amp;A260</f>
        <v>tircha03</v>
      </c>
      <c r="AW260" s="16">
        <v>1</v>
      </c>
      <c r="AX260" s="16">
        <v>0</v>
      </c>
      <c r="AY260" s="16">
        <v>1</v>
      </c>
      <c r="AZ260" s="17"/>
    </row>
    <row r="261" spans="1:52" s="18" customFormat="1" x14ac:dyDescent="0.25">
      <c r="A261" s="15" t="s">
        <v>505</v>
      </c>
      <c r="B261" s="16">
        <v>1</v>
      </c>
      <c r="C261" s="16" t="s">
        <v>326</v>
      </c>
      <c r="D261" s="16">
        <v>153</v>
      </c>
      <c r="E261" s="16" t="s">
        <v>1165</v>
      </c>
      <c r="F261" s="17">
        <v>301</v>
      </c>
      <c r="G261" s="17">
        <v>300</v>
      </c>
      <c r="H261" s="16">
        <v>101</v>
      </c>
      <c r="I261" s="16" t="s">
        <v>1036</v>
      </c>
      <c r="J261" s="17">
        <v>-1</v>
      </c>
      <c r="K261" s="17">
        <v>-1</v>
      </c>
      <c r="L261" s="17" t="s">
        <v>56</v>
      </c>
      <c r="M261" s="15">
        <v>2</v>
      </c>
      <c r="N261" s="15">
        <v>1</v>
      </c>
      <c r="O261" s="15">
        <v>1</v>
      </c>
      <c r="P261" s="15">
        <v>1</v>
      </c>
      <c r="Q261" s="16">
        <v>1819</v>
      </c>
      <c r="R261" s="16">
        <v>1819</v>
      </c>
      <c r="S261" s="16">
        <v>1819</v>
      </c>
      <c r="T261" s="16">
        <v>1819</v>
      </c>
      <c r="U261" s="16">
        <v>1819</v>
      </c>
      <c r="V261" s="17">
        <v>-1</v>
      </c>
      <c r="W261" s="17">
        <v>-1</v>
      </c>
      <c r="X261" s="16">
        <v>0</v>
      </c>
      <c r="Y261" s="16">
        <v>2</v>
      </c>
      <c r="Z261" s="16">
        <v>3679</v>
      </c>
      <c r="AA261" s="16">
        <v>1</v>
      </c>
      <c r="AB261" s="16">
        <v>77</v>
      </c>
      <c r="AC261" s="16">
        <v>0.30000001192092896</v>
      </c>
      <c r="AD261" s="16">
        <v>0.30000001192092896</v>
      </c>
      <c r="AE261" s="16">
        <v>-1</v>
      </c>
      <c r="AF261" s="16">
        <v>-1</v>
      </c>
      <c r="AG261" s="16">
        <v>-1</v>
      </c>
      <c r="AH261" s="16">
        <v>-1</v>
      </c>
      <c r="AI261" s="16">
        <v>-1</v>
      </c>
      <c r="AJ261" s="16">
        <v>-1</v>
      </c>
      <c r="AK261" s="16">
        <v>-1</v>
      </c>
      <c r="AL261" s="16">
        <v>-1</v>
      </c>
      <c r="AM261" s="16">
        <v>-1</v>
      </c>
      <c r="AN261" s="16">
        <v>-1</v>
      </c>
      <c r="AO261" s="16">
        <v>-1</v>
      </c>
      <c r="AP261" s="16">
        <v>-1</v>
      </c>
      <c r="AQ261" s="16">
        <v>1</v>
      </c>
      <c r="AR261" s="16">
        <v>0</v>
      </c>
      <c r="AS261" s="16">
        <v>0</v>
      </c>
      <c r="AT261" s="16">
        <v>1</v>
      </c>
      <c r="AU261" s="17">
        <v>1</v>
      </c>
      <c r="AV261" s="17" t="str">
        <f t="shared" si="4"/>
        <v>tircha04</v>
      </c>
      <c r="AW261" s="16">
        <v>1</v>
      </c>
      <c r="AX261" s="16">
        <v>0</v>
      </c>
      <c r="AY261" s="16">
        <v>1</v>
      </c>
      <c r="AZ261" s="17"/>
    </row>
    <row r="262" spans="1:52" s="18" customFormat="1" x14ac:dyDescent="0.25">
      <c r="A262" s="15" t="s">
        <v>506</v>
      </c>
      <c r="B262" s="16">
        <v>1</v>
      </c>
      <c r="C262" s="16" t="s">
        <v>328</v>
      </c>
      <c r="D262" s="16">
        <v>154</v>
      </c>
      <c r="E262" s="16" t="s">
        <v>1166</v>
      </c>
      <c r="F262" s="17">
        <v>301</v>
      </c>
      <c r="G262" s="17">
        <v>300</v>
      </c>
      <c r="H262" s="16">
        <v>102</v>
      </c>
      <c r="I262" s="16" t="s">
        <v>1036</v>
      </c>
      <c r="J262" s="17">
        <v>-1</v>
      </c>
      <c r="K262" s="17">
        <v>-1</v>
      </c>
      <c r="L262" s="17" t="s">
        <v>56</v>
      </c>
      <c r="M262" s="15">
        <v>2</v>
      </c>
      <c r="N262" s="15">
        <v>1</v>
      </c>
      <c r="O262" s="15">
        <v>1</v>
      </c>
      <c r="P262" s="15">
        <v>1</v>
      </c>
      <c r="Q262" s="16">
        <v>1819</v>
      </c>
      <c r="R262" s="16">
        <v>1819</v>
      </c>
      <c r="S262" s="16">
        <v>1819</v>
      </c>
      <c r="T262" s="16">
        <v>1819</v>
      </c>
      <c r="U262" s="16">
        <v>1819</v>
      </c>
      <c r="V262" s="17">
        <v>-1</v>
      </c>
      <c r="W262" s="17">
        <v>-1</v>
      </c>
      <c r="X262" s="16">
        <v>0</v>
      </c>
      <c r="Y262" s="16">
        <v>2</v>
      </c>
      <c r="Z262" s="16">
        <v>3680</v>
      </c>
      <c r="AA262" s="16">
        <v>1</v>
      </c>
      <c r="AB262" s="16">
        <v>12</v>
      </c>
      <c r="AC262" s="16">
        <v>0.03</v>
      </c>
      <c r="AD262" s="16">
        <v>0.03</v>
      </c>
      <c r="AE262" s="16">
        <v>-1</v>
      </c>
      <c r="AF262" s="16">
        <v>-1</v>
      </c>
      <c r="AG262" s="16">
        <v>-1</v>
      </c>
      <c r="AH262" s="16">
        <v>-1</v>
      </c>
      <c r="AI262" s="16">
        <v>-1</v>
      </c>
      <c r="AJ262" s="16">
        <v>-1</v>
      </c>
      <c r="AK262" s="16">
        <v>-1</v>
      </c>
      <c r="AL262" s="16">
        <v>-1</v>
      </c>
      <c r="AM262" s="16">
        <v>-1</v>
      </c>
      <c r="AN262" s="16">
        <v>-1</v>
      </c>
      <c r="AO262" s="16">
        <v>-1</v>
      </c>
      <c r="AP262" s="16">
        <v>-1</v>
      </c>
      <c r="AQ262" s="16">
        <v>1</v>
      </c>
      <c r="AR262" s="16">
        <v>0</v>
      </c>
      <c r="AS262" s="16">
        <v>0</v>
      </c>
      <c r="AT262" s="16">
        <v>1</v>
      </c>
      <c r="AU262" s="17">
        <v>1</v>
      </c>
      <c r="AV262" s="17" t="str">
        <f t="shared" si="4"/>
        <v>tircha05</v>
      </c>
      <c r="AW262" s="16">
        <v>1</v>
      </c>
      <c r="AX262" s="16">
        <v>0</v>
      </c>
      <c r="AY262" s="16">
        <v>1</v>
      </c>
      <c r="AZ262" s="17"/>
    </row>
    <row r="263" spans="1:52" s="18" customFormat="1" x14ac:dyDescent="0.25">
      <c r="A263" s="15" t="s">
        <v>507</v>
      </c>
      <c r="B263" s="16">
        <v>1</v>
      </c>
      <c r="C263" s="16" t="s">
        <v>330</v>
      </c>
      <c r="D263" s="16">
        <v>155</v>
      </c>
      <c r="E263" s="16" t="s">
        <v>1167</v>
      </c>
      <c r="F263" s="17">
        <v>301</v>
      </c>
      <c r="G263" s="17">
        <v>300</v>
      </c>
      <c r="H263" s="16">
        <v>103</v>
      </c>
      <c r="I263" s="16" t="s">
        <v>1037</v>
      </c>
      <c r="J263" s="17">
        <v>-1</v>
      </c>
      <c r="K263" s="17">
        <v>-1</v>
      </c>
      <c r="L263" s="17" t="s">
        <v>56</v>
      </c>
      <c r="M263" s="15">
        <v>2</v>
      </c>
      <c r="N263" s="15">
        <v>1</v>
      </c>
      <c r="O263" s="15">
        <v>1</v>
      </c>
      <c r="P263" s="15">
        <v>1</v>
      </c>
      <c r="Q263" s="16">
        <v>1819</v>
      </c>
      <c r="R263" s="16">
        <v>1819</v>
      </c>
      <c r="S263" s="16">
        <v>1819</v>
      </c>
      <c r="T263" s="16">
        <v>1819</v>
      </c>
      <c r="U263" s="16">
        <v>1819</v>
      </c>
      <c r="V263" s="17">
        <v>-1</v>
      </c>
      <c r="W263" s="17">
        <v>-1</v>
      </c>
      <c r="X263" s="16">
        <v>0</v>
      </c>
      <c r="Y263" s="16">
        <v>2</v>
      </c>
      <c r="Z263" s="16">
        <v>3681</v>
      </c>
      <c r="AA263" s="16">
        <v>1</v>
      </c>
      <c r="AB263" s="16">
        <v>33</v>
      </c>
      <c r="AC263" s="16">
        <v>0.10000000149011612</v>
      </c>
      <c r="AD263" s="16">
        <v>0.10000000149011612</v>
      </c>
      <c r="AE263" s="16">
        <v>-1</v>
      </c>
      <c r="AF263" s="16">
        <v>-1</v>
      </c>
      <c r="AG263" s="16">
        <v>-1</v>
      </c>
      <c r="AH263" s="16">
        <v>-1</v>
      </c>
      <c r="AI263" s="16">
        <v>-1</v>
      </c>
      <c r="AJ263" s="16">
        <v>-1</v>
      </c>
      <c r="AK263" s="16">
        <v>-1</v>
      </c>
      <c r="AL263" s="16">
        <v>-1</v>
      </c>
      <c r="AM263" s="16">
        <v>-1</v>
      </c>
      <c r="AN263" s="16">
        <v>-1</v>
      </c>
      <c r="AO263" s="16">
        <v>-1</v>
      </c>
      <c r="AP263" s="16">
        <v>-1</v>
      </c>
      <c r="AQ263" s="16">
        <v>1</v>
      </c>
      <c r="AR263" s="16">
        <v>0</v>
      </c>
      <c r="AS263" s="16">
        <v>0</v>
      </c>
      <c r="AT263" s="16">
        <v>1</v>
      </c>
      <c r="AU263" s="17">
        <v>1</v>
      </c>
      <c r="AV263" s="17" t="str">
        <f t="shared" si="4"/>
        <v>tircha06</v>
      </c>
      <c r="AW263" s="16">
        <v>1</v>
      </c>
      <c r="AX263" s="16">
        <v>0</v>
      </c>
      <c r="AY263" s="16">
        <v>1</v>
      </c>
      <c r="AZ263" s="17"/>
    </row>
    <row r="264" spans="1:52" s="18" customFormat="1" x14ac:dyDescent="0.25">
      <c r="A264" s="15" t="s">
        <v>508</v>
      </c>
      <c r="B264" s="16">
        <v>1</v>
      </c>
      <c r="C264" s="16" t="s">
        <v>332</v>
      </c>
      <c r="D264" s="16">
        <v>156</v>
      </c>
      <c r="E264" s="16" t="s">
        <v>1168</v>
      </c>
      <c r="F264" s="17">
        <v>301</v>
      </c>
      <c r="G264" s="17">
        <v>300</v>
      </c>
      <c r="H264" s="16">
        <v>104</v>
      </c>
      <c r="I264" s="16" t="s">
        <v>1036</v>
      </c>
      <c r="J264" s="17">
        <v>-1</v>
      </c>
      <c r="K264" s="17">
        <v>-1</v>
      </c>
      <c r="L264" s="17" t="s">
        <v>56</v>
      </c>
      <c r="M264" s="15">
        <v>2</v>
      </c>
      <c r="N264" s="15">
        <v>1</v>
      </c>
      <c r="O264" s="15">
        <v>1</v>
      </c>
      <c r="P264" s="15">
        <v>1</v>
      </c>
      <c r="Q264" s="16">
        <v>1819</v>
      </c>
      <c r="R264" s="16">
        <v>1819</v>
      </c>
      <c r="S264" s="16">
        <v>1819</v>
      </c>
      <c r="T264" s="16">
        <v>1819</v>
      </c>
      <c r="U264" s="16">
        <v>1819</v>
      </c>
      <c r="V264" s="17">
        <v>-1</v>
      </c>
      <c r="W264" s="17">
        <v>-1</v>
      </c>
      <c r="X264" s="16">
        <v>0</v>
      </c>
      <c r="Y264" s="16">
        <v>0</v>
      </c>
      <c r="Z264" s="16">
        <v>3682</v>
      </c>
      <c r="AA264" s="16">
        <v>1</v>
      </c>
      <c r="AB264" s="16">
        <v>18</v>
      </c>
      <c r="AC264" s="16">
        <v>0.05</v>
      </c>
      <c r="AD264" s="16">
        <v>0.05</v>
      </c>
      <c r="AE264" s="16">
        <v>-1</v>
      </c>
      <c r="AF264" s="16">
        <v>-1</v>
      </c>
      <c r="AG264" s="16">
        <v>-1</v>
      </c>
      <c r="AH264" s="16">
        <v>-1</v>
      </c>
      <c r="AI264" s="16">
        <v>-1</v>
      </c>
      <c r="AJ264" s="16">
        <v>-1</v>
      </c>
      <c r="AK264" s="16">
        <v>-1</v>
      </c>
      <c r="AL264" s="16">
        <v>-1</v>
      </c>
      <c r="AM264" s="16">
        <v>-1</v>
      </c>
      <c r="AN264" s="16">
        <v>-1</v>
      </c>
      <c r="AO264" s="16">
        <v>-1</v>
      </c>
      <c r="AP264" s="16">
        <v>-1</v>
      </c>
      <c r="AQ264" s="16">
        <v>1</v>
      </c>
      <c r="AR264" s="16">
        <v>0</v>
      </c>
      <c r="AS264" s="16">
        <v>0</v>
      </c>
      <c r="AT264" s="16">
        <v>1</v>
      </c>
      <c r="AU264" s="17">
        <v>1</v>
      </c>
      <c r="AV264" s="17" t="str">
        <f t="shared" si="4"/>
        <v>tircha07</v>
      </c>
      <c r="AW264" s="16">
        <v>1</v>
      </c>
      <c r="AX264" s="16">
        <v>0</v>
      </c>
      <c r="AY264" s="16">
        <v>1</v>
      </c>
      <c r="AZ264" s="17"/>
    </row>
    <row r="265" spans="1:52" s="18" customFormat="1" x14ac:dyDescent="0.25">
      <c r="A265" s="15" t="s">
        <v>509</v>
      </c>
      <c r="B265" s="16">
        <v>1</v>
      </c>
      <c r="C265" s="16" t="s">
        <v>334</v>
      </c>
      <c r="D265" s="16">
        <v>157</v>
      </c>
      <c r="E265" s="16" t="s">
        <v>1169</v>
      </c>
      <c r="F265" s="17">
        <v>301</v>
      </c>
      <c r="G265" s="17">
        <v>300</v>
      </c>
      <c r="H265" s="16">
        <v>105</v>
      </c>
      <c r="I265" s="16" t="s">
        <v>1036</v>
      </c>
      <c r="J265" s="17">
        <v>-1</v>
      </c>
      <c r="K265" s="17">
        <v>-1</v>
      </c>
      <c r="L265" s="17" t="s">
        <v>56</v>
      </c>
      <c r="M265" s="15">
        <v>2</v>
      </c>
      <c r="N265" s="15">
        <v>1</v>
      </c>
      <c r="O265" s="15">
        <v>1</v>
      </c>
      <c r="P265" s="15">
        <v>1</v>
      </c>
      <c r="Q265" s="16">
        <v>1819</v>
      </c>
      <c r="R265" s="16">
        <v>1819</v>
      </c>
      <c r="S265" s="16">
        <v>1819</v>
      </c>
      <c r="T265" s="16">
        <v>1819</v>
      </c>
      <c r="U265" s="16">
        <v>1819</v>
      </c>
      <c r="V265" s="17">
        <v>-1</v>
      </c>
      <c r="W265" s="17">
        <v>-1</v>
      </c>
      <c r="X265" s="16">
        <v>0</v>
      </c>
      <c r="Y265" s="16">
        <v>1</v>
      </c>
      <c r="Z265" s="16">
        <v>3683</v>
      </c>
      <c r="AA265" s="16">
        <v>1</v>
      </c>
      <c r="AB265" s="16">
        <v>24</v>
      </c>
      <c r="AC265" s="16">
        <v>0.05</v>
      </c>
      <c r="AD265" s="16">
        <v>0.05</v>
      </c>
      <c r="AE265" s="16">
        <v>-1</v>
      </c>
      <c r="AF265" s="16">
        <v>-1</v>
      </c>
      <c r="AG265" s="16">
        <v>-1</v>
      </c>
      <c r="AH265" s="16">
        <v>-1</v>
      </c>
      <c r="AI265" s="16">
        <v>-1</v>
      </c>
      <c r="AJ265" s="16">
        <v>-1</v>
      </c>
      <c r="AK265" s="16">
        <v>-1</v>
      </c>
      <c r="AL265" s="16">
        <v>-1</v>
      </c>
      <c r="AM265" s="16">
        <v>-1</v>
      </c>
      <c r="AN265" s="16">
        <v>-1</v>
      </c>
      <c r="AO265" s="16">
        <v>-1</v>
      </c>
      <c r="AP265" s="16">
        <v>-1</v>
      </c>
      <c r="AQ265" s="16">
        <v>1</v>
      </c>
      <c r="AR265" s="16">
        <v>0</v>
      </c>
      <c r="AS265" s="16">
        <v>0</v>
      </c>
      <c r="AT265" s="16">
        <v>1</v>
      </c>
      <c r="AU265" s="17">
        <v>1</v>
      </c>
      <c r="AV265" s="17" t="str">
        <f t="shared" si="4"/>
        <v>tircha08</v>
      </c>
      <c r="AW265" s="16">
        <v>1</v>
      </c>
      <c r="AX265" s="16">
        <v>0</v>
      </c>
      <c r="AY265" s="16">
        <v>1</v>
      </c>
      <c r="AZ265" s="17"/>
    </row>
    <row r="266" spans="1:52" s="18" customFormat="1" x14ac:dyDescent="0.25">
      <c r="A266" s="15" t="s">
        <v>510</v>
      </c>
      <c r="B266" s="16">
        <v>1</v>
      </c>
      <c r="C266" s="16" t="s">
        <v>338</v>
      </c>
      <c r="D266" s="16">
        <v>158</v>
      </c>
      <c r="E266" s="16" t="s">
        <v>1170</v>
      </c>
      <c r="F266" s="17">
        <v>301</v>
      </c>
      <c r="G266" s="17">
        <v>300</v>
      </c>
      <c r="H266" s="16">
        <v>107</v>
      </c>
      <c r="I266" s="16" t="s">
        <v>1036</v>
      </c>
      <c r="J266" s="17">
        <v>-1</v>
      </c>
      <c r="K266" s="17">
        <v>-1</v>
      </c>
      <c r="L266" s="17" t="s">
        <v>56</v>
      </c>
      <c r="M266" s="15">
        <v>2</v>
      </c>
      <c r="N266" s="15">
        <v>1</v>
      </c>
      <c r="O266" s="15">
        <v>1</v>
      </c>
      <c r="P266" s="15">
        <v>1</v>
      </c>
      <c r="Q266" s="16">
        <v>1819</v>
      </c>
      <c r="R266" s="16">
        <v>1819</v>
      </c>
      <c r="S266" s="16">
        <v>1819</v>
      </c>
      <c r="T266" s="16">
        <v>1819</v>
      </c>
      <c r="U266" s="16">
        <v>1819</v>
      </c>
      <c r="V266" s="17">
        <v>-1</v>
      </c>
      <c r="W266" s="17">
        <v>-1</v>
      </c>
      <c r="X266" s="16">
        <v>0</v>
      </c>
      <c r="Y266" s="16">
        <v>2</v>
      </c>
      <c r="Z266" s="16">
        <v>3685</v>
      </c>
      <c r="AA266" s="16">
        <v>2</v>
      </c>
      <c r="AB266" s="16">
        <v>48</v>
      </c>
      <c r="AC266" s="11">
        <v>7</v>
      </c>
      <c r="AD266" s="11">
        <v>21</v>
      </c>
      <c r="AE266" s="16">
        <v>78</v>
      </c>
      <c r="AF266" s="16">
        <v>10</v>
      </c>
      <c r="AG266" s="16">
        <v>30</v>
      </c>
      <c r="AH266" s="16">
        <v>-1</v>
      </c>
      <c r="AI266" s="16">
        <v>-1</v>
      </c>
      <c r="AJ266" s="16">
        <v>-1</v>
      </c>
      <c r="AK266" s="16">
        <v>-1</v>
      </c>
      <c r="AL266" s="16">
        <v>-1</v>
      </c>
      <c r="AM266" s="16">
        <v>-1</v>
      </c>
      <c r="AN266" s="16">
        <v>-1</v>
      </c>
      <c r="AO266" s="16">
        <v>-1</v>
      </c>
      <c r="AP266" s="16">
        <v>-1</v>
      </c>
      <c r="AQ266" s="16">
        <v>1</v>
      </c>
      <c r="AR266" s="16">
        <v>0</v>
      </c>
      <c r="AS266" s="16">
        <v>0</v>
      </c>
      <c r="AT266" s="16">
        <v>1</v>
      </c>
      <c r="AU266" s="17">
        <v>1</v>
      </c>
      <c r="AV266" s="17" t="str">
        <f t="shared" si="4"/>
        <v>tircha09</v>
      </c>
      <c r="AW266" s="16">
        <v>1</v>
      </c>
      <c r="AX266" s="16">
        <v>0</v>
      </c>
      <c r="AY266" s="16">
        <v>1</v>
      </c>
      <c r="AZ266" s="17"/>
    </row>
    <row r="267" spans="1:52" s="18" customFormat="1" x14ac:dyDescent="0.25">
      <c r="A267" s="15" t="s">
        <v>511</v>
      </c>
      <c r="B267" s="16">
        <v>1</v>
      </c>
      <c r="C267" s="16" t="s">
        <v>340</v>
      </c>
      <c r="D267" s="16">
        <v>159</v>
      </c>
      <c r="E267" s="16" t="s">
        <v>1171</v>
      </c>
      <c r="F267" s="17">
        <v>301</v>
      </c>
      <c r="G267" s="17">
        <v>300</v>
      </c>
      <c r="H267" s="16">
        <v>108</v>
      </c>
      <c r="I267" s="16" t="s">
        <v>1038</v>
      </c>
      <c r="J267" s="17">
        <v>-1</v>
      </c>
      <c r="K267" s="17">
        <v>-1</v>
      </c>
      <c r="L267" s="17" t="s">
        <v>56</v>
      </c>
      <c r="M267" s="15">
        <v>2</v>
      </c>
      <c r="N267" s="15">
        <v>1</v>
      </c>
      <c r="O267" s="15">
        <v>1</v>
      </c>
      <c r="P267" s="15">
        <v>1</v>
      </c>
      <c r="Q267" s="16">
        <v>1819</v>
      </c>
      <c r="R267" s="16">
        <v>1819</v>
      </c>
      <c r="S267" s="16">
        <v>1819</v>
      </c>
      <c r="T267" s="16">
        <v>1819</v>
      </c>
      <c r="U267" s="16">
        <v>1819</v>
      </c>
      <c r="V267" s="17">
        <v>-1</v>
      </c>
      <c r="W267" s="17">
        <v>-1</v>
      </c>
      <c r="X267" s="16">
        <v>0</v>
      </c>
      <c r="Y267" s="16">
        <v>2</v>
      </c>
      <c r="Z267" s="16">
        <v>3686</v>
      </c>
      <c r="AA267" s="16">
        <v>1</v>
      </c>
      <c r="AB267" s="16">
        <v>29</v>
      </c>
      <c r="AC267" s="16">
        <v>0.10000000149011612</v>
      </c>
      <c r="AD267" s="16">
        <v>0.10000000149011612</v>
      </c>
      <c r="AE267" s="16">
        <v>-1</v>
      </c>
      <c r="AF267" s="16">
        <v>-1</v>
      </c>
      <c r="AG267" s="16">
        <v>-1</v>
      </c>
      <c r="AH267" s="16">
        <v>-1</v>
      </c>
      <c r="AI267" s="16">
        <v>-1</v>
      </c>
      <c r="AJ267" s="16">
        <v>-1</v>
      </c>
      <c r="AK267" s="16">
        <v>-1</v>
      </c>
      <c r="AL267" s="16">
        <v>-1</v>
      </c>
      <c r="AM267" s="16">
        <v>-1</v>
      </c>
      <c r="AN267" s="16">
        <v>-1</v>
      </c>
      <c r="AO267" s="16">
        <v>-1</v>
      </c>
      <c r="AP267" s="16">
        <v>-1</v>
      </c>
      <c r="AQ267" s="16">
        <v>1</v>
      </c>
      <c r="AR267" s="16">
        <v>0</v>
      </c>
      <c r="AS267" s="16">
        <v>0</v>
      </c>
      <c r="AT267" s="16">
        <v>1</v>
      </c>
      <c r="AU267" s="17">
        <v>1</v>
      </c>
      <c r="AV267" s="17" t="str">
        <f t="shared" si="4"/>
        <v>tircha10</v>
      </c>
      <c r="AW267" s="16">
        <v>1</v>
      </c>
      <c r="AX267" s="16">
        <v>0</v>
      </c>
      <c r="AY267" s="16">
        <v>1</v>
      </c>
      <c r="AZ267" s="17"/>
    </row>
    <row r="268" spans="1:52" s="18" customFormat="1" x14ac:dyDescent="0.25">
      <c r="A268" s="15" t="s">
        <v>512</v>
      </c>
      <c r="B268" s="16">
        <v>1</v>
      </c>
      <c r="C268" s="16" t="s">
        <v>342</v>
      </c>
      <c r="D268" s="16">
        <v>160</v>
      </c>
      <c r="E268" s="16" t="s">
        <v>1172</v>
      </c>
      <c r="F268" s="17">
        <v>301</v>
      </c>
      <c r="G268" s="17">
        <v>300</v>
      </c>
      <c r="H268" s="16">
        <v>109</v>
      </c>
      <c r="I268" s="16" t="s">
        <v>1036</v>
      </c>
      <c r="J268" s="17">
        <v>-1</v>
      </c>
      <c r="K268" s="17">
        <v>-1</v>
      </c>
      <c r="L268" s="17" t="s">
        <v>56</v>
      </c>
      <c r="M268" s="15">
        <v>2</v>
      </c>
      <c r="N268" s="15">
        <v>1</v>
      </c>
      <c r="O268" s="15">
        <v>1</v>
      </c>
      <c r="P268" s="15">
        <v>1</v>
      </c>
      <c r="Q268" s="16">
        <v>1819</v>
      </c>
      <c r="R268" s="16">
        <v>1819</v>
      </c>
      <c r="S268" s="16">
        <v>1819</v>
      </c>
      <c r="T268" s="16">
        <v>1819</v>
      </c>
      <c r="U268" s="16">
        <v>1819</v>
      </c>
      <c r="V268" s="17">
        <v>-1</v>
      </c>
      <c r="W268" s="17">
        <v>-1</v>
      </c>
      <c r="X268" s="16">
        <v>0</v>
      </c>
      <c r="Y268" s="16">
        <v>2</v>
      </c>
      <c r="Z268" s="16">
        <v>3687</v>
      </c>
      <c r="AA268" s="16">
        <v>1</v>
      </c>
      <c r="AB268" s="16">
        <v>28</v>
      </c>
      <c r="AC268" s="16">
        <v>25</v>
      </c>
      <c r="AD268" s="16">
        <v>25</v>
      </c>
      <c r="AE268" s="16">
        <v>-1</v>
      </c>
      <c r="AF268" s="16">
        <v>-1</v>
      </c>
      <c r="AG268" s="16">
        <v>-1</v>
      </c>
      <c r="AH268" s="16">
        <v>-1</v>
      </c>
      <c r="AI268" s="16">
        <v>-1</v>
      </c>
      <c r="AJ268" s="16">
        <v>-1</v>
      </c>
      <c r="AK268" s="16">
        <v>-1</v>
      </c>
      <c r="AL268" s="16">
        <v>-1</v>
      </c>
      <c r="AM268" s="16">
        <v>-1</v>
      </c>
      <c r="AN268" s="16">
        <v>-1</v>
      </c>
      <c r="AO268" s="16">
        <v>-1</v>
      </c>
      <c r="AP268" s="16">
        <v>-1</v>
      </c>
      <c r="AQ268" s="16">
        <v>1</v>
      </c>
      <c r="AR268" s="16">
        <v>0</v>
      </c>
      <c r="AS268" s="16">
        <v>0</v>
      </c>
      <c r="AT268" s="16">
        <v>1</v>
      </c>
      <c r="AU268" s="17">
        <v>1</v>
      </c>
      <c r="AV268" s="17" t="str">
        <f t="shared" si="4"/>
        <v>tircha11</v>
      </c>
      <c r="AW268" s="16">
        <v>1</v>
      </c>
      <c r="AX268" s="16">
        <v>0</v>
      </c>
      <c r="AY268" s="16">
        <v>1</v>
      </c>
      <c r="AZ268" s="17"/>
    </row>
    <row r="269" spans="1:52" s="18" customFormat="1" x14ac:dyDescent="0.25">
      <c r="A269" s="15" t="s">
        <v>513</v>
      </c>
      <c r="B269" s="16">
        <v>1</v>
      </c>
      <c r="C269" s="16" t="s">
        <v>344</v>
      </c>
      <c r="D269" s="16">
        <v>161</v>
      </c>
      <c r="E269" s="16" t="s">
        <v>1173</v>
      </c>
      <c r="F269" s="17">
        <v>301</v>
      </c>
      <c r="G269" s="17">
        <v>300</v>
      </c>
      <c r="H269" s="16">
        <v>110</v>
      </c>
      <c r="I269" s="16" t="s">
        <v>1036</v>
      </c>
      <c r="J269" s="17">
        <v>-1</v>
      </c>
      <c r="K269" s="17">
        <v>-1</v>
      </c>
      <c r="L269" s="17" t="s">
        <v>56</v>
      </c>
      <c r="M269" s="15">
        <v>2</v>
      </c>
      <c r="N269" s="15">
        <v>1</v>
      </c>
      <c r="O269" s="15">
        <v>1</v>
      </c>
      <c r="P269" s="15">
        <v>1</v>
      </c>
      <c r="Q269" s="16">
        <v>1819</v>
      </c>
      <c r="R269" s="16">
        <v>1819</v>
      </c>
      <c r="S269" s="16">
        <v>1819</v>
      </c>
      <c r="T269" s="16">
        <v>1819</v>
      </c>
      <c r="U269" s="16">
        <v>1819</v>
      </c>
      <c r="V269" s="17">
        <v>-1</v>
      </c>
      <c r="W269" s="17">
        <v>-1</v>
      </c>
      <c r="X269" s="16">
        <v>0</v>
      </c>
      <c r="Y269" s="16">
        <v>2</v>
      </c>
      <c r="Z269" s="16">
        <v>3688</v>
      </c>
      <c r="AA269" s="16">
        <v>1</v>
      </c>
      <c r="AB269" s="16">
        <v>28</v>
      </c>
      <c r="AC269" s="16">
        <v>-5</v>
      </c>
      <c r="AD269" s="16">
        <v>-5</v>
      </c>
      <c r="AE269" s="16">
        <v>-1</v>
      </c>
      <c r="AF269" s="16">
        <v>-1</v>
      </c>
      <c r="AG269" s="16">
        <v>-1</v>
      </c>
      <c r="AH269" s="16">
        <v>-1</v>
      </c>
      <c r="AI269" s="16">
        <v>-1</v>
      </c>
      <c r="AJ269" s="16">
        <v>-1</v>
      </c>
      <c r="AK269" s="16">
        <v>-1</v>
      </c>
      <c r="AL269" s="16">
        <v>-1</v>
      </c>
      <c r="AM269" s="16">
        <v>-1</v>
      </c>
      <c r="AN269" s="16">
        <v>-1</v>
      </c>
      <c r="AO269" s="16">
        <v>-1</v>
      </c>
      <c r="AP269" s="16">
        <v>-1</v>
      </c>
      <c r="AQ269" s="16">
        <v>1</v>
      </c>
      <c r="AR269" s="16">
        <v>0</v>
      </c>
      <c r="AS269" s="16">
        <v>0</v>
      </c>
      <c r="AT269" s="16">
        <v>1</v>
      </c>
      <c r="AU269" s="17">
        <v>1</v>
      </c>
      <c r="AV269" s="17" t="str">
        <f t="shared" si="4"/>
        <v>tircha12</v>
      </c>
      <c r="AW269" s="16">
        <v>1</v>
      </c>
      <c r="AX269" s="16">
        <v>0</v>
      </c>
      <c r="AY269" s="16">
        <v>1</v>
      </c>
      <c r="AZ269" s="17"/>
    </row>
    <row r="270" spans="1:52" s="14" customFormat="1" x14ac:dyDescent="0.25">
      <c r="A270" s="10" t="s">
        <v>514</v>
      </c>
      <c r="B270" s="10">
        <v>1</v>
      </c>
      <c r="C270" s="10" t="s">
        <v>312</v>
      </c>
      <c r="D270" s="10">
        <v>150</v>
      </c>
      <c r="E270" s="10" t="s">
        <v>1175</v>
      </c>
      <c r="F270" s="13">
        <v>301</v>
      </c>
      <c r="G270" s="13">
        <v>300</v>
      </c>
      <c r="H270" s="10">
        <v>94</v>
      </c>
      <c r="I270" s="10" t="s">
        <v>1036</v>
      </c>
      <c r="J270" s="13">
        <v>-1</v>
      </c>
      <c r="K270" s="13">
        <v>-1</v>
      </c>
      <c r="L270" s="13" t="s">
        <v>56</v>
      </c>
      <c r="M270" s="12">
        <v>0</v>
      </c>
      <c r="N270" s="12">
        <v>1</v>
      </c>
      <c r="O270" s="12">
        <v>1</v>
      </c>
      <c r="P270" s="12">
        <v>1</v>
      </c>
      <c r="Q270" s="10">
        <v>1</v>
      </c>
      <c r="R270" s="10">
        <v>0</v>
      </c>
      <c r="S270" s="10">
        <v>0</v>
      </c>
      <c r="T270" s="10">
        <v>0</v>
      </c>
      <c r="U270" s="10">
        <v>0</v>
      </c>
      <c r="V270" s="13">
        <v>-1</v>
      </c>
      <c r="W270" s="13">
        <v>-1</v>
      </c>
      <c r="X270" s="10">
        <v>0</v>
      </c>
      <c r="Y270" s="10">
        <v>2</v>
      </c>
      <c r="Z270" s="10">
        <v>3672</v>
      </c>
      <c r="AA270" s="10">
        <v>1</v>
      </c>
      <c r="AB270" s="10">
        <v>76</v>
      </c>
      <c r="AC270" s="10">
        <v>1</v>
      </c>
      <c r="AD270" s="10">
        <v>1</v>
      </c>
      <c r="AE270" s="10">
        <v>-1</v>
      </c>
      <c r="AF270" s="10">
        <v>-1</v>
      </c>
      <c r="AG270" s="10">
        <v>-1</v>
      </c>
      <c r="AH270" s="10">
        <v>-1</v>
      </c>
      <c r="AI270" s="10">
        <v>-1</v>
      </c>
      <c r="AJ270" s="10">
        <v>-1</v>
      </c>
      <c r="AK270" s="10">
        <v>-1</v>
      </c>
      <c r="AL270" s="10">
        <v>-1</v>
      </c>
      <c r="AM270" s="10">
        <v>-1</v>
      </c>
      <c r="AN270" s="10">
        <v>-1</v>
      </c>
      <c r="AO270" s="10">
        <v>-1</v>
      </c>
      <c r="AP270" s="10">
        <v>-1</v>
      </c>
      <c r="AQ270" s="10">
        <v>1</v>
      </c>
      <c r="AR270" s="10">
        <v>0</v>
      </c>
      <c r="AS270" s="10">
        <v>0</v>
      </c>
      <c r="AT270" s="10">
        <v>1</v>
      </c>
      <c r="AU270" s="13">
        <v>1</v>
      </c>
      <c r="AV270" s="13" t="str">
        <f t="shared" si="4"/>
        <v>tircha13</v>
      </c>
      <c r="AW270" s="10">
        <v>1</v>
      </c>
      <c r="AX270" s="10">
        <v>0</v>
      </c>
      <c r="AY270" s="10">
        <v>1</v>
      </c>
      <c r="AZ270" s="13"/>
    </row>
    <row r="271" spans="1:52" s="14" customFormat="1" x14ac:dyDescent="0.25">
      <c r="A271" s="10" t="s">
        <v>515</v>
      </c>
      <c r="B271" s="10">
        <v>1</v>
      </c>
      <c r="C271" s="10" t="s">
        <v>314</v>
      </c>
      <c r="D271" s="10">
        <v>151</v>
      </c>
      <c r="E271" s="10" t="s">
        <v>1176</v>
      </c>
      <c r="F271" s="13">
        <v>301</v>
      </c>
      <c r="G271" s="13">
        <v>300</v>
      </c>
      <c r="H271" s="10">
        <v>95</v>
      </c>
      <c r="I271" s="10" t="s">
        <v>1036</v>
      </c>
      <c r="J271" s="13">
        <v>-1</v>
      </c>
      <c r="K271" s="13">
        <v>-1</v>
      </c>
      <c r="L271" s="13" t="s">
        <v>56</v>
      </c>
      <c r="M271" s="12">
        <v>0</v>
      </c>
      <c r="N271" s="12">
        <v>1</v>
      </c>
      <c r="O271" s="12">
        <v>1</v>
      </c>
      <c r="P271" s="12">
        <v>1</v>
      </c>
      <c r="Q271" s="10">
        <v>1</v>
      </c>
      <c r="R271" s="10">
        <v>0</v>
      </c>
      <c r="S271" s="10">
        <v>0</v>
      </c>
      <c r="T271" s="10">
        <v>0</v>
      </c>
      <c r="U271" s="10">
        <v>0</v>
      </c>
      <c r="V271" s="13">
        <v>-1</v>
      </c>
      <c r="W271" s="13">
        <v>-1</v>
      </c>
      <c r="X271" s="10">
        <v>0</v>
      </c>
      <c r="Y271" s="10">
        <v>2</v>
      </c>
      <c r="Z271" s="10">
        <v>3673</v>
      </c>
      <c r="AA271" s="10">
        <v>1</v>
      </c>
      <c r="AB271" s="10">
        <v>41</v>
      </c>
      <c r="AC271" s="10">
        <v>1</v>
      </c>
      <c r="AD271" s="10">
        <v>1</v>
      </c>
      <c r="AE271" s="10">
        <v>-1</v>
      </c>
      <c r="AF271" s="10">
        <v>-1</v>
      </c>
      <c r="AG271" s="10">
        <v>-1</v>
      </c>
      <c r="AH271" s="10">
        <v>-1</v>
      </c>
      <c r="AI271" s="10">
        <v>-1</v>
      </c>
      <c r="AJ271" s="10">
        <v>-1</v>
      </c>
      <c r="AK271" s="10">
        <v>-1</v>
      </c>
      <c r="AL271" s="10">
        <v>-1</v>
      </c>
      <c r="AM271" s="10">
        <v>-1</v>
      </c>
      <c r="AN271" s="10">
        <v>-1</v>
      </c>
      <c r="AO271" s="10">
        <v>-1</v>
      </c>
      <c r="AP271" s="10">
        <v>-1</v>
      </c>
      <c r="AQ271" s="10">
        <v>1</v>
      </c>
      <c r="AR271" s="10">
        <v>0</v>
      </c>
      <c r="AS271" s="10">
        <v>0</v>
      </c>
      <c r="AT271" s="10">
        <v>1</v>
      </c>
      <c r="AU271" s="13">
        <v>1</v>
      </c>
      <c r="AV271" s="13" t="str">
        <f t="shared" si="4"/>
        <v>tircha14</v>
      </c>
      <c r="AW271" s="10">
        <v>1</v>
      </c>
      <c r="AX271" s="10">
        <v>0</v>
      </c>
      <c r="AY271" s="10">
        <v>1</v>
      </c>
      <c r="AZ271" s="13"/>
    </row>
    <row r="272" spans="1:52" s="14" customFormat="1" x14ac:dyDescent="0.25">
      <c r="A272" s="10" t="s">
        <v>516</v>
      </c>
      <c r="B272" s="10">
        <v>1</v>
      </c>
      <c r="C272" s="10" t="s">
        <v>320</v>
      </c>
      <c r="D272" s="10">
        <v>152</v>
      </c>
      <c r="E272" s="10" t="s">
        <v>1177</v>
      </c>
      <c r="F272" s="13">
        <v>301</v>
      </c>
      <c r="G272" s="13">
        <v>300</v>
      </c>
      <c r="H272" s="10">
        <v>98</v>
      </c>
      <c r="I272" s="10" t="s">
        <v>1036</v>
      </c>
      <c r="J272" s="13">
        <v>-1</v>
      </c>
      <c r="K272" s="13">
        <v>-1</v>
      </c>
      <c r="L272" s="13" t="s">
        <v>56</v>
      </c>
      <c r="M272" s="12">
        <v>0</v>
      </c>
      <c r="N272" s="12">
        <v>1</v>
      </c>
      <c r="O272" s="12">
        <v>1</v>
      </c>
      <c r="P272" s="12">
        <v>1</v>
      </c>
      <c r="Q272" s="10">
        <v>1</v>
      </c>
      <c r="R272" s="10">
        <v>0</v>
      </c>
      <c r="S272" s="10">
        <v>0</v>
      </c>
      <c r="T272" s="10">
        <v>0</v>
      </c>
      <c r="U272" s="10">
        <v>0</v>
      </c>
      <c r="V272" s="13">
        <v>-1</v>
      </c>
      <c r="W272" s="13">
        <v>-1</v>
      </c>
      <c r="X272" s="10">
        <v>0</v>
      </c>
      <c r="Y272" s="10">
        <v>2</v>
      </c>
      <c r="Z272" s="10">
        <v>3676</v>
      </c>
      <c r="AA272" s="10">
        <v>1</v>
      </c>
      <c r="AB272" s="10">
        <v>53</v>
      </c>
      <c r="AC272" s="10">
        <v>1</v>
      </c>
      <c r="AD272" s="10">
        <v>1</v>
      </c>
      <c r="AE272" s="10">
        <v>-1</v>
      </c>
      <c r="AF272" s="10">
        <v>-1</v>
      </c>
      <c r="AG272" s="10">
        <v>-1</v>
      </c>
      <c r="AH272" s="10">
        <v>-1</v>
      </c>
      <c r="AI272" s="10">
        <v>-1</v>
      </c>
      <c r="AJ272" s="10">
        <v>-1</v>
      </c>
      <c r="AK272" s="10">
        <v>-1</v>
      </c>
      <c r="AL272" s="10">
        <v>-1</v>
      </c>
      <c r="AM272" s="10">
        <v>-1</v>
      </c>
      <c r="AN272" s="10">
        <v>-1</v>
      </c>
      <c r="AO272" s="10">
        <v>-1</v>
      </c>
      <c r="AP272" s="10">
        <v>-1</v>
      </c>
      <c r="AQ272" s="10">
        <v>1</v>
      </c>
      <c r="AR272" s="10">
        <v>0</v>
      </c>
      <c r="AS272" s="10">
        <v>0</v>
      </c>
      <c r="AT272" s="10">
        <v>1</v>
      </c>
      <c r="AU272" s="13">
        <v>1</v>
      </c>
      <c r="AV272" s="13" t="str">
        <f t="shared" si="4"/>
        <v>tircha15</v>
      </c>
      <c r="AW272" s="10">
        <v>1</v>
      </c>
      <c r="AX272" s="10">
        <v>0</v>
      </c>
      <c r="AY272" s="10">
        <v>1</v>
      </c>
      <c r="AZ272" s="13"/>
    </row>
    <row r="273" spans="1:52" s="14" customFormat="1" x14ac:dyDescent="0.25">
      <c r="A273" s="10" t="s">
        <v>517</v>
      </c>
      <c r="B273" s="10">
        <v>1</v>
      </c>
      <c r="C273" s="10" t="s">
        <v>326</v>
      </c>
      <c r="D273" s="10">
        <v>153</v>
      </c>
      <c r="E273" s="10" t="s">
        <v>1178</v>
      </c>
      <c r="F273" s="13">
        <v>301</v>
      </c>
      <c r="G273" s="13">
        <v>300</v>
      </c>
      <c r="H273" s="10">
        <v>101</v>
      </c>
      <c r="I273" s="10" t="s">
        <v>1036</v>
      </c>
      <c r="J273" s="13">
        <v>-1</v>
      </c>
      <c r="K273" s="13">
        <v>-1</v>
      </c>
      <c r="L273" s="13" t="s">
        <v>56</v>
      </c>
      <c r="M273" s="12">
        <v>0</v>
      </c>
      <c r="N273" s="12">
        <v>1</v>
      </c>
      <c r="O273" s="12">
        <v>1</v>
      </c>
      <c r="P273" s="12">
        <v>1</v>
      </c>
      <c r="Q273" s="10">
        <v>1</v>
      </c>
      <c r="R273" s="10">
        <v>0</v>
      </c>
      <c r="S273" s="10">
        <v>0</v>
      </c>
      <c r="T273" s="10">
        <v>0</v>
      </c>
      <c r="U273" s="10">
        <v>0</v>
      </c>
      <c r="V273" s="13">
        <v>-1</v>
      </c>
      <c r="W273" s="13">
        <v>-1</v>
      </c>
      <c r="X273" s="10">
        <v>0</v>
      </c>
      <c r="Y273" s="10">
        <v>2</v>
      </c>
      <c r="Z273" s="10">
        <v>3679</v>
      </c>
      <c r="AA273" s="10">
        <v>1</v>
      </c>
      <c r="AB273" s="10">
        <v>77</v>
      </c>
      <c r="AC273" s="10">
        <v>0.30000001192092896</v>
      </c>
      <c r="AD273" s="10">
        <v>0.30000001192092896</v>
      </c>
      <c r="AE273" s="10">
        <v>-1</v>
      </c>
      <c r="AF273" s="10">
        <v>-1</v>
      </c>
      <c r="AG273" s="10">
        <v>-1</v>
      </c>
      <c r="AH273" s="10">
        <v>-1</v>
      </c>
      <c r="AI273" s="10">
        <v>-1</v>
      </c>
      <c r="AJ273" s="10">
        <v>-1</v>
      </c>
      <c r="AK273" s="10">
        <v>-1</v>
      </c>
      <c r="AL273" s="10">
        <v>-1</v>
      </c>
      <c r="AM273" s="10">
        <v>-1</v>
      </c>
      <c r="AN273" s="10">
        <v>-1</v>
      </c>
      <c r="AO273" s="10">
        <v>-1</v>
      </c>
      <c r="AP273" s="10">
        <v>-1</v>
      </c>
      <c r="AQ273" s="10">
        <v>1</v>
      </c>
      <c r="AR273" s="10">
        <v>0</v>
      </c>
      <c r="AS273" s="10">
        <v>0</v>
      </c>
      <c r="AT273" s="10">
        <v>1</v>
      </c>
      <c r="AU273" s="13">
        <v>1</v>
      </c>
      <c r="AV273" s="13" t="str">
        <f t="shared" si="4"/>
        <v>tircha16</v>
      </c>
      <c r="AW273" s="10">
        <v>1</v>
      </c>
      <c r="AX273" s="10">
        <v>0</v>
      </c>
      <c r="AY273" s="10">
        <v>1</v>
      </c>
      <c r="AZ273" s="13"/>
    </row>
    <row r="274" spans="1:52" s="14" customFormat="1" x14ac:dyDescent="0.25">
      <c r="A274" s="10" t="s">
        <v>518</v>
      </c>
      <c r="B274" s="10">
        <v>1</v>
      </c>
      <c r="C274" s="10" t="s">
        <v>328</v>
      </c>
      <c r="D274" s="10">
        <v>154</v>
      </c>
      <c r="E274" s="10" t="s">
        <v>1179</v>
      </c>
      <c r="F274" s="13">
        <v>301</v>
      </c>
      <c r="G274" s="13">
        <v>300</v>
      </c>
      <c r="H274" s="10">
        <v>102</v>
      </c>
      <c r="I274" s="10" t="s">
        <v>1036</v>
      </c>
      <c r="J274" s="13">
        <v>-1</v>
      </c>
      <c r="K274" s="13">
        <v>-1</v>
      </c>
      <c r="L274" s="13" t="s">
        <v>56</v>
      </c>
      <c r="M274" s="12">
        <v>0</v>
      </c>
      <c r="N274" s="12">
        <v>1</v>
      </c>
      <c r="O274" s="12">
        <v>1</v>
      </c>
      <c r="P274" s="12">
        <v>1</v>
      </c>
      <c r="Q274" s="10">
        <v>1</v>
      </c>
      <c r="R274" s="10">
        <v>0</v>
      </c>
      <c r="S274" s="10">
        <v>0</v>
      </c>
      <c r="T274" s="10">
        <v>0</v>
      </c>
      <c r="U274" s="10">
        <v>0</v>
      </c>
      <c r="V274" s="13">
        <v>-1</v>
      </c>
      <c r="W274" s="13">
        <v>-1</v>
      </c>
      <c r="X274" s="10">
        <v>0</v>
      </c>
      <c r="Y274" s="10">
        <v>2</v>
      </c>
      <c r="Z274" s="10">
        <v>3680</v>
      </c>
      <c r="AA274" s="10">
        <v>1</v>
      </c>
      <c r="AB274" s="10">
        <v>12</v>
      </c>
      <c r="AC274" s="10">
        <v>0.03</v>
      </c>
      <c r="AD274" s="10">
        <v>0.03</v>
      </c>
      <c r="AE274" s="10">
        <v>-1</v>
      </c>
      <c r="AF274" s="10">
        <v>-1</v>
      </c>
      <c r="AG274" s="10">
        <v>-1</v>
      </c>
      <c r="AH274" s="10">
        <v>-1</v>
      </c>
      <c r="AI274" s="10">
        <v>-1</v>
      </c>
      <c r="AJ274" s="10">
        <v>-1</v>
      </c>
      <c r="AK274" s="10">
        <v>-1</v>
      </c>
      <c r="AL274" s="10">
        <v>-1</v>
      </c>
      <c r="AM274" s="10">
        <v>-1</v>
      </c>
      <c r="AN274" s="10">
        <v>-1</v>
      </c>
      <c r="AO274" s="10">
        <v>-1</v>
      </c>
      <c r="AP274" s="10">
        <v>-1</v>
      </c>
      <c r="AQ274" s="10">
        <v>1</v>
      </c>
      <c r="AR274" s="10">
        <v>0</v>
      </c>
      <c r="AS274" s="10">
        <v>0</v>
      </c>
      <c r="AT274" s="10">
        <v>1</v>
      </c>
      <c r="AU274" s="13">
        <v>1</v>
      </c>
      <c r="AV274" s="13" t="str">
        <f t="shared" si="4"/>
        <v>tircha17</v>
      </c>
      <c r="AW274" s="10">
        <v>1</v>
      </c>
      <c r="AX274" s="10">
        <v>0</v>
      </c>
      <c r="AY274" s="10">
        <v>1</v>
      </c>
      <c r="AZ274" s="13"/>
    </row>
    <row r="275" spans="1:52" s="14" customFormat="1" x14ac:dyDescent="0.25">
      <c r="A275" s="10" t="s">
        <v>519</v>
      </c>
      <c r="B275" s="10">
        <v>1</v>
      </c>
      <c r="C275" s="10" t="s">
        <v>330</v>
      </c>
      <c r="D275" s="10">
        <v>155</v>
      </c>
      <c r="E275" s="10" t="s">
        <v>1180</v>
      </c>
      <c r="F275" s="13">
        <v>301</v>
      </c>
      <c r="G275" s="13">
        <v>300</v>
      </c>
      <c r="H275" s="10">
        <v>103</v>
      </c>
      <c r="I275" s="10" t="s">
        <v>1037</v>
      </c>
      <c r="J275" s="13">
        <v>-1</v>
      </c>
      <c r="K275" s="13">
        <v>-1</v>
      </c>
      <c r="L275" s="13" t="s">
        <v>56</v>
      </c>
      <c r="M275" s="12">
        <v>0</v>
      </c>
      <c r="N275" s="12">
        <v>1</v>
      </c>
      <c r="O275" s="12">
        <v>1</v>
      </c>
      <c r="P275" s="12">
        <v>1</v>
      </c>
      <c r="Q275" s="10">
        <v>1</v>
      </c>
      <c r="R275" s="10">
        <v>0</v>
      </c>
      <c r="S275" s="10">
        <v>0</v>
      </c>
      <c r="T275" s="10">
        <v>0</v>
      </c>
      <c r="U275" s="10">
        <v>0</v>
      </c>
      <c r="V275" s="13">
        <v>-1</v>
      </c>
      <c r="W275" s="13">
        <v>-1</v>
      </c>
      <c r="X275" s="10">
        <v>0</v>
      </c>
      <c r="Y275" s="10">
        <v>2</v>
      </c>
      <c r="Z275" s="10">
        <v>3681</v>
      </c>
      <c r="AA275" s="10">
        <v>1</v>
      </c>
      <c r="AB275" s="10">
        <v>33</v>
      </c>
      <c r="AC275" s="10">
        <v>0.10000000149011612</v>
      </c>
      <c r="AD275" s="10">
        <v>0.10000000149011612</v>
      </c>
      <c r="AE275" s="10">
        <v>-1</v>
      </c>
      <c r="AF275" s="10">
        <v>-1</v>
      </c>
      <c r="AG275" s="10">
        <v>-1</v>
      </c>
      <c r="AH275" s="10">
        <v>-1</v>
      </c>
      <c r="AI275" s="10">
        <v>-1</v>
      </c>
      <c r="AJ275" s="10">
        <v>-1</v>
      </c>
      <c r="AK275" s="10">
        <v>-1</v>
      </c>
      <c r="AL275" s="10">
        <v>-1</v>
      </c>
      <c r="AM275" s="10">
        <v>-1</v>
      </c>
      <c r="AN275" s="10">
        <v>-1</v>
      </c>
      <c r="AO275" s="10">
        <v>-1</v>
      </c>
      <c r="AP275" s="10">
        <v>-1</v>
      </c>
      <c r="AQ275" s="10">
        <v>1</v>
      </c>
      <c r="AR275" s="10">
        <v>0</v>
      </c>
      <c r="AS275" s="10">
        <v>0</v>
      </c>
      <c r="AT275" s="10">
        <v>1</v>
      </c>
      <c r="AU275" s="13">
        <v>1</v>
      </c>
      <c r="AV275" s="13" t="str">
        <f t="shared" si="4"/>
        <v>tircha18</v>
      </c>
      <c r="AW275" s="10">
        <v>1</v>
      </c>
      <c r="AX275" s="10">
        <v>0</v>
      </c>
      <c r="AY275" s="10">
        <v>1</v>
      </c>
      <c r="AZ275" s="13"/>
    </row>
    <row r="276" spans="1:52" s="14" customFormat="1" x14ac:dyDescent="0.25">
      <c r="A276" s="10" t="s">
        <v>520</v>
      </c>
      <c r="B276" s="10">
        <v>1</v>
      </c>
      <c r="C276" s="10" t="s">
        <v>332</v>
      </c>
      <c r="D276" s="10">
        <v>156</v>
      </c>
      <c r="E276" s="10" t="s">
        <v>1181</v>
      </c>
      <c r="F276" s="13">
        <v>301</v>
      </c>
      <c r="G276" s="13">
        <v>300</v>
      </c>
      <c r="H276" s="10">
        <v>104</v>
      </c>
      <c r="I276" s="10" t="s">
        <v>1036</v>
      </c>
      <c r="J276" s="13">
        <v>-1</v>
      </c>
      <c r="K276" s="13">
        <v>-1</v>
      </c>
      <c r="L276" s="13" t="s">
        <v>56</v>
      </c>
      <c r="M276" s="12">
        <v>0</v>
      </c>
      <c r="N276" s="12">
        <v>1</v>
      </c>
      <c r="O276" s="12">
        <v>1</v>
      </c>
      <c r="P276" s="12">
        <v>1</v>
      </c>
      <c r="Q276" s="10">
        <v>1</v>
      </c>
      <c r="R276" s="10">
        <v>0</v>
      </c>
      <c r="S276" s="10">
        <v>0</v>
      </c>
      <c r="T276" s="10">
        <v>0</v>
      </c>
      <c r="U276" s="10">
        <v>0</v>
      </c>
      <c r="V276" s="13">
        <v>-1</v>
      </c>
      <c r="W276" s="13">
        <v>-1</v>
      </c>
      <c r="X276" s="10">
        <v>0</v>
      </c>
      <c r="Y276" s="10">
        <v>0</v>
      </c>
      <c r="Z276" s="10">
        <v>3682</v>
      </c>
      <c r="AA276" s="10">
        <v>1</v>
      </c>
      <c r="AB276" s="10">
        <v>18</v>
      </c>
      <c r="AC276" s="10">
        <v>0.05</v>
      </c>
      <c r="AD276" s="10">
        <v>0.05</v>
      </c>
      <c r="AE276" s="10">
        <v>-1</v>
      </c>
      <c r="AF276" s="10">
        <v>-1</v>
      </c>
      <c r="AG276" s="10">
        <v>-1</v>
      </c>
      <c r="AH276" s="10">
        <v>-1</v>
      </c>
      <c r="AI276" s="10">
        <v>-1</v>
      </c>
      <c r="AJ276" s="10">
        <v>-1</v>
      </c>
      <c r="AK276" s="10">
        <v>-1</v>
      </c>
      <c r="AL276" s="10">
        <v>-1</v>
      </c>
      <c r="AM276" s="10">
        <v>-1</v>
      </c>
      <c r="AN276" s="10">
        <v>-1</v>
      </c>
      <c r="AO276" s="10">
        <v>-1</v>
      </c>
      <c r="AP276" s="10">
        <v>-1</v>
      </c>
      <c r="AQ276" s="10">
        <v>1</v>
      </c>
      <c r="AR276" s="10">
        <v>0</v>
      </c>
      <c r="AS276" s="10">
        <v>0</v>
      </c>
      <c r="AT276" s="10">
        <v>1</v>
      </c>
      <c r="AU276" s="13">
        <v>1</v>
      </c>
      <c r="AV276" s="13" t="str">
        <f t="shared" si="4"/>
        <v>tircha19</v>
      </c>
      <c r="AW276" s="10">
        <v>1</v>
      </c>
      <c r="AX276" s="10">
        <v>0</v>
      </c>
      <c r="AY276" s="10">
        <v>1</v>
      </c>
      <c r="AZ276" s="13"/>
    </row>
    <row r="277" spans="1:52" s="14" customFormat="1" x14ac:dyDescent="0.25">
      <c r="A277" s="10" t="s">
        <v>521</v>
      </c>
      <c r="B277" s="10">
        <v>1</v>
      </c>
      <c r="C277" s="10" t="s">
        <v>334</v>
      </c>
      <c r="D277" s="10">
        <v>157</v>
      </c>
      <c r="E277" s="10" t="s">
        <v>1182</v>
      </c>
      <c r="F277" s="13">
        <v>301</v>
      </c>
      <c r="G277" s="13">
        <v>300</v>
      </c>
      <c r="H277" s="10">
        <v>105</v>
      </c>
      <c r="I277" s="10" t="s">
        <v>1036</v>
      </c>
      <c r="J277" s="13">
        <v>-1</v>
      </c>
      <c r="K277" s="13">
        <v>-1</v>
      </c>
      <c r="L277" s="13" t="s">
        <v>56</v>
      </c>
      <c r="M277" s="12">
        <v>0</v>
      </c>
      <c r="N277" s="12">
        <v>1</v>
      </c>
      <c r="O277" s="12">
        <v>1</v>
      </c>
      <c r="P277" s="12">
        <v>1</v>
      </c>
      <c r="Q277" s="10">
        <v>1</v>
      </c>
      <c r="R277" s="10">
        <v>0</v>
      </c>
      <c r="S277" s="10">
        <v>0</v>
      </c>
      <c r="T277" s="10">
        <v>0</v>
      </c>
      <c r="U277" s="10">
        <v>0</v>
      </c>
      <c r="V277" s="13">
        <v>-1</v>
      </c>
      <c r="W277" s="13">
        <v>-1</v>
      </c>
      <c r="X277" s="10">
        <v>0</v>
      </c>
      <c r="Y277" s="10">
        <v>1</v>
      </c>
      <c r="Z277" s="10">
        <v>3683</v>
      </c>
      <c r="AA277" s="10">
        <v>1</v>
      </c>
      <c r="AB277" s="10">
        <v>24</v>
      </c>
      <c r="AC277" s="10">
        <v>0.05</v>
      </c>
      <c r="AD277" s="10">
        <v>0.05</v>
      </c>
      <c r="AE277" s="10">
        <v>-1</v>
      </c>
      <c r="AF277" s="10">
        <v>-1</v>
      </c>
      <c r="AG277" s="10">
        <v>-1</v>
      </c>
      <c r="AH277" s="10">
        <v>-1</v>
      </c>
      <c r="AI277" s="10">
        <v>-1</v>
      </c>
      <c r="AJ277" s="10">
        <v>-1</v>
      </c>
      <c r="AK277" s="10">
        <v>-1</v>
      </c>
      <c r="AL277" s="10">
        <v>-1</v>
      </c>
      <c r="AM277" s="10">
        <v>-1</v>
      </c>
      <c r="AN277" s="10">
        <v>-1</v>
      </c>
      <c r="AO277" s="10">
        <v>-1</v>
      </c>
      <c r="AP277" s="10">
        <v>-1</v>
      </c>
      <c r="AQ277" s="10">
        <v>1</v>
      </c>
      <c r="AR277" s="10">
        <v>0</v>
      </c>
      <c r="AS277" s="10">
        <v>0</v>
      </c>
      <c r="AT277" s="10">
        <v>1</v>
      </c>
      <c r="AU277" s="13">
        <v>1</v>
      </c>
      <c r="AV277" s="13" t="str">
        <f t="shared" si="4"/>
        <v>tircha20</v>
      </c>
      <c r="AW277" s="10">
        <v>1</v>
      </c>
      <c r="AX277" s="10">
        <v>0</v>
      </c>
      <c r="AY277" s="10">
        <v>1</v>
      </c>
      <c r="AZ277" s="13"/>
    </row>
    <row r="278" spans="1:52" s="14" customFormat="1" x14ac:dyDescent="0.25">
      <c r="A278" s="11" t="s">
        <v>522</v>
      </c>
      <c r="B278" s="10">
        <v>1</v>
      </c>
      <c r="C278" s="10" t="s">
        <v>338</v>
      </c>
      <c r="D278" s="10">
        <v>158</v>
      </c>
      <c r="E278" s="10" t="s">
        <v>1183</v>
      </c>
      <c r="F278" s="13">
        <v>301</v>
      </c>
      <c r="G278" s="13">
        <v>300</v>
      </c>
      <c r="H278" s="10">
        <v>107</v>
      </c>
      <c r="I278" s="10" t="s">
        <v>1036</v>
      </c>
      <c r="J278" s="13">
        <v>-1</v>
      </c>
      <c r="K278" s="13">
        <v>-1</v>
      </c>
      <c r="L278" s="13" t="s">
        <v>56</v>
      </c>
      <c r="M278" s="12">
        <v>0</v>
      </c>
      <c r="N278" s="12">
        <v>1</v>
      </c>
      <c r="O278" s="12">
        <v>1</v>
      </c>
      <c r="P278" s="12">
        <v>1</v>
      </c>
      <c r="Q278" s="10">
        <v>1</v>
      </c>
      <c r="R278" s="10">
        <v>0</v>
      </c>
      <c r="S278" s="10">
        <v>0</v>
      </c>
      <c r="T278" s="10">
        <v>0</v>
      </c>
      <c r="U278" s="10">
        <v>0</v>
      </c>
      <c r="V278" s="13">
        <v>-1</v>
      </c>
      <c r="W278" s="13">
        <v>-1</v>
      </c>
      <c r="X278" s="10">
        <v>0</v>
      </c>
      <c r="Y278" s="10">
        <v>2</v>
      </c>
      <c r="Z278" s="10">
        <v>3685</v>
      </c>
      <c r="AA278" s="10">
        <v>2</v>
      </c>
      <c r="AB278" s="10">
        <v>48</v>
      </c>
      <c r="AC278" s="11">
        <v>7</v>
      </c>
      <c r="AD278" s="11">
        <v>21</v>
      </c>
      <c r="AE278" s="10">
        <v>78</v>
      </c>
      <c r="AF278" s="10">
        <v>10</v>
      </c>
      <c r="AG278" s="10">
        <v>30</v>
      </c>
      <c r="AH278" s="10">
        <v>-1</v>
      </c>
      <c r="AI278" s="10">
        <v>-1</v>
      </c>
      <c r="AJ278" s="10">
        <v>-1</v>
      </c>
      <c r="AK278" s="10">
        <v>-1</v>
      </c>
      <c r="AL278" s="10">
        <v>-1</v>
      </c>
      <c r="AM278" s="10">
        <v>-1</v>
      </c>
      <c r="AN278" s="10">
        <v>-1</v>
      </c>
      <c r="AO278" s="10">
        <v>-1</v>
      </c>
      <c r="AP278" s="10">
        <v>-1</v>
      </c>
      <c r="AQ278" s="10">
        <v>1</v>
      </c>
      <c r="AR278" s="10">
        <v>0</v>
      </c>
      <c r="AS278" s="10">
        <v>0</v>
      </c>
      <c r="AT278" s="10">
        <v>1</v>
      </c>
      <c r="AU278" s="13">
        <v>1</v>
      </c>
      <c r="AV278" s="13" t="str">
        <f t="shared" si="4"/>
        <v>tircha21</v>
      </c>
      <c r="AW278" s="10">
        <v>1</v>
      </c>
      <c r="AX278" s="10">
        <v>0</v>
      </c>
      <c r="AY278" s="10">
        <v>1</v>
      </c>
      <c r="AZ278" s="13"/>
    </row>
    <row r="279" spans="1:52" s="14" customFormat="1" x14ac:dyDescent="0.25">
      <c r="A279" s="10" t="s">
        <v>523</v>
      </c>
      <c r="B279" s="10">
        <v>1</v>
      </c>
      <c r="C279" s="10" t="s">
        <v>340</v>
      </c>
      <c r="D279" s="10">
        <v>159</v>
      </c>
      <c r="E279" s="10" t="s">
        <v>1184</v>
      </c>
      <c r="F279" s="13">
        <v>301</v>
      </c>
      <c r="G279" s="13">
        <v>300</v>
      </c>
      <c r="H279" s="10">
        <v>108</v>
      </c>
      <c r="I279" s="10" t="s">
        <v>1038</v>
      </c>
      <c r="J279" s="13">
        <v>-1</v>
      </c>
      <c r="K279" s="13">
        <v>-1</v>
      </c>
      <c r="L279" s="13" t="s">
        <v>56</v>
      </c>
      <c r="M279" s="12">
        <v>0</v>
      </c>
      <c r="N279" s="12">
        <v>1</v>
      </c>
      <c r="O279" s="12">
        <v>1</v>
      </c>
      <c r="P279" s="12">
        <v>1</v>
      </c>
      <c r="Q279" s="10">
        <v>1</v>
      </c>
      <c r="R279" s="10">
        <v>0</v>
      </c>
      <c r="S279" s="10">
        <v>0</v>
      </c>
      <c r="T279" s="10">
        <v>0</v>
      </c>
      <c r="U279" s="10">
        <v>0</v>
      </c>
      <c r="V279" s="13">
        <v>-1</v>
      </c>
      <c r="W279" s="13">
        <v>-1</v>
      </c>
      <c r="X279" s="10">
        <v>0</v>
      </c>
      <c r="Y279" s="10">
        <v>2</v>
      </c>
      <c r="Z279" s="10">
        <v>3686</v>
      </c>
      <c r="AA279" s="10">
        <v>1</v>
      </c>
      <c r="AB279" s="10">
        <v>29</v>
      </c>
      <c r="AC279" s="10">
        <v>0.10000000149011612</v>
      </c>
      <c r="AD279" s="10">
        <v>0.10000000149011612</v>
      </c>
      <c r="AE279" s="10">
        <v>-1</v>
      </c>
      <c r="AF279" s="10">
        <v>-1</v>
      </c>
      <c r="AG279" s="10">
        <v>-1</v>
      </c>
      <c r="AH279" s="10">
        <v>-1</v>
      </c>
      <c r="AI279" s="10">
        <v>-1</v>
      </c>
      <c r="AJ279" s="10">
        <v>-1</v>
      </c>
      <c r="AK279" s="10">
        <v>-1</v>
      </c>
      <c r="AL279" s="10">
        <v>-1</v>
      </c>
      <c r="AM279" s="10">
        <v>-1</v>
      </c>
      <c r="AN279" s="10">
        <v>-1</v>
      </c>
      <c r="AO279" s="10">
        <v>-1</v>
      </c>
      <c r="AP279" s="10">
        <v>-1</v>
      </c>
      <c r="AQ279" s="10">
        <v>1</v>
      </c>
      <c r="AR279" s="10">
        <v>0</v>
      </c>
      <c r="AS279" s="10">
        <v>0</v>
      </c>
      <c r="AT279" s="10">
        <v>1</v>
      </c>
      <c r="AU279" s="13">
        <v>1</v>
      </c>
      <c r="AV279" s="13" t="str">
        <f t="shared" si="4"/>
        <v>tircha22</v>
      </c>
      <c r="AW279" s="10">
        <v>1</v>
      </c>
      <c r="AX279" s="10">
        <v>0</v>
      </c>
      <c r="AY279" s="10">
        <v>1</v>
      </c>
      <c r="AZ279" s="13"/>
    </row>
    <row r="280" spans="1:52" s="14" customFormat="1" x14ac:dyDescent="0.25">
      <c r="A280" s="10" t="s">
        <v>524</v>
      </c>
      <c r="B280" s="10">
        <v>1</v>
      </c>
      <c r="C280" s="10" t="s">
        <v>342</v>
      </c>
      <c r="D280" s="10">
        <v>160</v>
      </c>
      <c r="E280" s="10" t="s">
        <v>1185</v>
      </c>
      <c r="F280" s="13">
        <v>301</v>
      </c>
      <c r="G280" s="13">
        <v>300</v>
      </c>
      <c r="H280" s="10">
        <v>109</v>
      </c>
      <c r="I280" s="10" t="s">
        <v>1036</v>
      </c>
      <c r="J280" s="13">
        <v>-1</v>
      </c>
      <c r="K280" s="13">
        <v>-1</v>
      </c>
      <c r="L280" s="13" t="s">
        <v>56</v>
      </c>
      <c r="M280" s="12">
        <v>0</v>
      </c>
      <c r="N280" s="12">
        <v>1</v>
      </c>
      <c r="O280" s="12">
        <v>1</v>
      </c>
      <c r="P280" s="12">
        <v>1</v>
      </c>
      <c r="Q280" s="10">
        <v>1</v>
      </c>
      <c r="R280" s="10">
        <v>0</v>
      </c>
      <c r="S280" s="10">
        <v>0</v>
      </c>
      <c r="T280" s="10">
        <v>0</v>
      </c>
      <c r="U280" s="10">
        <v>0</v>
      </c>
      <c r="V280" s="13">
        <v>-1</v>
      </c>
      <c r="W280" s="13">
        <v>-1</v>
      </c>
      <c r="X280" s="10">
        <v>0</v>
      </c>
      <c r="Y280" s="10">
        <v>2</v>
      </c>
      <c r="Z280" s="10">
        <v>3687</v>
      </c>
      <c r="AA280" s="10">
        <v>1</v>
      </c>
      <c r="AB280" s="10">
        <v>28</v>
      </c>
      <c r="AC280" s="10">
        <v>25</v>
      </c>
      <c r="AD280" s="10">
        <v>25</v>
      </c>
      <c r="AE280" s="10">
        <v>-1</v>
      </c>
      <c r="AF280" s="10">
        <v>-1</v>
      </c>
      <c r="AG280" s="10">
        <v>-1</v>
      </c>
      <c r="AH280" s="10">
        <v>-1</v>
      </c>
      <c r="AI280" s="10">
        <v>-1</v>
      </c>
      <c r="AJ280" s="10">
        <v>-1</v>
      </c>
      <c r="AK280" s="10">
        <v>-1</v>
      </c>
      <c r="AL280" s="10">
        <v>-1</v>
      </c>
      <c r="AM280" s="10">
        <v>-1</v>
      </c>
      <c r="AN280" s="10">
        <v>-1</v>
      </c>
      <c r="AO280" s="10">
        <v>-1</v>
      </c>
      <c r="AP280" s="10">
        <v>-1</v>
      </c>
      <c r="AQ280" s="10">
        <v>1</v>
      </c>
      <c r="AR280" s="10">
        <v>0</v>
      </c>
      <c r="AS280" s="10">
        <v>0</v>
      </c>
      <c r="AT280" s="10">
        <v>1</v>
      </c>
      <c r="AU280" s="13">
        <v>1</v>
      </c>
      <c r="AV280" s="13" t="str">
        <f t="shared" si="4"/>
        <v>tircha23</v>
      </c>
      <c r="AW280" s="10">
        <v>1</v>
      </c>
      <c r="AX280" s="10">
        <v>0</v>
      </c>
      <c r="AY280" s="10">
        <v>1</v>
      </c>
      <c r="AZ280" s="13"/>
    </row>
    <row r="281" spans="1:52" s="14" customFormat="1" x14ac:dyDescent="0.25">
      <c r="A281" s="10" t="s">
        <v>525</v>
      </c>
      <c r="B281" s="10">
        <v>1</v>
      </c>
      <c r="C281" s="10" t="s">
        <v>344</v>
      </c>
      <c r="D281" s="10">
        <v>161</v>
      </c>
      <c r="E281" s="10" t="s">
        <v>1186</v>
      </c>
      <c r="F281" s="13">
        <v>301</v>
      </c>
      <c r="G281" s="13">
        <v>300</v>
      </c>
      <c r="H281" s="10">
        <v>110</v>
      </c>
      <c r="I281" s="10" t="s">
        <v>1036</v>
      </c>
      <c r="J281" s="13">
        <v>-1</v>
      </c>
      <c r="K281" s="13">
        <v>-1</v>
      </c>
      <c r="L281" s="13" t="s">
        <v>56</v>
      </c>
      <c r="M281" s="12">
        <v>0</v>
      </c>
      <c r="N281" s="12">
        <v>1</v>
      </c>
      <c r="O281" s="12">
        <v>1</v>
      </c>
      <c r="P281" s="12">
        <v>1</v>
      </c>
      <c r="Q281" s="10">
        <v>1</v>
      </c>
      <c r="R281" s="10">
        <v>0</v>
      </c>
      <c r="S281" s="10">
        <v>0</v>
      </c>
      <c r="T281" s="10">
        <v>0</v>
      </c>
      <c r="U281" s="10">
        <v>0</v>
      </c>
      <c r="V281" s="13">
        <v>-1</v>
      </c>
      <c r="W281" s="13">
        <v>-1</v>
      </c>
      <c r="X281" s="10">
        <v>0</v>
      </c>
      <c r="Y281" s="10">
        <v>2</v>
      </c>
      <c r="Z281" s="10">
        <v>3688</v>
      </c>
      <c r="AA281" s="10">
        <v>1</v>
      </c>
      <c r="AB281" s="10">
        <v>28</v>
      </c>
      <c r="AC281" s="10">
        <v>-5</v>
      </c>
      <c r="AD281" s="10">
        <v>-5</v>
      </c>
      <c r="AE281" s="10">
        <v>-1</v>
      </c>
      <c r="AF281" s="10">
        <v>-1</v>
      </c>
      <c r="AG281" s="10">
        <v>-1</v>
      </c>
      <c r="AH281" s="10">
        <v>-1</v>
      </c>
      <c r="AI281" s="10">
        <v>-1</v>
      </c>
      <c r="AJ281" s="10">
        <v>-1</v>
      </c>
      <c r="AK281" s="10">
        <v>-1</v>
      </c>
      <c r="AL281" s="10">
        <v>-1</v>
      </c>
      <c r="AM281" s="10">
        <v>-1</v>
      </c>
      <c r="AN281" s="10">
        <v>-1</v>
      </c>
      <c r="AO281" s="10">
        <v>-1</v>
      </c>
      <c r="AP281" s="10">
        <v>-1</v>
      </c>
      <c r="AQ281" s="10">
        <v>1</v>
      </c>
      <c r="AR281" s="10">
        <v>0</v>
      </c>
      <c r="AS281" s="10">
        <v>0</v>
      </c>
      <c r="AT281" s="10">
        <v>1</v>
      </c>
      <c r="AU281" s="13">
        <v>1</v>
      </c>
      <c r="AV281" s="13" t="str">
        <f t="shared" si="4"/>
        <v>tircha24</v>
      </c>
      <c r="AW281" s="10">
        <v>1</v>
      </c>
      <c r="AX281" s="10">
        <v>0</v>
      </c>
      <c r="AY281" s="10">
        <v>1</v>
      </c>
      <c r="AZ281" s="13"/>
    </row>
    <row r="282" spans="1:52" x14ac:dyDescent="0.25">
      <c r="A282" s="3" t="s">
        <v>526</v>
      </c>
      <c r="B282" s="3">
        <v>1</v>
      </c>
      <c r="C282" s="3" t="s">
        <v>314</v>
      </c>
      <c r="D282" s="3">
        <v>151</v>
      </c>
      <c r="E282" s="3" t="s">
        <v>982</v>
      </c>
      <c r="F282" s="2">
        <v>301</v>
      </c>
      <c r="G282" s="2">
        <v>300</v>
      </c>
      <c r="H282" s="3">
        <v>95</v>
      </c>
      <c r="I282" s="3" t="s">
        <v>1036</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983</v>
      </c>
      <c r="F283" s="2">
        <v>301</v>
      </c>
      <c r="G283" s="2">
        <v>300</v>
      </c>
      <c r="H283" s="3">
        <v>98</v>
      </c>
      <c r="I283" s="3" t="s">
        <v>1036</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984</v>
      </c>
      <c r="F284" s="2">
        <v>301</v>
      </c>
      <c r="G284" s="2">
        <v>300</v>
      </c>
      <c r="H284" s="3">
        <v>101</v>
      </c>
      <c r="I284" s="3" t="s">
        <v>1036</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985</v>
      </c>
      <c r="F285" s="2">
        <v>301</v>
      </c>
      <c r="G285" s="2">
        <v>300</v>
      </c>
      <c r="H285" s="3">
        <v>102</v>
      </c>
      <c r="I285" s="3" t="s">
        <v>1036</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986</v>
      </c>
      <c r="F286" s="2">
        <v>301</v>
      </c>
      <c r="G286" s="2">
        <v>300</v>
      </c>
      <c r="H286" s="3">
        <v>103</v>
      </c>
      <c r="I286" s="3" t="s">
        <v>1037</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987</v>
      </c>
      <c r="F287" s="2">
        <v>301</v>
      </c>
      <c r="G287" s="2">
        <v>300</v>
      </c>
      <c r="H287" s="3">
        <v>104</v>
      </c>
      <c r="I287" s="3" t="s">
        <v>1036</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988</v>
      </c>
      <c r="F288" s="2">
        <v>301</v>
      </c>
      <c r="G288" s="2">
        <v>300</v>
      </c>
      <c r="H288" s="3">
        <v>105</v>
      </c>
      <c r="I288" s="3" t="s">
        <v>1036</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989</v>
      </c>
      <c r="F289" s="2">
        <v>301</v>
      </c>
      <c r="G289" s="2">
        <v>300</v>
      </c>
      <c r="H289" s="3">
        <v>107</v>
      </c>
      <c r="I289" s="3" t="s">
        <v>1036</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990</v>
      </c>
      <c r="F290" s="2">
        <v>301</v>
      </c>
      <c r="G290" s="2">
        <v>300</v>
      </c>
      <c r="H290" s="3">
        <v>108</v>
      </c>
      <c r="I290" s="3" t="s">
        <v>1038</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991</v>
      </c>
      <c r="F291" s="2">
        <v>301</v>
      </c>
      <c r="G291" s="2">
        <v>300</v>
      </c>
      <c r="H291" s="3">
        <v>109</v>
      </c>
      <c r="I291" s="3" t="s">
        <v>1036</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992</v>
      </c>
      <c r="F292" s="2">
        <v>301</v>
      </c>
      <c r="G292" s="2">
        <v>300</v>
      </c>
      <c r="H292" s="3">
        <v>110</v>
      </c>
      <c r="I292" s="3" t="s">
        <v>1036</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993</v>
      </c>
      <c r="F293" s="2">
        <v>301</v>
      </c>
      <c r="G293" s="2">
        <v>300</v>
      </c>
      <c r="H293" s="3">
        <v>95</v>
      </c>
      <c r="I293" s="3" t="s">
        <v>1036</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994</v>
      </c>
      <c r="F294" s="2">
        <v>301</v>
      </c>
      <c r="G294" s="2">
        <v>300</v>
      </c>
      <c r="H294" s="3">
        <v>98</v>
      </c>
      <c r="I294" s="3" t="s">
        <v>1036</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995</v>
      </c>
      <c r="F295" s="2">
        <v>301</v>
      </c>
      <c r="G295" s="2">
        <v>300</v>
      </c>
      <c r="H295" s="3">
        <v>101</v>
      </c>
      <c r="I295" s="3" t="s">
        <v>1036</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996</v>
      </c>
      <c r="F296" s="2">
        <v>301</v>
      </c>
      <c r="G296" s="2">
        <v>300</v>
      </c>
      <c r="H296" s="3">
        <v>102</v>
      </c>
      <c r="I296" s="3" t="s">
        <v>1036</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997</v>
      </c>
      <c r="F297" s="2">
        <v>301</v>
      </c>
      <c r="G297" s="2">
        <v>300</v>
      </c>
      <c r="H297" s="3">
        <v>103</v>
      </c>
      <c r="I297" s="3" t="s">
        <v>1037</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998</v>
      </c>
      <c r="F298" s="2">
        <v>301</v>
      </c>
      <c r="G298" s="2">
        <v>300</v>
      </c>
      <c r="H298" s="3">
        <v>104</v>
      </c>
      <c r="I298" s="3" t="s">
        <v>1036</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999</v>
      </c>
      <c r="F299" s="2">
        <v>301</v>
      </c>
      <c r="G299" s="2">
        <v>300</v>
      </c>
      <c r="H299" s="3">
        <v>105</v>
      </c>
      <c r="I299" s="3" t="s">
        <v>1036</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1000</v>
      </c>
      <c r="F300" s="2">
        <v>301</v>
      </c>
      <c r="G300" s="2">
        <v>300</v>
      </c>
      <c r="H300" s="3">
        <v>107</v>
      </c>
      <c r="I300" s="3" t="s">
        <v>1036</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1001</v>
      </c>
      <c r="F301" s="2">
        <v>301</v>
      </c>
      <c r="G301" s="2">
        <v>300</v>
      </c>
      <c r="H301" s="3">
        <v>108</v>
      </c>
      <c r="I301" s="3" t="s">
        <v>1038</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1002</v>
      </c>
      <c r="F302" s="2">
        <v>301</v>
      </c>
      <c r="G302" s="2">
        <v>300</v>
      </c>
      <c r="H302" s="3">
        <v>109</v>
      </c>
      <c r="I302" s="3" t="s">
        <v>1036</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1003</v>
      </c>
      <c r="F303" s="2">
        <v>301</v>
      </c>
      <c r="G303" s="2">
        <v>300</v>
      </c>
      <c r="H303" s="3">
        <v>110</v>
      </c>
      <c r="I303" s="3" t="s">
        <v>1036</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1004</v>
      </c>
      <c r="F304" s="2">
        <v>301</v>
      </c>
      <c r="G304" s="2">
        <v>300</v>
      </c>
      <c r="H304" s="3">
        <v>73</v>
      </c>
      <c r="I304" s="3" t="s">
        <v>1036</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1005</v>
      </c>
      <c r="F305" s="2">
        <v>301</v>
      </c>
      <c r="G305" s="2">
        <v>300</v>
      </c>
      <c r="H305" s="3">
        <v>74</v>
      </c>
      <c r="I305" s="3" t="s">
        <v>1036</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1004</v>
      </c>
      <c r="F306" s="2">
        <v>301</v>
      </c>
      <c r="G306" s="2">
        <v>300</v>
      </c>
      <c r="H306" s="3">
        <v>73</v>
      </c>
      <c r="I306" s="3" t="s">
        <v>1036</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1005</v>
      </c>
      <c r="F307" s="2">
        <v>301</v>
      </c>
      <c r="G307" s="2">
        <v>300</v>
      </c>
      <c r="H307" s="3">
        <v>74</v>
      </c>
      <c r="I307" s="3" t="s">
        <v>1036</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1006</v>
      </c>
      <c r="F308" s="2">
        <v>301</v>
      </c>
      <c r="G308" s="2">
        <v>300</v>
      </c>
      <c r="H308" s="3">
        <v>73</v>
      </c>
      <c r="I308" s="3" t="s">
        <v>1036</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1007</v>
      </c>
      <c r="F309" s="2">
        <v>301</v>
      </c>
      <c r="G309" s="2">
        <v>300</v>
      </c>
      <c r="H309" s="3">
        <v>74</v>
      </c>
      <c r="I309" s="3" t="s">
        <v>1036</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1006</v>
      </c>
      <c r="F310" s="2">
        <v>301</v>
      </c>
      <c r="G310" s="2">
        <v>300</v>
      </c>
      <c r="H310" s="3">
        <v>73</v>
      </c>
      <c r="I310" s="3" t="s">
        <v>1036</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1007</v>
      </c>
      <c r="F311" s="2">
        <v>301</v>
      </c>
      <c r="G311" s="2">
        <v>300</v>
      </c>
      <c r="H311" s="3">
        <v>74</v>
      </c>
      <c r="I311" s="3" t="s">
        <v>1036</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1010</v>
      </c>
      <c r="F312" s="2">
        <v>301</v>
      </c>
      <c r="G312" s="2">
        <v>300</v>
      </c>
      <c r="H312" s="3">
        <v>86</v>
      </c>
      <c r="I312" s="3" t="s">
        <v>1036</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1011</v>
      </c>
      <c r="F313" s="2">
        <v>301</v>
      </c>
      <c r="G313" s="2">
        <v>300</v>
      </c>
      <c r="H313" s="3">
        <v>95</v>
      </c>
      <c r="I313" s="3" t="s">
        <v>1036</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1013</v>
      </c>
      <c r="F314" s="2">
        <v>301</v>
      </c>
      <c r="G314" s="2">
        <v>300</v>
      </c>
      <c r="H314" s="3">
        <v>98</v>
      </c>
      <c r="I314" s="3" t="s">
        <v>1036</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1015</v>
      </c>
      <c r="F315" s="2">
        <v>301</v>
      </c>
      <c r="G315" s="2">
        <v>300</v>
      </c>
      <c r="H315" s="3">
        <v>101</v>
      </c>
      <c r="I315" s="3" t="s">
        <v>1036</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1016</v>
      </c>
      <c r="F316" s="2">
        <v>301</v>
      </c>
      <c r="G316" s="2">
        <v>300</v>
      </c>
      <c r="H316" s="3">
        <v>102</v>
      </c>
      <c r="I316" s="3" t="s">
        <v>1036</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1017</v>
      </c>
      <c r="F317" s="2">
        <v>301</v>
      </c>
      <c r="G317" s="2">
        <v>300</v>
      </c>
      <c r="H317" s="3">
        <v>21</v>
      </c>
      <c r="I317" s="3" t="s">
        <v>1036</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1019</v>
      </c>
      <c r="F318" s="2">
        <v>301</v>
      </c>
      <c r="G318" s="2">
        <v>300</v>
      </c>
      <c r="H318" s="3">
        <v>26</v>
      </c>
      <c r="I318" s="3" t="s">
        <v>1036</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1021</v>
      </c>
      <c r="F319" s="2">
        <v>301</v>
      </c>
      <c r="G319" s="2">
        <v>300</v>
      </c>
      <c r="H319" s="3">
        <v>21</v>
      </c>
      <c r="I319" s="3" t="s">
        <v>1036</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1023</v>
      </c>
      <c r="F320" s="2">
        <v>301</v>
      </c>
      <c r="G320" s="2">
        <v>300</v>
      </c>
      <c r="H320" s="3">
        <v>26</v>
      </c>
      <c r="I320" s="3" t="s">
        <v>1036</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1025</v>
      </c>
      <c r="F321" s="2">
        <v>301</v>
      </c>
      <c r="G321" s="2">
        <v>300</v>
      </c>
      <c r="H321" s="3">
        <v>21</v>
      </c>
      <c r="I321" s="3" t="s">
        <v>1036</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1027</v>
      </c>
      <c r="F322" s="2">
        <v>301</v>
      </c>
      <c r="G322" s="2">
        <v>300</v>
      </c>
      <c r="H322" s="3">
        <v>26</v>
      </c>
      <c r="I322" s="3" t="s">
        <v>1036</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1143</v>
      </c>
      <c r="F323" s="2">
        <v>301</v>
      </c>
      <c r="G323" s="2">
        <v>300</v>
      </c>
      <c r="H323" s="3">
        <v>50</v>
      </c>
      <c r="I323" s="3" t="s">
        <v>1036</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1030</v>
      </c>
      <c r="F324" s="2">
        <v>301</v>
      </c>
      <c r="G324" s="2">
        <v>300</v>
      </c>
      <c r="H324" s="3">
        <v>50</v>
      </c>
      <c r="I324" s="3" t="s">
        <v>1036</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1032</v>
      </c>
      <c r="F325" s="2">
        <v>301</v>
      </c>
      <c r="G325" s="2">
        <v>300</v>
      </c>
      <c r="H325" s="3">
        <v>50</v>
      </c>
      <c r="I325" s="3" t="s">
        <v>1036</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1039</v>
      </c>
      <c r="B326" s="3">
        <v>1</v>
      </c>
      <c r="C326" s="3" t="s">
        <v>193</v>
      </c>
      <c r="D326" s="3">
        <v>162</v>
      </c>
      <c r="E326" s="3" t="s">
        <v>974</v>
      </c>
      <c r="F326" s="2">
        <v>301</v>
      </c>
      <c r="G326" s="2">
        <v>300</v>
      </c>
      <c r="H326" s="3">
        <v>162</v>
      </c>
      <c r="I326" s="3" t="s">
        <v>1036</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1040</v>
      </c>
      <c r="B327" s="3">
        <v>1</v>
      </c>
      <c r="C327" s="3" t="s">
        <v>195</v>
      </c>
      <c r="D327" s="3">
        <v>163</v>
      </c>
      <c r="E327" s="3" t="s">
        <v>976</v>
      </c>
      <c r="F327" s="2">
        <v>301</v>
      </c>
      <c r="G327" s="2">
        <v>300</v>
      </c>
      <c r="H327" s="3">
        <v>163</v>
      </c>
      <c r="I327" s="3" t="s">
        <v>1036</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1041</v>
      </c>
      <c r="B328" s="3">
        <v>1</v>
      </c>
      <c r="C328" s="3" t="s">
        <v>197</v>
      </c>
      <c r="D328" s="3">
        <v>164</v>
      </c>
      <c r="E328" s="3" t="s">
        <v>978</v>
      </c>
      <c r="F328" s="2">
        <v>301</v>
      </c>
      <c r="G328" s="2">
        <v>300</v>
      </c>
      <c r="H328" s="3">
        <v>164</v>
      </c>
      <c r="I328" s="3" t="s">
        <v>1036</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1042</v>
      </c>
      <c r="B329" s="3">
        <v>1</v>
      </c>
      <c r="C329" s="3" t="s">
        <v>199</v>
      </c>
      <c r="D329" s="3">
        <v>165</v>
      </c>
      <c r="E329" s="3" t="s">
        <v>980</v>
      </c>
      <c r="F329" s="2">
        <v>301</v>
      </c>
      <c r="G329" s="2">
        <v>300</v>
      </c>
      <c r="H329" s="3">
        <v>165</v>
      </c>
      <c r="I329" s="3" t="s">
        <v>1036</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1043</v>
      </c>
      <c r="B330" s="3">
        <v>1</v>
      </c>
      <c r="C330" s="3" t="s">
        <v>193</v>
      </c>
      <c r="D330" s="3">
        <v>223</v>
      </c>
      <c r="E330" s="3" t="s">
        <v>1084</v>
      </c>
      <c r="F330" s="2">
        <v>301</v>
      </c>
      <c r="G330" s="2">
        <v>300</v>
      </c>
      <c r="H330" s="3">
        <v>162</v>
      </c>
      <c r="I330" s="3" t="s">
        <v>1036</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1044</v>
      </c>
      <c r="B331" s="3">
        <v>1</v>
      </c>
      <c r="C331" s="3" t="s">
        <v>195</v>
      </c>
      <c r="D331" s="3">
        <v>224</v>
      </c>
      <c r="E331" s="3" t="s">
        <v>1085</v>
      </c>
      <c r="F331" s="2">
        <v>301</v>
      </c>
      <c r="G331" s="2">
        <v>300</v>
      </c>
      <c r="H331" s="3">
        <v>163</v>
      </c>
      <c r="I331" s="3" t="s">
        <v>1036</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1045</v>
      </c>
      <c r="B332" s="3">
        <v>1</v>
      </c>
      <c r="C332" s="3" t="s">
        <v>197</v>
      </c>
      <c r="D332" s="3">
        <v>225</v>
      </c>
      <c r="E332" s="3" t="s">
        <v>1086</v>
      </c>
      <c r="F332" s="2">
        <v>301</v>
      </c>
      <c r="G332" s="2">
        <v>300</v>
      </c>
      <c r="H332" s="3">
        <v>164</v>
      </c>
      <c r="I332" s="3" t="s">
        <v>1036</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1046</v>
      </c>
      <c r="B333" s="3">
        <v>1</v>
      </c>
      <c r="C333" s="3" t="s">
        <v>199</v>
      </c>
      <c r="D333" s="3">
        <v>226</v>
      </c>
      <c r="E333" s="3" t="s">
        <v>1087</v>
      </c>
      <c r="F333" s="2">
        <v>301</v>
      </c>
      <c r="G333" s="2">
        <v>300</v>
      </c>
      <c r="H333" s="3">
        <v>165</v>
      </c>
      <c r="I333" s="3" t="s">
        <v>1036</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1047</v>
      </c>
      <c r="B334" s="3">
        <v>0</v>
      </c>
      <c r="C334" s="3" t="s">
        <v>211</v>
      </c>
      <c r="D334" s="3">
        <v>228</v>
      </c>
      <c r="E334" s="3" t="s">
        <v>1088</v>
      </c>
      <c r="F334" s="2">
        <v>301</v>
      </c>
      <c r="G334" s="2">
        <v>300</v>
      </c>
      <c r="H334" s="3">
        <v>74</v>
      </c>
      <c r="I334" s="3" t="s">
        <v>1036</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1048</v>
      </c>
      <c r="B335" s="3">
        <v>0</v>
      </c>
      <c r="C335" s="3" t="s">
        <v>211</v>
      </c>
      <c r="D335" s="3">
        <v>229</v>
      </c>
      <c r="E335" s="3" t="s">
        <v>1089</v>
      </c>
      <c r="F335" s="2">
        <v>301</v>
      </c>
      <c r="G335" s="2">
        <v>300</v>
      </c>
      <c r="H335" s="3">
        <v>74</v>
      </c>
      <c r="I335" s="3" t="s">
        <v>1036</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1049</v>
      </c>
      <c r="B336" s="3">
        <v>0</v>
      </c>
      <c r="C336" s="3" t="s">
        <v>211</v>
      </c>
      <c r="D336" s="3">
        <v>230</v>
      </c>
      <c r="E336" s="3" t="s">
        <v>1090</v>
      </c>
      <c r="F336" s="2">
        <v>301</v>
      </c>
      <c r="G336" s="2">
        <v>300</v>
      </c>
      <c r="H336" s="3">
        <v>74</v>
      </c>
      <c r="I336" s="3" t="s">
        <v>1036</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1050</v>
      </c>
      <c r="B337" s="3">
        <v>0</v>
      </c>
      <c r="C337" s="3" t="s">
        <v>211</v>
      </c>
      <c r="D337" s="3">
        <v>231</v>
      </c>
      <c r="E337" s="3" t="s">
        <v>1091</v>
      </c>
      <c r="F337" s="2">
        <v>301</v>
      </c>
      <c r="G337" s="2">
        <v>300</v>
      </c>
      <c r="H337" s="3">
        <v>74</v>
      </c>
      <c r="I337" s="3" t="s">
        <v>1036</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1051</v>
      </c>
      <c r="B338" s="3">
        <v>1</v>
      </c>
      <c r="C338" s="3" t="s">
        <v>342</v>
      </c>
      <c r="D338" s="3">
        <v>176</v>
      </c>
      <c r="E338" s="3" t="s">
        <v>1092</v>
      </c>
      <c r="F338" s="2">
        <v>301</v>
      </c>
      <c r="G338" s="2">
        <v>300</v>
      </c>
      <c r="H338" s="3">
        <v>108</v>
      </c>
      <c r="I338" s="3" t="s">
        <v>1036</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1052</v>
      </c>
      <c r="B339" s="3">
        <v>0</v>
      </c>
      <c r="C339" s="3" t="s">
        <v>211</v>
      </c>
      <c r="D339" s="3">
        <v>232</v>
      </c>
      <c r="E339" s="3" t="s">
        <v>1093</v>
      </c>
      <c r="F339" s="2">
        <v>301</v>
      </c>
      <c r="G339" s="2">
        <v>300</v>
      </c>
      <c r="H339" s="3">
        <v>75</v>
      </c>
      <c r="I339" s="3" t="s">
        <v>1036</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1053</v>
      </c>
      <c r="B340" s="3">
        <v>0</v>
      </c>
      <c r="C340" s="3" t="s">
        <v>211</v>
      </c>
      <c r="D340" s="3">
        <v>233</v>
      </c>
      <c r="E340" s="3" t="s">
        <v>1094</v>
      </c>
      <c r="F340" s="2">
        <v>301</v>
      </c>
      <c r="G340" s="2">
        <v>300</v>
      </c>
      <c r="H340" s="3">
        <v>75</v>
      </c>
      <c r="I340" s="3" t="s">
        <v>1036</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1054</v>
      </c>
      <c r="B341" s="3">
        <v>0</v>
      </c>
      <c r="C341" s="3" t="s">
        <v>211</v>
      </c>
      <c r="D341" s="3">
        <v>234</v>
      </c>
      <c r="E341" s="3" t="s">
        <v>1095</v>
      </c>
      <c r="F341" s="2">
        <v>301</v>
      </c>
      <c r="G341" s="2">
        <v>300</v>
      </c>
      <c r="H341" s="3">
        <v>75</v>
      </c>
      <c r="I341" s="3" t="s">
        <v>1036</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1055</v>
      </c>
      <c r="B342" s="3">
        <v>0</v>
      </c>
      <c r="C342" s="3" t="s">
        <v>211</v>
      </c>
      <c r="D342" s="3">
        <v>235</v>
      </c>
      <c r="E342" s="3" t="s">
        <v>1096</v>
      </c>
      <c r="F342" s="2">
        <v>301</v>
      </c>
      <c r="G342" s="2">
        <v>300</v>
      </c>
      <c r="H342" s="3">
        <v>75</v>
      </c>
      <c r="I342" s="3" t="s">
        <v>1036</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1056</v>
      </c>
      <c r="B343" s="3">
        <v>1</v>
      </c>
      <c r="C343" s="3" t="s">
        <v>55</v>
      </c>
      <c r="D343" s="3">
        <v>236</v>
      </c>
      <c r="E343" s="3" t="s">
        <v>1097</v>
      </c>
      <c r="F343" s="2">
        <v>301</v>
      </c>
      <c r="G343" s="2">
        <v>300</v>
      </c>
      <c r="H343" s="3">
        <v>1</v>
      </c>
      <c r="I343" s="3" t="s">
        <v>1036</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1057</v>
      </c>
      <c r="B344" s="3">
        <v>0</v>
      </c>
      <c r="C344" s="3" t="s">
        <v>211</v>
      </c>
      <c r="D344" s="3">
        <v>237</v>
      </c>
      <c r="E344" s="3" t="s">
        <v>1098</v>
      </c>
      <c r="F344" s="2">
        <v>301</v>
      </c>
      <c r="G344" s="2">
        <v>300</v>
      </c>
      <c r="H344" s="3">
        <v>75</v>
      </c>
      <c r="I344" s="3" t="s">
        <v>1036</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1058</v>
      </c>
      <c r="B345" s="3">
        <v>0</v>
      </c>
      <c r="C345" s="3" t="s">
        <v>211</v>
      </c>
      <c r="D345" s="3">
        <v>238</v>
      </c>
      <c r="E345" s="3" t="s">
        <v>1099</v>
      </c>
      <c r="F345" s="2">
        <v>301</v>
      </c>
      <c r="G345" s="2">
        <v>300</v>
      </c>
      <c r="H345" s="3">
        <v>75</v>
      </c>
      <c r="I345" s="3" t="s">
        <v>1036</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1059</v>
      </c>
      <c r="B346" s="3">
        <v>1</v>
      </c>
      <c r="C346" s="3" t="s">
        <v>193</v>
      </c>
      <c r="D346" s="3">
        <v>223</v>
      </c>
      <c r="E346" s="3" t="s">
        <v>1084</v>
      </c>
      <c r="F346" s="2">
        <v>301</v>
      </c>
      <c r="G346" s="2">
        <v>300</v>
      </c>
      <c r="H346" s="3">
        <v>162</v>
      </c>
      <c r="I346" s="3" t="s">
        <v>1036</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1060</v>
      </c>
      <c r="B347" s="3">
        <v>1</v>
      </c>
      <c r="C347" s="3" t="s">
        <v>195</v>
      </c>
      <c r="D347" s="3">
        <v>224</v>
      </c>
      <c r="E347" s="3" t="s">
        <v>1085</v>
      </c>
      <c r="F347" s="2">
        <v>301</v>
      </c>
      <c r="G347" s="2">
        <v>300</v>
      </c>
      <c r="H347" s="3">
        <v>163</v>
      </c>
      <c r="I347" s="3" t="s">
        <v>1036</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1061</v>
      </c>
      <c r="B348" s="3">
        <v>1</v>
      </c>
      <c r="C348" s="3" t="s">
        <v>197</v>
      </c>
      <c r="D348" s="3">
        <v>225</v>
      </c>
      <c r="E348" s="3" t="s">
        <v>1086</v>
      </c>
      <c r="F348" s="2">
        <v>301</v>
      </c>
      <c r="G348" s="2">
        <v>300</v>
      </c>
      <c r="H348" s="3">
        <v>164</v>
      </c>
      <c r="I348" s="3" t="s">
        <v>1036</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1062</v>
      </c>
      <c r="B349" s="3">
        <v>1</v>
      </c>
      <c r="C349" s="3" t="s">
        <v>199</v>
      </c>
      <c r="D349" s="3">
        <v>226</v>
      </c>
      <c r="E349" s="3" t="s">
        <v>1087</v>
      </c>
      <c r="F349" s="2">
        <v>301</v>
      </c>
      <c r="G349" s="2">
        <v>300</v>
      </c>
      <c r="H349" s="3">
        <v>165</v>
      </c>
      <c r="I349" s="3" t="s">
        <v>1036</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1063</v>
      </c>
      <c r="B350" s="3">
        <v>1</v>
      </c>
      <c r="C350" s="3" t="s">
        <v>193</v>
      </c>
      <c r="D350" s="3">
        <v>239</v>
      </c>
      <c r="E350" s="3" t="s">
        <v>1100</v>
      </c>
      <c r="F350" s="2">
        <v>301</v>
      </c>
      <c r="G350" s="2">
        <v>300</v>
      </c>
      <c r="H350" s="3">
        <v>162</v>
      </c>
      <c r="I350" s="3" t="s">
        <v>1036</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1064</v>
      </c>
      <c r="B351" s="3">
        <v>1</v>
      </c>
      <c r="C351" s="3" t="s">
        <v>195</v>
      </c>
      <c r="D351" s="3">
        <v>240</v>
      </c>
      <c r="E351" s="3" t="s">
        <v>1101</v>
      </c>
      <c r="F351" s="2">
        <v>301</v>
      </c>
      <c r="G351" s="2">
        <v>300</v>
      </c>
      <c r="H351" s="3">
        <v>163</v>
      </c>
      <c r="I351" s="3" t="s">
        <v>1036</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1065</v>
      </c>
      <c r="B352" s="3">
        <v>1</v>
      </c>
      <c r="C352" s="3" t="s">
        <v>197</v>
      </c>
      <c r="D352" s="3">
        <v>241</v>
      </c>
      <c r="E352" s="3" t="s">
        <v>1102</v>
      </c>
      <c r="F352" s="2">
        <v>301</v>
      </c>
      <c r="G352" s="2">
        <v>300</v>
      </c>
      <c r="H352" s="3">
        <v>164</v>
      </c>
      <c r="I352" s="3" t="s">
        <v>1036</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1066</v>
      </c>
      <c r="B353" s="3">
        <v>1</v>
      </c>
      <c r="C353" s="3" t="s">
        <v>199</v>
      </c>
      <c r="D353" s="3">
        <v>242</v>
      </c>
      <c r="E353" s="3" t="s">
        <v>1103</v>
      </c>
      <c r="F353" s="2">
        <v>301</v>
      </c>
      <c r="G353" s="2">
        <v>300</v>
      </c>
      <c r="H353" s="3">
        <v>165</v>
      </c>
      <c r="I353" s="3" t="s">
        <v>1036</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1067</v>
      </c>
      <c r="B354" s="3">
        <v>1</v>
      </c>
      <c r="C354" s="3" t="s">
        <v>193</v>
      </c>
      <c r="D354" s="3">
        <v>239</v>
      </c>
      <c r="E354" s="3" t="s">
        <v>1100</v>
      </c>
      <c r="F354" s="2">
        <v>301</v>
      </c>
      <c r="G354" s="2">
        <v>300</v>
      </c>
      <c r="H354" s="3">
        <v>162</v>
      </c>
      <c r="I354" s="3" t="s">
        <v>1036</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1068</v>
      </c>
      <c r="B355" s="3">
        <v>1</v>
      </c>
      <c r="C355" s="3" t="s">
        <v>195</v>
      </c>
      <c r="D355" s="3">
        <v>240</v>
      </c>
      <c r="E355" s="3" t="s">
        <v>1101</v>
      </c>
      <c r="F355" s="2">
        <v>301</v>
      </c>
      <c r="G355" s="2">
        <v>300</v>
      </c>
      <c r="H355" s="3">
        <v>163</v>
      </c>
      <c r="I355" s="3" t="s">
        <v>1036</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1069</v>
      </c>
      <c r="B356" s="3">
        <v>1</v>
      </c>
      <c r="C356" s="3" t="s">
        <v>197</v>
      </c>
      <c r="D356" s="3">
        <v>241</v>
      </c>
      <c r="E356" s="3" t="s">
        <v>1102</v>
      </c>
      <c r="F356" s="2">
        <v>301</v>
      </c>
      <c r="G356" s="2">
        <v>300</v>
      </c>
      <c r="H356" s="3">
        <v>164</v>
      </c>
      <c r="I356" s="3" t="s">
        <v>1036</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1070</v>
      </c>
      <c r="B357" s="3">
        <v>1</v>
      </c>
      <c r="C357" s="3" t="s">
        <v>199</v>
      </c>
      <c r="D357" s="3">
        <v>242</v>
      </c>
      <c r="E357" s="3" t="s">
        <v>1103</v>
      </c>
      <c r="F357" s="2">
        <v>301</v>
      </c>
      <c r="G357" s="2">
        <v>300</v>
      </c>
      <c r="H357" s="3">
        <v>165</v>
      </c>
      <c r="I357" s="3" t="s">
        <v>1036</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1071</v>
      </c>
      <c r="B358" s="3">
        <v>1</v>
      </c>
      <c r="C358" s="3" t="s">
        <v>193</v>
      </c>
      <c r="D358" s="3">
        <v>243</v>
      </c>
      <c r="E358" s="3" t="s">
        <v>1104</v>
      </c>
      <c r="F358" s="2">
        <v>301</v>
      </c>
      <c r="G358" s="2">
        <v>300</v>
      </c>
      <c r="H358" s="3">
        <v>162</v>
      </c>
      <c r="I358" s="3" t="s">
        <v>1036</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1072</v>
      </c>
      <c r="B359" s="3">
        <v>1</v>
      </c>
      <c r="C359" s="3" t="s">
        <v>195</v>
      </c>
      <c r="D359" s="3">
        <v>244</v>
      </c>
      <c r="E359" s="3" t="s">
        <v>1105</v>
      </c>
      <c r="F359" s="2">
        <v>301</v>
      </c>
      <c r="G359" s="2">
        <v>300</v>
      </c>
      <c r="H359" s="3">
        <v>163</v>
      </c>
      <c r="I359" s="3" t="s">
        <v>1036</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1073</v>
      </c>
      <c r="B360" s="3">
        <v>1</v>
      </c>
      <c r="C360" s="3" t="s">
        <v>197</v>
      </c>
      <c r="D360" s="3">
        <v>245</v>
      </c>
      <c r="E360" s="3" t="s">
        <v>1106</v>
      </c>
      <c r="F360" s="2">
        <v>301</v>
      </c>
      <c r="G360" s="2">
        <v>300</v>
      </c>
      <c r="H360" s="3">
        <v>164</v>
      </c>
      <c r="I360" s="3" t="s">
        <v>1036</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1074</v>
      </c>
      <c r="B361" s="3">
        <v>1</v>
      </c>
      <c r="C361" s="3" t="s">
        <v>199</v>
      </c>
      <c r="D361" s="3">
        <v>246</v>
      </c>
      <c r="E361" s="3" t="s">
        <v>1107</v>
      </c>
      <c r="F361" s="2">
        <v>301</v>
      </c>
      <c r="G361" s="2">
        <v>300</v>
      </c>
      <c r="H361" s="3">
        <v>165</v>
      </c>
      <c r="I361" s="3" t="s">
        <v>1036</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1075</v>
      </c>
      <c r="B362" s="3">
        <v>1</v>
      </c>
      <c r="C362" s="3" t="s">
        <v>432</v>
      </c>
      <c r="D362" s="3">
        <v>131</v>
      </c>
      <c r="E362" s="3" t="s">
        <v>1108</v>
      </c>
      <c r="F362" s="2">
        <v>301</v>
      </c>
      <c r="G362" s="2">
        <v>300</v>
      </c>
      <c r="H362" s="3">
        <v>166</v>
      </c>
      <c r="I362" s="3" t="s">
        <v>1036</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1076</v>
      </c>
      <c r="B363" s="3">
        <v>1</v>
      </c>
      <c r="C363" s="3" t="s">
        <v>430</v>
      </c>
      <c r="D363" s="3">
        <v>130</v>
      </c>
      <c r="E363" s="3" t="s">
        <v>1109</v>
      </c>
      <c r="F363" s="2">
        <v>301</v>
      </c>
      <c r="G363" s="2">
        <v>300</v>
      </c>
      <c r="H363" s="3">
        <v>167</v>
      </c>
      <c r="I363" s="3" t="s">
        <v>1036</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1039</v>
      </c>
      <c r="B41" t="s">
        <v>1141</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1040</v>
      </c>
      <c r="B42" t="s">
        <v>1141</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1041</v>
      </c>
      <c r="B43" t="s">
        <v>1141</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1042</v>
      </c>
      <c r="B44" t="s">
        <v>1141</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1043</v>
      </c>
      <c r="B45" t="s">
        <v>1141</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1044</v>
      </c>
      <c r="B46" t="s">
        <v>1141</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1045</v>
      </c>
      <c r="B47" t="s">
        <v>1141</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1046</v>
      </c>
      <c r="B48" t="s">
        <v>1141</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1059</v>
      </c>
      <c r="B49" t="s">
        <v>1141</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1060</v>
      </c>
      <c r="B50" t="s">
        <v>1141</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1061</v>
      </c>
      <c r="B51" t="s">
        <v>1141</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1062</v>
      </c>
      <c r="B52" t="s">
        <v>1141</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1063</v>
      </c>
      <c r="B53" t="s">
        <v>1141</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1064</v>
      </c>
      <c r="B54" t="s">
        <v>1141</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1065</v>
      </c>
      <c r="B55" t="s">
        <v>1141</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1066</v>
      </c>
      <c r="B56" t="s">
        <v>1141</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1067</v>
      </c>
      <c r="B57" t="s">
        <v>1141</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1068</v>
      </c>
      <c r="B58" t="s">
        <v>1141</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1069</v>
      </c>
      <c r="B59" t="s">
        <v>1141</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1070</v>
      </c>
      <c r="B60" t="s">
        <v>1141</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1071</v>
      </c>
      <c r="B61" t="s">
        <v>1141</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1072</v>
      </c>
      <c r="B62" t="s">
        <v>1141</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1073</v>
      </c>
      <c r="B63" t="s">
        <v>1141</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1074</v>
      </c>
      <c r="B64" t="s">
        <v>1141</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6</v>
      </c>
      <c r="H67" s="4">
        <v>0</v>
      </c>
      <c r="I67">
        <f>ResourceItem!N67</f>
        <v>1819</v>
      </c>
      <c r="J67">
        <f>ResourceItem!Q67</f>
        <v>1819</v>
      </c>
      <c r="K67">
        <f>ResourceItem!R67</f>
        <v>1819</v>
      </c>
      <c r="L67">
        <f>ResourceItem!T67</f>
        <v>1819</v>
      </c>
      <c r="M67">
        <f>ResourceItem!S67</f>
        <v>1819</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6</v>
      </c>
      <c r="H68" s="4">
        <v>0</v>
      </c>
      <c r="I68">
        <f>ResourceItem!N68</f>
        <v>1819</v>
      </c>
      <c r="J68">
        <f>ResourceItem!Q68</f>
        <v>1819</v>
      </c>
      <c r="K68">
        <f>ResourceItem!R68</f>
        <v>1819</v>
      </c>
      <c r="L68">
        <f>ResourceItem!T68</f>
        <v>1819</v>
      </c>
      <c r="M68">
        <f>ResourceItem!S68</f>
        <v>1819</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6</v>
      </c>
      <c r="H69" s="4">
        <v>0</v>
      </c>
      <c r="I69">
        <f>ResourceItem!N69</f>
        <v>1819</v>
      </c>
      <c r="J69">
        <f>ResourceItem!Q69</f>
        <v>1819</v>
      </c>
      <c r="K69">
        <f>ResourceItem!R69</f>
        <v>1819</v>
      </c>
      <c r="L69">
        <f>ResourceItem!T69</f>
        <v>1819</v>
      </c>
      <c r="M69">
        <f>ResourceItem!S69</f>
        <v>1819</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6</v>
      </c>
      <c r="H70" s="4">
        <v>0</v>
      </c>
      <c r="I70">
        <f>ResourceItem!N70</f>
        <v>1819</v>
      </c>
      <c r="J70">
        <f>ResourceItem!Q70</f>
        <v>1819</v>
      </c>
      <c r="K70">
        <f>ResourceItem!R70</f>
        <v>1819</v>
      </c>
      <c r="L70">
        <f>ResourceItem!T70</f>
        <v>1819</v>
      </c>
      <c r="M70">
        <f>ResourceItem!S70</f>
        <v>1819</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1</v>
      </c>
      <c r="R98">
        <f>ResourceItem!AT98</f>
        <v>0</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Nexus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18</v>
      </c>
      <c r="Z196" s="4">
        <v>0</v>
      </c>
      <c r="AA196" s="4">
        <v>0</v>
      </c>
      <c r="AB196">
        <f>ResourceItem!AC196</f>
        <v>5.000000074505806E-2</v>
      </c>
      <c r="AC196">
        <f>ResourceItem!AD196</f>
        <v>5.000000074505806E-2</v>
      </c>
      <c r="AD196">
        <f>ResourceItem!AE196</f>
        <v>24</v>
      </c>
      <c r="AE196" s="4">
        <v>0</v>
      </c>
      <c r="AF196" s="4">
        <v>0</v>
      </c>
      <c r="AG196">
        <f>ResourceItem!AF196</f>
        <v>5.000000074505806E-2</v>
      </c>
      <c r="AH196">
        <f>ResourceItem!AG196</f>
        <v>5.000000074505806E-2</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363636</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363636</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272727</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1</v>
      </c>
      <c r="AC223">
        <f>ResourceItem!AD223</f>
        <v>1</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272727</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272727</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0.03</v>
      </c>
      <c r="AC225">
        <f>ResourceItem!AD225</f>
        <v>0.03</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363636</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0.05</v>
      </c>
      <c r="AC226">
        <f>ResourceItem!AD226</f>
        <v>0.05</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Protect Generator</v>
      </c>
      <c r="C227" s="1" t="str">
        <f>ResourceItem!C227</f>
        <v>A3018B</v>
      </c>
      <c r="D227">
        <f>ResourceItem!D227</f>
        <v>105</v>
      </c>
      <c r="E227" s="1" t="str">
        <f>ResourceItem!I227</f>
        <v>11111000</v>
      </c>
      <c r="F227" s="4">
        <v>17</v>
      </c>
      <c r="G227">
        <f>ResourceItem!M227</f>
        <v>0</v>
      </c>
      <c r="H227" s="4">
        <v>0</v>
      </c>
      <c r="I227">
        <f>ResourceItem!N227</f>
        <v>363636</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0.05</v>
      </c>
      <c r="AC227">
        <f>ResourceItem!AD227</f>
        <v>0.05</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272727</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7</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363636</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0.10000000149011612</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272727</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25</v>
      </c>
      <c r="AC230">
        <f>ResourceItem!AD230</f>
        <v>25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272727</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363636</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0.10000000149011612</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Nexus Premium Card</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18</v>
      </c>
      <c r="Z235" s="4">
        <v>0</v>
      </c>
      <c r="AA235" s="4">
        <v>0</v>
      </c>
      <c r="AB235">
        <f>ResourceItem!AC235</f>
        <v>5.000000074505806E-2</v>
      </c>
      <c r="AC235">
        <f>ResourceItem!AD235</f>
        <v>5.000000074505806E-2</v>
      </c>
      <c r="AD235">
        <f>ResourceItem!AE235</f>
        <v>24</v>
      </c>
      <c r="AE235" s="4">
        <v>0</v>
      </c>
      <c r="AF235" s="4">
        <v>0</v>
      </c>
      <c r="AG235">
        <f>ResourceItem!AF235</f>
        <v>5.000000074505806E-2</v>
      </c>
      <c r="AH235">
        <f>ResourceItem!AG235</f>
        <v>5.000000074505806E-2</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7 Days [pvp points]</v>
      </c>
      <c r="C258" s="1" t="str">
        <f>ResourceItem!C258</f>
        <v>A30180</v>
      </c>
      <c r="D258">
        <f>ResourceItem!D258</f>
        <v>150</v>
      </c>
      <c r="E258" s="1" t="str">
        <f>ResourceItem!I258</f>
        <v>11111000</v>
      </c>
      <c r="F258" s="4">
        <v>17</v>
      </c>
      <c r="G258">
        <f>ResourceItem!M258</f>
        <v>2</v>
      </c>
      <c r="H258" s="4">
        <v>0</v>
      </c>
      <c r="I258">
        <f>ResourceItem!N258</f>
        <v>1</v>
      </c>
      <c r="J258">
        <f>ResourceItem!Q258</f>
        <v>1819</v>
      </c>
      <c r="K258">
        <f>ResourceItem!R258</f>
        <v>1819</v>
      </c>
      <c r="L258">
        <f>ResourceItem!T258</f>
        <v>1819</v>
      </c>
      <c r="M258">
        <f>ResourceItem!S258</f>
        <v>1819</v>
      </c>
      <c r="N258">
        <f>ResourceItem!U258</f>
        <v>1819</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7 Days [pvp points]</v>
      </c>
      <c r="C259" s="1" t="str">
        <f>ResourceItem!C259</f>
        <v>A30181</v>
      </c>
      <c r="D259">
        <f>ResourceItem!D259</f>
        <v>151</v>
      </c>
      <c r="E259" s="1" t="str">
        <f>ResourceItem!I259</f>
        <v>11111000</v>
      </c>
      <c r="F259" s="4">
        <v>17</v>
      </c>
      <c r="G259">
        <f>ResourceItem!M259</f>
        <v>2</v>
      </c>
      <c r="H259" s="4">
        <v>0</v>
      </c>
      <c r="I259">
        <f>ResourceItem!N259</f>
        <v>1</v>
      </c>
      <c r="J259">
        <f>ResourceItem!Q259</f>
        <v>1819</v>
      </c>
      <c r="K259">
        <f>ResourceItem!R259</f>
        <v>1819</v>
      </c>
      <c r="L259">
        <f>ResourceItem!T259</f>
        <v>1819</v>
      </c>
      <c r="M259">
        <f>ResourceItem!S259</f>
        <v>1819</v>
      </c>
      <c r="N259">
        <f>ResourceItem!U259</f>
        <v>1819</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7 Days [pvp points]</v>
      </c>
      <c r="C260" s="1" t="str">
        <f>ResourceItem!C260</f>
        <v>A30184</v>
      </c>
      <c r="D260">
        <f>ResourceItem!D260</f>
        <v>152</v>
      </c>
      <c r="E260" s="1" t="str">
        <f>ResourceItem!I260</f>
        <v>11111000</v>
      </c>
      <c r="F260" s="4">
        <v>17</v>
      </c>
      <c r="G260">
        <f>ResourceItem!M260</f>
        <v>2</v>
      </c>
      <c r="H260" s="4">
        <v>0</v>
      </c>
      <c r="I260">
        <f>ResourceItem!N260</f>
        <v>1</v>
      </c>
      <c r="J260">
        <f>ResourceItem!Q260</f>
        <v>1819</v>
      </c>
      <c r="K260">
        <f>ResourceItem!R260</f>
        <v>1819</v>
      </c>
      <c r="L260">
        <f>ResourceItem!T260</f>
        <v>1819</v>
      </c>
      <c r="M260">
        <f>ResourceItem!S260</f>
        <v>1819</v>
      </c>
      <c r="N260">
        <f>ResourceItem!U260</f>
        <v>1819</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1</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7 Days [pvp points]</v>
      </c>
      <c r="C261" s="1" t="str">
        <f>ResourceItem!C261</f>
        <v>A30187</v>
      </c>
      <c r="D261">
        <f>ResourceItem!D261</f>
        <v>153</v>
      </c>
      <c r="E261" s="1" t="str">
        <f>ResourceItem!I261</f>
        <v>11111000</v>
      </c>
      <c r="F261" s="4">
        <v>17</v>
      </c>
      <c r="G261">
        <f>ResourceItem!M261</f>
        <v>2</v>
      </c>
      <c r="H261" s="4">
        <v>0</v>
      </c>
      <c r="I261">
        <f>ResourceItem!N261</f>
        <v>1</v>
      </c>
      <c r="J261">
        <f>ResourceItem!Q261</f>
        <v>1819</v>
      </c>
      <c r="K261">
        <f>ResourceItem!R261</f>
        <v>1819</v>
      </c>
      <c r="L261">
        <f>ResourceItem!T261</f>
        <v>1819</v>
      </c>
      <c r="M261">
        <f>ResourceItem!S261</f>
        <v>1819</v>
      </c>
      <c r="N261">
        <f>ResourceItem!U261</f>
        <v>1819</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7 Days [pvp points]</v>
      </c>
      <c r="C262" s="1" t="str">
        <f>ResourceItem!C262</f>
        <v>A30188</v>
      </c>
      <c r="D262">
        <f>ResourceItem!D262</f>
        <v>154</v>
      </c>
      <c r="E262" s="1" t="str">
        <f>ResourceItem!I262</f>
        <v>11111000</v>
      </c>
      <c r="F262" s="4">
        <v>17</v>
      </c>
      <c r="G262">
        <f>ResourceItem!M262</f>
        <v>2</v>
      </c>
      <c r="H262" s="4">
        <v>0</v>
      </c>
      <c r="I262">
        <f>ResourceItem!N262</f>
        <v>1</v>
      </c>
      <c r="J262">
        <f>ResourceItem!Q262</f>
        <v>1819</v>
      </c>
      <c r="K262">
        <f>ResourceItem!R262</f>
        <v>1819</v>
      </c>
      <c r="L262">
        <f>ResourceItem!T262</f>
        <v>1819</v>
      </c>
      <c r="M262">
        <f>ResourceItem!S262</f>
        <v>1819</v>
      </c>
      <c r="N262">
        <f>ResourceItem!U262</f>
        <v>1819</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0.03</v>
      </c>
      <c r="AC262">
        <f>ResourceItem!AD262</f>
        <v>0.03</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7 Days [pvp points]</v>
      </c>
      <c r="C263" s="1" t="str">
        <f>ResourceItem!C263</f>
        <v>830189</v>
      </c>
      <c r="D263">
        <f>ResourceItem!D263</f>
        <v>155</v>
      </c>
      <c r="E263" s="1" t="str">
        <f>ResourceItem!I263</f>
        <v>00110000</v>
      </c>
      <c r="F263" s="4">
        <v>17</v>
      </c>
      <c r="G263">
        <f>ResourceItem!M263</f>
        <v>2</v>
      </c>
      <c r="H263" s="4">
        <v>0</v>
      </c>
      <c r="I263">
        <f>ResourceItem!N263</f>
        <v>1</v>
      </c>
      <c r="J263">
        <f>ResourceItem!Q263</f>
        <v>1819</v>
      </c>
      <c r="K263">
        <f>ResourceItem!R263</f>
        <v>1819</v>
      </c>
      <c r="L263">
        <f>ResourceItem!T263</f>
        <v>1819</v>
      </c>
      <c r="M263">
        <f>ResourceItem!S263</f>
        <v>1819</v>
      </c>
      <c r="N263">
        <f>ResourceItem!U263</f>
        <v>1819</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0.10000000149011612</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7 Days [pvp points]</v>
      </c>
      <c r="C264" s="1" t="str">
        <f>ResourceItem!C264</f>
        <v>A3018A</v>
      </c>
      <c r="D264">
        <f>ResourceItem!D264</f>
        <v>156</v>
      </c>
      <c r="E264" s="1" t="str">
        <f>ResourceItem!I264</f>
        <v>11111000</v>
      </c>
      <c r="F264" s="4">
        <v>17</v>
      </c>
      <c r="G264">
        <f>ResourceItem!M264</f>
        <v>2</v>
      </c>
      <c r="H264" s="4">
        <v>0</v>
      </c>
      <c r="I264">
        <f>ResourceItem!N264</f>
        <v>1</v>
      </c>
      <c r="J264">
        <f>ResourceItem!Q264</f>
        <v>1819</v>
      </c>
      <c r="K264">
        <f>ResourceItem!R264</f>
        <v>1819</v>
      </c>
      <c r="L264">
        <f>ResourceItem!T264</f>
        <v>1819</v>
      </c>
      <c r="M264">
        <f>ResourceItem!S264</f>
        <v>1819</v>
      </c>
      <c r="N264">
        <f>ResourceItem!U264</f>
        <v>1819</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0.05</v>
      </c>
      <c r="AC264">
        <f>ResourceItem!AD264</f>
        <v>0.05</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7 Days [pvp points]</v>
      </c>
      <c r="C265" s="1" t="str">
        <f>ResourceItem!C265</f>
        <v>A3018B</v>
      </c>
      <c r="D265">
        <f>ResourceItem!D265</f>
        <v>157</v>
      </c>
      <c r="E265" s="1" t="str">
        <f>ResourceItem!I265</f>
        <v>11111000</v>
      </c>
      <c r="F265" s="4">
        <v>17</v>
      </c>
      <c r="G265">
        <f>ResourceItem!M265</f>
        <v>2</v>
      </c>
      <c r="H265" s="4">
        <v>0</v>
      </c>
      <c r="I265">
        <f>ResourceItem!N265</f>
        <v>1</v>
      </c>
      <c r="J265">
        <f>ResourceItem!Q265</f>
        <v>1819</v>
      </c>
      <c r="K265">
        <f>ResourceItem!R265</f>
        <v>1819</v>
      </c>
      <c r="L265">
        <f>ResourceItem!T265</f>
        <v>1819</v>
      </c>
      <c r="M265">
        <f>ResourceItem!S265</f>
        <v>1819</v>
      </c>
      <c r="N265">
        <f>ResourceItem!U265</f>
        <v>1819</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0.05</v>
      </c>
      <c r="AC265">
        <f>ResourceItem!AD265</f>
        <v>0.05</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7 Days [pvp points]</v>
      </c>
      <c r="C266" s="1" t="str">
        <f>ResourceItem!C266</f>
        <v>A3018D</v>
      </c>
      <c r="D266">
        <f>ResourceItem!D266</f>
        <v>158</v>
      </c>
      <c r="E266" s="1" t="str">
        <f>ResourceItem!I266</f>
        <v>11111000</v>
      </c>
      <c r="F266" s="4">
        <v>17</v>
      </c>
      <c r="G266">
        <f>ResourceItem!M266</f>
        <v>2</v>
      </c>
      <c r="H266" s="4">
        <v>0</v>
      </c>
      <c r="I266">
        <f>ResourceItem!N266</f>
        <v>1</v>
      </c>
      <c r="J266">
        <f>ResourceItem!Q266</f>
        <v>1819</v>
      </c>
      <c r="K266">
        <f>ResourceItem!R266</f>
        <v>1819</v>
      </c>
      <c r="L266">
        <f>ResourceItem!T266</f>
        <v>1819</v>
      </c>
      <c r="M266">
        <f>ResourceItem!S266</f>
        <v>1819</v>
      </c>
      <c r="N266">
        <f>ResourceItem!U266</f>
        <v>1819</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7 Days [pvp points]</v>
      </c>
      <c r="C267" s="1" t="str">
        <f>ResourceItem!C267</f>
        <v>73018E</v>
      </c>
      <c r="D267">
        <f>ResourceItem!D267</f>
        <v>159</v>
      </c>
      <c r="E267" s="1" t="str">
        <f>ResourceItem!I267</f>
        <v>11000000</v>
      </c>
      <c r="F267" s="4">
        <v>17</v>
      </c>
      <c r="G267">
        <f>ResourceItem!M267</f>
        <v>2</v>
      </c>
      <c r="H267" s="4">
        <v>0</v>
      </c>
      <c r="I267">
        <f>ResourceItem!N267</f>
        <v>1</v>
      </c>
      <c r="J267">
        <f>ResourceItem!Q267</f>
        <v>1819</v>
      </c>
      <c r="K267">
        <f>ResourceItem!R267</f>
        <v>1819</v>
      </c>
      <c r="L267">
        <f>ResourceItem!T267</f>
        <v>1819</v>
      </c>
      <c r="M267">
        <f>ResourceItem!S267</f>
        <v>1819</v>
      </c>
      <c r="N267">
        <f>ResourceItem!U267</f>
        <v>1819</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0.10000000149011612</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7 Days [pvp points]</v>
      </c>
      <c r="C268" s="1" t="str">
        <f>ResourceItem!C268</f>
        <v>A3018F</v>
      </c>
      <c r="D268">
        <f>ResourceItem!D268</f>
        <v>160</v>
      </c>
      <c r="E268" s="1" t="str">
        <f>ResourceItem!I268</f>
        <v>11111000</v>
      </c>
      <c r="F268" s="4">
        <v>17</v>
      </c>
      <c r="G268">
        <f>ResourceItem!M268</f>
        <v>2</v>
      </c>
      <c r="H268" s="4">
        <v>0</v>
      </c>
      <c r="I268">
        <f>ResourceItem!N268</f>
        <v>1</v>
      </c>
      <c r="J268">
        <f>ResourceItem!Q268</f>
        <v>1819</v>
      </c>
      <c r="K268">
        <f>ResourceItem!R268</f>
        <v>1819</v>
      </c>
      <c r="L268">
        <f>ResourceItem!T268</f>
        <v>1819</v>
      </c>
      <c r="M268">
        <f>ResourceItem!S268</f>
        <v>1819</v>
      </c>
      <c r="N268">
        <f>ResourceItem!U268</f>
        <v>1819</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25</v>
      </c>
      <c r="AC268">
        <f>ResourceItem!AD268</f>
        <v>25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7 Days [pvp points]</v>
      </c>
      <c r="C269" s="1" t="str">
        <f>ResourceItem!C269</f>
        <v>A30190</v>
      </c>
      <c r="D269">
        <f>ResourceItem!D269</f>
        <v>161</v>
      </c>
      <c r="E269" s="1" t="str">
        <f>ResourceItem!I269</f>
        <v>11111000</v>
      </c>
      <c r="F269" s="4">
        <v>17</v>
      </c>
      <c r="G269">
        <f>ResourceItem!M269</f>
        <v>2</v>
      </c>
      <c r="H269" s="4">
        <v>0</v>
      </c>
      <c r="I269">
        <f>ResourceItem!N269</f>
        <v>1</v>
      </c>
      <c r="J269">
        <f>ResourceItem!Q269</f>
        <v>1819</v>
      </c>
      <c r="K269">
        <f>ResourceItem!R269</f>
        <v>1819</v>
      </c>
      <c r="L269">
        <f>ResourceItem!T269</f>
        <v>1819</v>
      </c>
      <c r="M269">
        <f>ResourceItem!S269</f>
        <v>1819</v>
      </c>
      <c r="N269">
        <f>ResourceItem!U269</f>
        <v>1819</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7 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7 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7 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1</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7 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7 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0.03</v>
      </c>
      <c r="AC274">
        <f>ResourceItem!AD274</f>
        <v>0.03</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7 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0.10000000149011612</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7 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0.05</v>
      </c>
      <c r="AC276">
        <f>ResourceItem!AD276</f>
        <v>0.05</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7 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0.05</v>
      </c>
      <c r="AC277">
        <f>ResourceItem!AD277</f>
        <v>0.05</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7 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Panzer Generator 7 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0.10000000149011612</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7 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25</v>
      </c>
      <c r="AC280">
        <f>ResourceItem!AD280</f>
        <v>25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7 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30Days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135" activePane="bottomLeft" state="frozen"/>
      <selection pane="bottomLeft" activeCell="A145" sqref="A145:XFD145"/>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1110</v>
      </c>
      <c r="C49" s="2"/>
    </row>
    <row r="50" spans="1:3" x14ac:dyDescent="0.25">
      <c r="A50" s="4">
        <v>47</v>
      </c>
      <c r="B50" s="4" t="s">
        <v>1111</v>
      </c>
      <c r="C50" s="2"/>
    </row>
    <row r="51" spans="1:3" x14ac:dyDescent="0.25">
      <c r="A51" s="4">
        <v>48</v>
      </c>
      <c r="B51" s="4" t="s">
        <v>1112</v>
      </c>
      <c r="C51" s="2"/>
    </row>
    <row r="52" spans="1:3" x14ac:dyDescent="0.25">
      <c r="A52" s="4">
        <v>49</v>
      </c>
      <c r="B52" s="4" t="s">
        <v>1113</v>
      </c>
      <c r="C52" s="2"/>
    </row>
    <row r="53" spans="1:3" x14ac:dyDescent="0.25">
      <c r="A53" s="4">
        <v>50</v>
      </c>
      <c r="B53" s="4" t="s">
        <v>1114</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1115</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1116</v>
      </c>
      <c r="C91" s="2"/>
    </row>
    <row r="92" spans="1:3" x14ac:dyDescent="0.25">
      <c r="A92" s="4">
        <v>89</v>
      </c>
      <c r="B92" s="4" t="s">
        <v>1117</v>
      </c>
      <c r="C92" s="2"/>
    </row>
    <row r="93" spans="1:3" x14ac:dyDescent="0.25">
      <c r="A93" s="4">
        <v>90</v>
      </c>
      <c r="B93" s="4" t="s">
        <v>1118</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1119</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1120</v>
      </c>
      <c r="C108" s="2"/>
    </row>
    <row r="109" spans="1:3" x14ac:dyDescent="0.25">
      <c r="A109" s="4">
        <v>106</v>
      </c>
      <c r="B109" s="4" t="s">
        <v>1121</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1159</v>
      </c>
      <c r="C130" s="2"/>
    </row>
    <row r="131" spans="1:3" x14ac:dyDescent="0.25">
      <c r="A131" s="4">
        <v>128</v>
      </c>
      <c r="B131" s="4" t="s">
        <v>1158</v>
      </c>
      <c r="C131" s="2"/>
    </row>
    <row r="132" spans="1:3" x14ac:dyDescent="0.25">
      <c r="A132" s="4">
        <v>129</v>
      </c>
      <c r="B132" s="4" t="s">
        <v>860</v>
      </c>
      <c r="C132" s="2"/>
    </row>
    <row r="133" spans="1:3" x14ac:dyDescent="0.25">
      <c r="A133" s="4">
        <v>130</v>
      </c>
      <c r="B133" s="4" t="s">
        <v>862</v>
      </c>
      <c r="C133" s="2"/>
    </row>
    <row r="134" spans="1:3" x14ac:dyDescent="0.25">
      <c r="A134" s="4">
        <v>131</v>
      </c>
      <c r="B134" s="4" t="s">
        <v>1154</v>
      </c>
      <c r="C134" s="2"/>
    </row>
    <row r="135" spans="1:3" x14ac:dyDescent="0.25">
      <c r="A135" s="4">
        <v>132</v>
      </c>
      <c r="B135" s="4" t="s">
        <v>865</v>
      </c>
      <c r="C135" s="2"/>
    </row>
    <row r="136" spans="1:3" x14ac:dyDescent="0.25">
      <c r="A136" s="4">
        <v>133</v>
      </c>
      <c r="B136" s="4" t="s">
        <v>867</v>
      </c>
      <c r="C136" s="2"/>
    </row>
    <row r="137" spans="1:3" x14ac:dyDescent="0.25">
      <c r="A137" s="4">
        <v>134</v>
      </c>
      <c r="B137" s="4" t="s">
        <v>1155</v>
      </c>
      <c r="C137" s="2"/>
    </row>
    <row r="138" spans="1:3" x14ac:dyDescent="0.25">
      <c r="A138" s="4">
        <v>135</v>
      </c>
      <c r="B138" s="4" t="s">
        <v>1156</v>
      </c>
      <c r="C138" s="2"/>
    </row>
    <row r="139" spans="1:3" x14ac:dyDescent="0.25">
      <c r="A139" s="4">
        <v>136</v>
      </c>
      <c r="B139" s="4" t="s">
        <v>1150</v>
      </c>
      <c r="C139" s="2"/>
    </row>
    <row r="140" spans="1:3" x14ac:dyDescent="0.25">
      <c r="A140" s="4">
        <v>137</v>
      </c>
      <c r="B140" s="4" t="s">
        <v>1144</v>
      </c>
      <c r="C140" s="2"/>
    </row>
    <row r="141" spans="1:3" x14ac:dyDescent="0.25">
      <c r="A141" s="4">
        <v>138</v>
      </c>
      <c r="B141" s="4" t="s">
        <v>1145</v>
      </c>
      <c r="C141" s="2"/>
    </row>
    <row r="142" spans="1:3" x14ac:dyDescent="0.25">
      <c r="A142" s="4">
        <v>139</v>
      </c>
      <c r="B142" s="4" t="s">
        <v>874</v>
      </c>
      <c r="C142" s="2"/>
    </row>
    <row r="143" spans="1:3" x14ac:dyDescent="0.25">
      <c r="A143" s="4">
        <v>140</v>
      </c>
      <c r="B143" s="4" t="s">
        <v>1146</v>
      </c>
      <c r="C143" s="2"/>
    </row>
    <row r="144" spans="1:3" x14ac:dyDescent="0.25">
      <c r="A144" s="4">
        <v>141</v>
      </c>
      <c r="B144" s="4" t="s">
        <v>1147</v>
      </c>
      <c r="C144" s="2"/>
    </row>
    <row r="145" spans="1:3" x14ac:dyDescent="0.25">
      <c r="A145" s="4">
        <v>142</v>
      </c>
      <c r="B145" s="4" t="s">
        <v>1148</v>
      </c>
      <c r="C145" s="2"/>
    </row>
    <row r="146" spans="1:3" x14ac:dyDescent="0.25">
      <c r="A146" s="4">
        <v>143</v>
      </c>
      <c r="B146" s="4" t="s">
        <v>1149</v>
      </c>
      <c r="C146" s="2"/>
    </row>
    <row r="147" spans="1:3" x14ac:dyDescent="0.25">
      <c r="A147" s="4">
        <v>144</v>
      </c>
      <c r="B147" s="4" t="s">
        <v>854</v>
      </c>
      <c r="C147" s="2"/>
    </row>
    <row r="148" spans="1:3" x14ac:dyDescent="0.25">
      <c r="A148" s="4">
        <v>145</v>
      </c>
      <c r="B148" s="4" t="s">
        <v>856</v>
      </c>
      <c r="C148" s="2"/>
    </row>
    <row r="149" spans="1:3" x14ac:dyDescent="0.25">
      <c r="A149" s="4">
        <v>146</v>
      </c>
      <c r="B149" s="4" t="s">
        <v>1159</v>
      </c>
      <c r="C149" s="2"/>
    </row>
    <row r="150" spans="1:3" x14ac:dyDescent="0.25">
      <c r="A150" s="4">
        <v>147</v>
      </c>
      <c r="B150" s="4" t="s">
        <v>1158</v>
      </c>
      <c r="C150" s="2"/>
    </row>
    <row r="151" spans="1:3" x14ac:dyDescent="0.25">
      <c r="A151" s="4">
        <v>148</v>
      </c>
      <c r="B151" s="4" t="s">
        <v>862</v>
      </c>
      <c r="C151" s="2"/>
    </row>
    <row r="152" spans="1:3" x14ac:dyDescent="0.25">
      <c r="A152" s="4">
        <v>149</v>
      </c>
      <c r="B152" s="4" t="s">
        <v>1154</v>
      </c>
      <c r="C152" s="2"/>
    </row>
    <row r="153" spans="1:3" x14ac:dyDescent="0.25">
      <c r="A153" s="4">
        <v>150</v>
      </c>
      <c r="B153" s="4" t="s">
        <v>1156</v>
      </c>
      <c r="C153" s="2"/>
    </row>
    <row r="154" spans="1:3" x14ac:dyDescent="0.25">
      <c r="A154" s="4">
        <v>151</v>
      </c>
      <c r="B154" s="4" t="s">
        <v>1144</v>
      </c>
      <c r="C154" s="2"/>
    </row>
    <row r="155" spans="1:3" x14ac:dyDescent="0.25">
      <c r="A155" s="4">
        <v>152</v>
      </c>
      <c r="B155" s="4" t="s">
        <v>1145</v>
      </c>
      <c r="C155" s="2"/>
    </row>
    <row r="156" spans="1:3" x14ac:dyDescent="0.25">
      <c r="A156" s="4">
        <v>153</v>
      </c>
      <c r="B156" s="4" t="s">
        <v>874</v>
      </c>
      <c r="C156" s="2"/>
    </row>
    <row r="157" spans="1:3" x14ac:dyDescent="0.25">
      <c r="A157" s="4">
        <v>154</v>
      </c>
      <c r="B157" s="4" t="s">
        <v>1148</v>
      </c>
      <c r="C157" s="2"/>
    </row>
    <row r="158" spans="1:3" x14ac:dyDescent="0.25">
      <c r="A158" s="4">
        <v>155</v>
      </c>
      <c r="B158" s="4" t="s">
        <v>854</v>
      </c>
      <c r="C158" s="2"/>
    </row>
    <row r="159" spans="1:3" x14ac:dyDescent="0.25">
      <c r="A159" s="4">
        <v>156</v>
      </c>
      <c r="B159" s="4" t="s">
        <v>856</v>
      </c>
      <c r="C159" s="2"/>
    </row>
    <row r="160" spans="1:3" x14ac:dyDescent="0.25">
      <c r="A160" s="4">
        <v>157</v>
      </c>
      <c r="B160" s="4" t="s">
        <v>1159</v>
      </c>
      <c r="C160" s="2"/>
    </row>
    <row r="161" spans="1:3" x14ac:dyDescent="0.25">
      <c r="A161" s="4">
        <v>158</v>
      </c>
      <c r="B161" s="4" t="s">
        <v>1158</v>
      </c>
      <c r="C161" s="2"/>
    </row>
    <row r="162" spans="1:3" x14ac:dyDescent="0.25">
      <c r="A162" s="4">
        <v>159</v>
      </c>
      <c r="B162" s="4" t="s">
        <v>862</v>
      </c>
      <c r="C162" s="2"/>
    </row>
    <row r="163" spans="1:3" x14ac:dyDescent="0.25">
      <c r="A163" s="4">
        <v>160</v>
      </c>
      <c r="B163" s="4" t="s">
        <v>1154</v>
      </c>
      <c r="C163" s="2"/>
    </row>
    <row r="164" spans="1:3" x14ac:dyDescent="0.25">
      <c r="A164" s="4">
        <v>161</v>
      </c>
      <c r="B164" s="4" t="s">
        <v>1157</v>
      </c>
      <c r="C164" s="2"/>
    </row>
    <row r="165" spans="1:3" x14ac:dyDescent="0.25">
      <c r="A165" s="4">
        <v>162</v>
      </c>
      <c r="B165" s="4" t="s">
        <v>1144</v>
      </c>
      <c r="C165" s="2"/>
    </row>
    <row r="166" spans="1:3" x14ac:dyDescent="0.25">
      <c r="A166" s="4">
        <v>163</v>
      </c>
      <c r="B166" s="4" t="s">
        <v>1145</v>
      </c>
      <c r="C166" s="2"/>
    </row>
    <row r="167" spans="1:3" x14ac:dyDescent="0.25">
      <c r="A167" s="4">
        <v>164</v>
      </c>
      <c r="B167" s="4" t="s">
        <v>874</v>
      </c>
      <c r="C167" s="2"/>
    </row>
    <row r="168" spans="1:3" x14ac:dyDescent="0.25">
      <c r="A168" s="4">
        <v>165</v>
      </c>
      <c r="B168" s="4" t="s">
        <v>1148</v>
      </c>
      <c r="C168" s="2"/>
    </row>
    <row r="169" spans="1:3" x14ac:dyDescent="0.25">
      <c r="A169" s="4">
        <v>166</v>
      </c>
      <c r="B169" s="4" t="s">
        <v>882</v>
      </c>
      <c r="C169" s="2"/>
    </row>
    <row r="170" spans="1:3" x14ac:dyDescent="0.25">
      <c r="A170" s="4">
        <v>167</v>
      </c>
      <c r="B170" s="4" t="s">
        <v>882</v>
      </c>
      <c r="C170" s="2"/>
    </row>
    <row r="171" spans="1:3" x14ac:dyDescent="0.25">
      <c r="A171" s="4">
        <v>168</v>
      </c>
      <c r="B171" s="4" t="s">
        <v>1159</v>
      </c>
      <c r="C171" s="2"/>
    </row>
    <row r="172" spans="1:3" x14ac:dyDescent="0.25">
      <c r="A172" s="4">
        <v>169</v>
      </c>
      <c r="B172" s="4" t="s">
        <v>1158</v>
      </c>
      <c r="C172" s="2"/>
    </row>
    <row r="173" spans="1:3" x14ac:dyDescent="0.25">
      <c r="A173" s="4">
        <v>170</v>
      </c>
      <c r="B173" s="4" t="s">
        <v>862</v>
      </c>
      <c r="C173" s="2"/>
    </row>
    <row r="174" spans="1:3" x14ac:dyDescent="0.25">
      <c r="A174" s="4">
        <v>171</v>
      </c>
      <c r="B174" s="4" t="s">
        <v>1154</v>
      </c>
      <c r="C174" s="2"/>
    </row>
    <row r="175" spans="1:3" x14ac:dyDescent="0.25">
      <c r="A175" s="4">
        <v>172</v>
      </c>
      <c r="B175" s="4" t="s">
        <v>1156</v>
      </c>
      <c r="C175" s="2"/>
    </row>
    <row r="176" spans="1:3" x14ac:dyDescent="0.25">
      <c r="A176" s="4">
        <v>173</v>
      </c>
      <c r="B176" s="4" t="s">
        <v>1144</v>
      </c>
      <c r="C176" s="2"/>
    </row>
    <row r="177" spans="1:3" x14ac:dyDescent="0.25">
      <c r="A177" s="4">
        <v>174</v>
      </c>
      <c r="B177" s="4" t="s">
        <v>1145</v>
      </c>
      <c r="C177" s="2"/>
    </row>
    <row r="178" spans="1:3" x14ac:dyDescent="0.25">
      <c r="A178" s="4">
        <v>175</v>
      </c>
      <c r="B178" s="4" t="s">
        <v>884</v>
      </c>
      <c r="C178" s="2"/>
    </row>
    <row r="179" spans="1:3" x14ac:dyDescent="0.25">
      <c r="A179" s="4">
        <v>176</v>
      </c>
      <c r="B179" s="4" t="s">
        <v>1122</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1123</v>
      </c>
      <c r="C185" s="2"/>
    </row>
    <row r="186" spans="1:3" x14ac:dyDescent="0.25">
      <c r="A186" s="4">
        <v>183</v>
      </c>
      <c r="B186" s="4" t="s">
        <v>1124</v>
      </c>
      <c r="C186" s="2"/>
    </row>
    <row r="187" spans="1:3" x14ac:dyDescent="0.25">
      <c r="A187" s="4">
        <v>184</v>
      </c>
      <c r="B187" s="4" t="s">
        <v>1125</v>
      </c>
      <c r="C187" s="2"/>
    </row>
    <row r="188" spans="1:3" x14ac:dyDescent="0.25">
      <c r="A188" s="4">
        <v>185</v>
      </c>
      <c r="B188" s="4" t="s">
        <v>1126</v>
      </c>
      <c r="C188" s="2"/>
    </row>
    <row r="189" spans="1:3" x14ac:dyDescent="0.25">
      <c r="A189" s="4">
        <v>186</v>
      </c>
      <c r="B189" s="4" t="s">
        <v>896</v>
      </c>
      <c r="C189" s="2"/>
    </row>
    <row r="190" spans="1:3" x14ac:dyDescent="0.25">
      <c r="A190" s="4">
        <v>187</v>
      </c>
      <c r="B190" s="4" t="s">
        <v>898</v>
      </c>
      <c r="C190" s="2"/>
    </row>
    <row r="191" spans="1:3" x14ac:dyDescent="0.25">
      <c r="A191" s="4">
        <v>188</v>
      </c>
      <c r="B191" s="4" t="s">
        <v>900</v>
      </c>
      <c r="C191" s="2"/>
    </row>
    <row r="192" spans="1:3" x14ac:dyDescent="0.25">
      <c r="A192" s="4">
        <v>189</v>
      </c>
      <c r="B192" s="4" t="s">
        <v>902</v>
      </c>
      <c r="C192" s="2"/>
    </row>
    <row r="193" spans="1:3" x14ac:dyDescent="0.25">
      <c r="A193" s="4">
        <v>190</v>
      </c>
      <c r="B193" s="4" t="s">
        <v>904</v>
      </c>
      <c r="C193" s="2"/>
    </row>
    <row r="194" spans="1:3" x14ac:dyDescent="0.25">
      <c r="A194" s="4">
        <v>191</v>
      </c>
      <c r="B194" s="4" t="s">
        <v>906</v>
      </c>
      <c r="C194" s="2"/>
    </row>
    <row r="195" spans="1:3" x14ac:dyDescent="0.25">
      <c r="A195" s="4">
        <v>192</v>
      </c>
      <c r="B195" s="4" t="s">
        <v>908</v>
      </c>
      <c r="C195" s="2"/>
    </row>
    <row r="196" spans="1:3" x14ac:dyDescent="0.25">
      <c r="A196" s="4">
        <v>193</v>
      </c>
      <c r="B196" s="4" t="s">
        <v>1159</v>
      </c>
      <c r="C196" s="2"/>
    </row>
    <row r="197" spans="1:3" x14ac:dyDescent="0.25">
      <c r="A197" s="4">
        <v>194</v>
      </c>
      <c r="B197" s="4" t="s">
        <v>1158</v>
      </c>
      <c r="C197" s="2"/>
    </row>
    <row r="198" spans="1:3" x14ac:dyDescent="0.25">
      <c r="A198" s="4">
        <v>195</v>
      </c>
      <c r="B198" s="4" t="s">
        <v>1154</v>
      </c>
      <c r="C198" s="2"/>
    </row>
    <row r="199" spans="1:3" x14ac:dyDescent="0.25">
      <c r="A199" s="4">
        <v>196</v>
      </c>
      <c r="B199" s="4" t="s">
        <v>1156</v>
      </c>
      <c r="C199" s="2"/>
    </row>
    <row r="200" spans="1:3" x14ac:dyDescent="0.25">
      <c r="A200" s="4">
        <v>197</v>
      </c>
      <c r="B200" s="4" t="s">
        <v>1144</v>
      </c>
      <c r="C200" s="2"/>
    </row>
    <row r="201" spans="1:3" x14ac:dyDescent="0.25">
      <c r="A201" s="4">
        <v>198</v>
      </c>
      <c r="B201" s="4" t="s">
        <v>1145</v>
      </c>
      <c r="C201" s="2"/>
    </row>
    <row r="202" spans="1:3" x14ac:dyDescent="0.25">
      <c r="A202" s="4">
        <v>199</v>
      </c>
      <c r="B202" s="4" t="s">
        <v>1148</v>
      </c>
      <c r="C202" s="2"/>
    </row>
    <row r="203" spans="1:3" x14ac:dyDescent="0.25">
      <c r="A203" s="4">
        <v>200</v>
      </c>
      <c r="B203" s="4" t="s">
        <v>1149</v>
      </c>
      <c r="C203" s="2"/>
    </row>
    <row r="204" spans="1:3" x14ac:dyDescent="0.25">
      <c r="A204" s="4">
        <v>201</v>
      </c>
      <c r="B204" s="4" t="s">
        <v>918</v>
      </c>
      <c r="C204" s="2"/>
    </row>
    <row r="205" spans="1:3" x14ac:dyDescent="0.25">
      <c r="A205" s="4">
        <v>202</v>
      </c>
      <c r="B205" s="4" t="s">
        <v>920</v>
      </c>
      <c r="C205" s="2"/>
    </row>
    <row r="206" spans="1:3" x14ac:dyDescent="0.25">
      <c r="A206" s="4">
        <v>203</v>
      </c>
      <c r="B206" s="4" t="s">
        <v>922</v>
      </c>
      <c r="C206" s="2"/>
    </row>
    <row r="207" spans="1:3" x14ac:dyDescent="0.25">
      <c r="A207" s="4">
        <v>204</v>
      </c>
      <c r="B207" s="4" t="s">
        <v>924</v>
      </c>
      <c r="C207" s="2"/>
    </row>
    <row r="208" spans="1:3" x14ac:dyDescent="0.25">
      <c r="A208" s="4">
        <v>205</v>
      </c>
      <c r="B208" s="4" t="s">
        <v>926</v>
      </c>
      <c r="C208" s="2"/>
    </row>
    <row r="209" spans="1:3" x14ac:dyDescent="0.25">
      <c r="A209" s="4">
        <v>206</v>
      </c>
      <c r="B209" s="4" t="s">
        <v>928</v>
      </c>
      <c r="C209" s="2"/>
    </row>
    <row r="210" spans="1:3" x14ac:dyDescent="0.25">
      <c r="A210" s="4">
        <v>207</v>
      </c>
      <c r="B210" s="4" t="s">
        <v>930</v>
      </c>
      <c r="C210" s="2"/>
    </row>
    <row r="211" spans="1:3" x14ac:dyDescent="0.25">
      <c r="A211" s="4">
        <v>208</v>
      </c>
      <c r="B211" s="4" t="s">
        <v>932</v>
      </c>
      <c r="C211" s="2"/>
    </row>
    <row r="212" spans="1:3" x14ac:dyDescent="0.25">
      <c r="A212" s="4">
        <v>209</v>
      </c>
      <c r="B212" s="4" t="s">
        <v>934</v>
      </c>
      <c r="C212" s="2"/>
    </row>
    <row r="213" spans="1:3" x14ac:dyDescent="0.25">
      <c r="A213" s="4">
        <v>210</v>
      </c>
      <c r="B213" s="4" t="s">
        <v>935</v>
      </c>
      <c r="C213" s="2"/>
    </row>
    <row r="214" spans="1:3" x14ac:dyDescent="0.25">
      <c r="A214" s="4">
        <v>211</v>
      </c>
      <c r="B214" s="4" t="s">
        <v>936</v>
      </c>
      <c r="C214" s="2"/>
    </row>
    <row r="215" spans="1:3" x14ac:dyDescent="0.25">
      <c r="A215" s="4">
        <v>212</v>
      </c>
      <c r="B215" s="4" t="s">
        <v>937</v>
      </c>
      <c r="C215" s="2"/>
    </row>
    <row r="216" spans="1:3" x14ac:dyDescent="0.25">
      <c r="A216" s="4">
        <v>213</v>
      </c>
      <c r="B216" s="4" t="s">
        <v>1152</v>
      </c>
      <c r="C216" s="2"/>
    </row>
    <row r="217" spans="1:3" x14ac:dyDescent="0.25">
      <c r="A217" s="4">
        <v>214</v>
      </c>
      <c r="B217" s="4" t="s">
        <v>1153</v>
      </c>
      <c r="C217" s="2"/>
    </row>
    <row r="218" spans="1:3" x14ac:dyDescent="0.25">
      <c r="A218" s="4">
        <v>215</v>
      </c>
      <c r="B218" s="4" t="s">
        <v>1154</v>
      </c>
      <c r="C218" s="2"/>
    </row>
    <row r="219" spans="1:3" x14ac:dyDescent="0.25">
      <c r="A219" s="4">
        <v>216</v>
      </c>
      <c r="B219" s="4" t="s">
        <v>1155</v>
      </c>
      <c r="C219" s="2"/>
    </row>
    <row r="220" spans="1:3" x14ac:dyDescent="0.25">
      <c r="A220" s="4">
        <v>217</v>
      </c>
      <c r="B220" s="4" t="s">
        <v>1156</v>
      </c>
      <c r="C220" s="2"/>
    </row>
    <row r="221" spans="1:3" x14ac:dyDescent="0.25">
      <c r="A221" s="8">
        <v>218</v>
      </c>
      <c r="B221" s="4" t="s">
        <v>1144</v>
      </c>
      <c r="C221" s="2"/>
    </row>
    <row r="222" spans="1:3" x14ac:dyDescent="0.25">
      <c r="A222" s="8">
        <v>219</v>
      </c>
      <c r="B222" s="4" t="s">
        <v>1145</v>
      </c>
      <c r="C222" s="2"/>
    </row>
    <row r="223" spans="1:3" x14ac:dyDescent="0.25">
      <c r="A223" s="8">
        <v>220</v>
      </c>
      <c r="B223" s="4" t="s">
        <v>1146</v>
      </c>
      <c r="C223" s="2"/>
    </row>
    <row r="224" spans="1:3" x14ac:dyDescent="0.25">
      <c r="A224" s="8">
        <v>221</v>
      </c>
      <c r="B224" s="4" t="s">
        <v>1147</v>
      </c>
      <c r="C224" s="2"/>
    </row>
    <row r="225" spans="1:3" x14ac:dyDescent="0.25">
      <c r="A225" s="8">
        <v>222</v>
      </c>
      <c r="B225" s="4" t="s">
        <v>1148</v>
      </c>
      <c r="C225" s="2"/>
    </row>
    <row r="226" spans="1:3" x14ac:dyDescent="0.25">
      <c r="A226" s="8">
        <v>223</v>
      </c>
      <c r="B226" s="4" t="s">
        <v>1149</v>
      </c>
      <c r="C226" s="2"/>
    </row>
    <row r="227" spans="1:3" x14ac:dyDescent="0.25">
      <c r="A227" s="8">
        <v>224</v>
      </c>
      <c r="B227" s="4" t="s">
        <v>1150</v>
      </c>
      <c r="C227" s="2"/>
    </row>
    <row r="228" spans="1:3" x14ac:dyDescent="0.25">
      <c r="A228" s="8">
        <v>225</v>
      </c>
      <c r="B228" s="4" t="s">
        <v>940</v>
      </c>
      <c r="C228" s="2"/>
    </row>
    <row r="229" spans="1:3" x14ac:dyDescent="0.25">
      <c r="A229" s="8">
        <v>226</v>
      </c>
      <c r="B229" s="4" t="s">
        <v>1151</v>
      </c>
      <c r="C229" s="2"/>
    </row>
    <row r="230" spans="1:3" x14ac:dyDescent="0.25">
      <c r="A230" s="8">
        <v>227</v>
      </c>
      <c r="B230" s="4" t="s">
        <v>943</v>
      </c>
      <c r="C230" s="2"/>
    </row>
    <row r="231" spans="1:3" x14ac:dyDescent="0.25">
      <c r="A231" s="8">
        <v>228</v>
      </c>
      <c r="B231" s="4" t="s">
        <v>945</v>
      </c>
      <c r="C231" s="2"/>
    </row>
    <row r="232" spans="1:3" x14ac:dyDescent="0.25">
      <c r="A232" s="8">
        <v>229</v>
      </c>
      <c r="B232" s="4" t="s">
        <v>947</v>
      </c>
      <c r="C232" s="2"/>
    </row>
    <row r="233" spans="1:3" x14ac:dyDescent="0.25">
      <c r="A233" s="4">
        <v>230</v>
      </c>
      <c r="B233" s="4" t="s">
        <v>949</v>
      </c>
      <c r="C233" s="2"/>
    </row>
    <row r="234" spans="1:3" x14ac:dyDescent="0.25">
      <c r="A234" s="4">
        <v>231</v>
      </c>
      <c r="B234" s="4" t="s">
        <v>951</v>
      </c>
      <c r="C234" s="2"/>
    </row>
    <row r="235" spans="1:3" x14ac:dyDescent="0.25">
      <c r="A235" s="4">
        <v>232</v>
      </c>
      <c r="B235" s="4" t="s">
        <v>953</v>
      </c>
      <c r="C235" s="2"/>
    </row>
    <row r="236" spans="1:3" x14ac:dyDescent="0.25">
      <c r="A236" s="4">
        <v>233</v>
      </c>
      <c r="B236" s="4" t="s">
        <v>955</v>
      </c>
      <c r="C236" s="2"/>
    </row>
    <row r="237" spans="1:3" x14ac:dyDescent="0.25">
      <c r="A237" s="4">
        <v>234</v>
      </c>
      <c r="B237" s="4" t="s">
        <v>957</v>
      </c>
      <c r="C237" s="2"/>
    </row>
    <row r="238" spans="1:3" x14ac:dyDescent="0.25">
      <c r="A238" s="4">
        <v>235</v>
      </c>
      <c r="B238" s="4" t="s">
        <v>959</v>
      </c>
      <c r="C238" s="2"/>
    </row>
    <row r="239" spans="1:3" x14ac:dyDescent="0.25">
      <c r="A239" s="4">
        <v>236</v>
      </c>
      <c r="B239" s="4" t="s">
        <v>961</v>
      </c>
      <c r="C239" s="2"/>
    </row>
    <row r="240" spans="1:3" x14ac:dyDescent="0.25">
      <c r="A240" s="4">
        <v>237</v>
      </c>
      <c r="B240" s="4" t="s">
        <v>963</v>
      </c>
      <c r="C240" s="2"/>
    </row>
    <row r="241" spans="1:3" x14ac:dyDescent="0.25">
      <c r="A241" s="4">
        <v>238</v>
      </c>
      <c r="B241" s="4" t="s">
        <v>965</v>
      </c>
      <c r="C241" s="2"/>
    </row>
    <row r="242" spans="1:3" x14ac:dyDescent="0.25">
      <c r="A242" s="4">
        <v>239</v>
      </c>
      <c r="B242" s="4" t="s">
        <v>967</v>
      </c>
      <c r="C242" s="2"/>
    </row>
    <row r="243" spans="1:3" x14ac:dyDescent="0.25">
      <c r="A243" s="4">
        <v>240</v>
      </c>
      <c r="B243" s="4" t="s">
        <v>969</v>
      </c>
      <c r="C243" s="2"/>
    </row>
    <row r="244" spans="1:3" x14ac:dyDescent="0.25">
      <c r="A244" s="4">
        <v>241</v>
      </c>
      <c r="B244" s="4" t="s">
        <v>971</v>
      </c>
      <c r="C244" s="2"/>
    </row>
    <row r="245" spans="1:3" x14ac:dyDescent="0.25">
      <c r="A245" s="4">
        <v>242</v>
      </c>
      <c r="B245" s="4" t="s">
        <v>973</v>
      </c>
      <c r="C245" s="2"/>
    </row>
    <row r="246" spans="1:3" x14ac:dyDescent="0.25">
      <c r="A246" s="4">
        <v>243</v>
      </c>
      <c r="B246" s="4" t="s">
        <v>975</v>
      </c>
      <c r="C246" s="2"/>
    </row>
    <row r="247" spans="1:3" x14ac:dyDescent="0.25">
      <c r="A247" s="4">
        <v>244</v>
      </c>
      <c r="B247" s="4" t="s">
        <v>977</v>
      </c>
      <c r="C247" s="2"/>
    </row>
    <row r="248" spans="1:3" x14ac:dyDescent="0.25">
      <c r="A248" s="4">
        <v>245</v>
      </c>
      <c r="B248" s="4" t="s">
        <v>979</v>
      </c>
      <c r="C248" s="2"/>
    </row>
    <row r="249" spans="1:3" x14ac:dyDescent="0.25">
      <c r="A249" s="4">
        <v>246</v>
      </c>
      <c r="B249" s="4" t="s">
        <v>981</v>
      </c>
      <c r="C249" s="2"/>
    </row>
    <row r="250" spans="1:3" x14ac:dyDescent="0.25">
      <c r="A250" s="4">
        <v>247</v>
      </c>
      <c r="B250" s="4" t="s">
        <v>981</v>
      </c>
      <c r="C250" s="2"/>
    </row>
    <row r="251" spans="1:3" x14ac:dyDescent="0.25">
      <c r="A251" s="4">
        <v>248</v>
      </c>
      <c r="B251" s="4" t="s">
        <v>981</v>
      </c>
      <c r="C251" s="2"/>
    </row>
    <row r="252" spans="1:3" x14ac:dyDescent="0.25">
      <c r="A252" s="4">
        <v>249</v>
      </c>
      <c r="B252" s="4" t="s">
        <v>981</v>
      </c>
      <c r="C252" s="2"/>
    </row>
    <row r="253" spans="1:3" x14ac:dyDescent="0.25">
      <c r="A253" s="4">
        <v>250</v>
      </c>
      <c r="B253" s="4" t="s">
        <v>1159</v>
      </c>
      <c r="C253" s="2"/>
    </row>
    <row r="254" spans="1:3" x14ac:dyDescent="0.25">
      <c r="A254" s="4">
        <v>251</v>
      </c>
      <c r="B254" s="4" t="s">
        <v>1158</v>
      </c>
      <c r="C254" s="2"/>
    </row>
    <row r="255" spans="1:3" x14ac:dyDescent="0.25">
      <c r="A255" s="4">
        <v>252</v>
      </c>
      <c r="B255" s="4" t="s">
        <v>1154</v>
      </c>
      <c r="C255" s="2"/>
    </row>
    <row r="256" spans="1:3" x14ac:dyDescent="0.25">
      <c r="A256" s="4">
        <v>253</v>
      </c>
      <c r="B256" s="4" t="s">
        <v>1155</v>
      </c>
      <c r="C256" s="2"/>
    </row>
    <row r="257" spans="1:3" x14ac:dyDescent="0.25">
      <c r="A257" s="4">
        <v>254</v>
      </c>
      <c r="B257" s="4" t="s">
        <v>1156</v>
      </c>
      <c r="C257" s="2"/>
    </row>
    <row r="258" spans="1:3" x14ac:dyDescent="0.25">
      <c r="A258" s="4">
        <v>255</v>
      </c>
      <c r="B258" s="4" t="s">
        <v>1150</v>
      </c>
      <c r="C258" s="2"/>
    </row>
    <row r="259" spans="1:3" x14ac:dyDescent="0.25">
      <c r="A259" s="4">
        <v>256</v>
      </c>
      <c r="B259" s="4" t="s">
        <v>1144</v>
      </c>
      <c r="C259" s="2"/>
    </row>
    <row r="260" spans="1:3" x14ac:dyDescent="0.25">
      <c r="A260" s="4">
        <v>257</v>
      </c>
      <c r="B260" s="4" t="s">
        <v>1145</v>
      </c>
      <c r="C260" s="2"/>
    </row>
    <row r="261" spans="1:3" x14ac:dyDescent="0.25">
      <c r="A261" s="4">
        <v>258</v>
      </c>
      <c r="B261" s="4" t="s">
        <v>1146</v>
      </c>
      <c r="C261" s="2"/>
    </row>
    <row r="262" spans="1:3" x14ac:dyDescent="0.25">
      <c r="A262" s="4">
        <v>259</v>
      </c>
      <c r="B262" s="4" t="s">
        <v>1147</v>
      </c>
      <c r="C262" s="2"/>
    </row>
    <row r="263" spans="1:3" x14ac:dyDescent="0.25">
      <c r="A263" s="4">
        <v>260</v>
      </c>
      <c r="B263" s="4" t="s">
        <v>1148</v>
      </c>
      <c r="C263" s="2"/>
    </row>
    <row r="264" spans="1:3" x14ac:dyDescent="0.25">
      <c r="A264" s="4">
        <v>261</v>
      </c>
      <c r="B264" s="4" t="s">
        <v>1149</v>
      </c>
      <c r="C264" s="2"/>
    </row>
    <row r="265" spans="1:3" x14ac:dyDescent="0.25">
      <c r="A265" s="4">
        <v>262</v>
      </c>
      <c r="B265" s="4" t="s">
        <v>1159</v>
      </c>
      <c r="C265" s="2"/>
    </row>
    <row r="266" spans="1:3" x14ac:dyDescent="0.25">
      <c r="A266" s="4">
        <v>263</v>
      </c>
      <c r="B266" s="4" t="s">
        <v>1158</v>
      </c>
      <c r="C266" s="2"/>
    </row>
    <row r="267" spans="1:3" x14ac:dyDescent="0.25">
      <c r="A267" s="4">
        <v>264</v>
      </c>
      <c r="B267" s="4" t="s">
        <v>1154</v>
      </c>
      <c r="C267" s="2"/>
    </row>
    <row r="268" spans="1:3" x14ac:dyDescent="0.25">
      <c r="A268" s="4">
        <v>265</v>
      </c>
      <c r="B268" s="4" t="s">
        <v>1155</v>
      </c>
      <c r="C268" s="2"/>
    </row>
    <row r="269" spans="1:3" x14ac:dyDescent="0.25">
      <c r="A269" s="4">
        <v>266</v>
      </c>
      <c r="B269" s="4" t="s">
        <v>1156</v>
      </c>
      <c r="C269" s="2"/>
    </row>
    <row r="270" spans="1:3" x14ac:dyDescent="0.25">
      <c r="A270" s="4">
        <v>267</v>
      </c>
      <c r="B270" s="4" t="s">
        <v>1150</v>
      </c>
      <c r="C270" s="2"/>
    </row>
    <row r="271" spans="1:3" x14ac:dyDescent="0.25">
      <c r="A271" s="4">
        <v>268</v>
      </c>
      <c r="B271" s="4" t="s">
        <v>1144</v>
      </c>
      <c r="C271" s="2"/>
    </row>
    <row r="272" spans="1:3" x14ac:dyDescent="0.25">
      <c r="A272" s="4">
        <v>269</v>
      </c>
      <c r="B272" s="4" t="s">
        <v>1145</v>
      </c>
      <c r="C272" s="2"/>
    </row>
    <row r="273" spans="1:3" x14ac:dyDescent="0.25">
      <c r="A273" s="4">
        <v>270</v>
      </c>
      <c r="B273" s="4" t="s">
        <v>1146</v>
      </c>
      <c r="C273" s="2"/>
    </row>
    <row r="274" spans="1:3" x14ac:dyDescent="0.25">
      <c r="A274" s="4">
        <v>271</v>
      </c>
      <c r="B274" s="4" t="s">
        <v>1147</v>
      </c>
      <c r="C274" s="2"/>
    </row>
    <row r="275" spans="1:3" x14ac:dyDescent="0.25">
      <c r="A275" s="4">
        <v>272</v>
      </c>
      <c r="B275" s="4" t="s">
        <v>1148</v>
      </c>
      <c r="C275" s="2"/>
    </row>
    <row r="276" spans="1:3" x14ac:dyDescent="0.25">
      <c r="A276" s="4">
        <v>273</v>
      </c>
      <c r="B276" s="4" t="s">
        <v>1149</v>
      </c>
      <c r="C276" s="2"/>
    </row>
    <row r="277" spans="1:3" x14ac:dyDescent="0.25">
      <c r="A277" s="4">
        <v>274</v>
      </c>
      <c r="B277" s="4" t="s">
        <v>1159</v>
      </c>
      <c r="C277" s="2"/>
    </row>
    <row r="278" spans="1:3" x14ac:dyDescent="0.25">
      <c r="A278" s="4">
        <v>275</v>
      </c>
      <c r="B278" s="4" t="s">
        <v>1158</v>
      </c>
      <c r="C278" s="2"/>
    </row>
    <row r="279" spans="1:3" x14ac:dyDescent="0.25">
      <c r="A279" s="4">
        <v>276</v>
      </c>
      <c r="B279" s="4" t="s">
        <v>1154</v>
      </c>
      <c r="C279" s="2"/>
    </row>
    <row r="280" spans="1:3" x14ac:dyDescent="0.25">
      <c r="A280" s="4">
        <v>277</v>
      </c>
      <c r="B280" s="4" t="s">
        <v>1160</v>
      </c>
      <c r="C280" s="2"/>
    </row>
    <row r="281" spans="1:3" x14ac:dyDescent="0.25">
      <c r="A281" s="4">
        <v>278</v>
      </c>
      <c r="B281" s="4" t="s">
        <v>1156</v>
      </c>
      <c r="C281" s="2"/>
    </row>
    <row r="282" spans="1:3" x14ac:dyDescent="0.25">
      <c r="A282" s="4">
        <v>279</v>
      </c>
      <c r="B282" s="4" t="s">
        <v>1144</v>
      </c>
      <c r="C282" s="2"/>
    </row>
    <row r="283" spans="1:3" x14ac:dyDescent="0.25">
      <c r="A283" s="4">
        <v>280</v>
      </c>
      <c r="B283" s="4" t="s">
        <v>1145</v>
      </c>
      <c r="C283" s="2"/>
    </row>
    <row r="284" spans="1:3" x14ac:dyDescent="0.25">
      <c r="A284" s="4">
        <v>281</v>
      </c>
      <c r="B284" s="4" t="s">
        <v>1146</v>
      </c>
      <c r="C284" s="2"/>
    </row>
    <row r="285" spans="1:3" x14ac:dyDescent="0.25">
      <c r="A285" s="4">
        <v>282</v>
      </c>
      <c r="B285" s="4" t="s">
        <v>1147</v>
      </c>
      <c r="C285" s="2"/>
    </row>
    <row r="286" spans="1:3" x14ac:dyDescent="0.25">
      <c r="A286" s="4">
        <v>283</v>
      </c>
      <c r="B286" s="4" t="s">
        <v>1148</v>
      </c>
      <c r="C286" s="2"/>
    </row>
    <row r="287" spans="1:3" x14ac:dyDescent="0.25">
      <c r="A287" s="4">
        <v>284</v>
      </c>
      <c r="B287" s="4" t="s">
        <v>1149</v>
      </c>
      <c r="C287" s="2"/>
    </row>
    <row r="288" spans="1:3" x14ac:dyDescent="0.25">
      <c r="A288" s="4">
        <v>285</v>
      </c>
      <c r="B288" s="4" t="s">
        <v>1158</v>
      </c>
      <c r="C288" s="2"/>
    </row>
    <row r="289" spans="1:3" x14ac:dyDescent="0.25">
      <c r="A289" s="4">
        <v>286</v>
      </c>
      <c r="B289" s="4" t="s">
        <v>1154</v>
      </c>
      <c r="C289" s="2"/>
    </row>
    <row r="290" spans="1:3" x14ac:dyDescent="0.25">
      <c r="A290" s="4">
        <v>287</v>
      </c>
      <c r="B290" s="4" t="s">
        <v>1155</v>
      </c>
      <c r="C290" s="2"/>
    </row>
    <row r="291" spans="1:3" x14ac:dyDescent="0.25">
      <c r="A291" s="4">
        <v>288</v>
      </c>
      <c r="B291" s="4" t="s">
        <v>1156</v>
      </c>
      <c r="C291" s="2"/>
    </row>
    <row r="292" spans="1:3" x14ac:dyDescent="0.25">
      <c r="A292" s="4">
        <v>289</v>
      </c>
      <c r="B292" s="4" t="s">
        <v>1150</v>
      </c>
      <c r="C292" s="2"/>
    </row>
    <row r="293" spans="1:3" x14ac:dyDescent="0.25">
      <c r="A293" s="4">
        <v>290</v>
      </c>
      <c r="B293" s="4" t="s">
        <v>1144</v>
      </c>
      <c r="C293" s="2"/>
    </row>
    <row r="294" spans="1:3" x14ac:dyDescent="0.25">
      <c r="A294" s="4">
        <v>291</v>
      </c>
      <c r="B294" s="4" t="s">
        <v>1145</v>
      </c>
      <c r="C294" s="2"/>
    </row>
    <row r="295" spans="1:3" x14ac:dyDescent="0.25">
      <c r="A295" s="4">
        <v>292</v>
      </c>
      <c r="B295" s="4" t="s">
        <v>1146</v>
      </c>
      <c r="C295" s="2"/>
    </row>
    <row r="296" spans="1:3" x14ac:dyDescent="0.25">
      <c r="A296" s="4">
        <v>293</v>
      </c>
      <c r="B296" s="4" t="s">
        <v>1147</v>
      </c>
      <c r="C296" s="2"/>
    </row>
    <row r="297" spans="1:3" x14ac:dyDescent="0.25">
      <c r="A297" s="4">
        <v>294</v>
      </c>
      <c r="B297" s="4" t="s">
        <v>1148</v>
      </c>
      <c r="C297" s="2"/>
    </row>
    <row r="298" spans="1:3" x14ac:dyDescent="0.25">
      <c r="A298" s="4">
        <v>295</v>
      </c>
      <c r="B298" s="4" t="s">
        <v>1149</v>
      </c>
      <c r="C298" s="2"/>
    </row>
    <row r="299" spans="1:3" x14ac:dyDescent="0.25">
      <c r="A299" s="4">
        <v>296</v>
      </c>
      <c r="B299" s="4" t="s">
        <v>1008</v>
      </c>
      <c r="C299" s="2"/>
    </row>
    <row r="300" spans="1:3" x14ac:dyDescent="0.25">
      <c r="A300" s="4">
        <v>297</v>
      </c>
      <c r="B300" s="4" t="s">
        <v>1009</v>
      </c>
      <c r="C300" s="2"/>
    </row>
    <row r="301" spans="1:3" x14ac:dyDescent="0.25">
      <c r="A301" s="4">
        <v>298</v>
      </c>
      <c r="B301" s="4" t="s">
        <v>1008</v>
      </c>
      <c r="C301" s="2"/>
    </row>
    <row r="302" spans="1:3" x14ac:dyDescent="0.25">
      <c r="A302" s="4">
        <v>299</v>
      </c>
      <c r="B302" s="4" t="s">
        <v>1009</v>
      </c>
      <c r="C302" s="2"/>
    </row>
    <row r="303" spans="1:3" x14ac:dyDescent="0.25">
      <c r="A303" s="4">
        <v>300</v>
      </c>
      <c r="B303" s="4" t="s">
        <v>1012</v>
      </c>
      <c r="C303" s="2"/>
    </row>
    <row r="304" spans="1:3" x14ac:dyDescent="0.25">
      <c r="A304" s="4">
        <v>301</v>
      </c>
      <c r="B304" s="4" t="s">
        <v>1014</v>
      </c>
      <c r="C304" s="2"/>
    </row>
    <row r="305" spans="1:3" x14ac:dyDescent="0.25">
      <c r="A305" s="4">
        <v>302</v>
      </c>
      <c r="B305" s="4" t="s">
        <v>1012</v>
      </c>
      <c r="C305" s="2"/>
    </row>
    <row r="306" spans="1:3" x14ac:dyDescent="0.25">
      <c r="A306" s="4">
        <v>303</v>
      </c>
      <c r="B306" s="4" t="s">
        <v>1014</v>
      </c>
      <c r="C306" s="2"/>
    </row>
    <row r="307" spans="1:3" x14ac:dyDescent="0.25">
      <c r="A307" s="4">
        <v>304</v>
      </c>
      <c r="B307" s="4" t="s">
        <v>1018</v>
      </c>
      <c r="C307" s="2"/>
    </row>
    <row r="308" spans="1:3" x14ac:dyDescent="0.25">
      <c r="A308" s="4">
        <v>305</v>
      </c>
      <c r="B308" s="4" t="s">
        <v>1020</v>
      </c>
      <c r="C308" s="2"/>
    </row>
    <row r="309" spans="1:3" x14ac:dyDescent="0.25">
      <c r="A309" s="4">
        <v>306</v>
      </c>
      <c r="B309" s="4" t="s">
        <v>1022</v>
      </c>
      <c r="C309" s="2"/>
    </row>
    <row r="310" spans="1:3" x14ac:dyDescent="0.25">
      <c r="A310" s="4">
        <v>307</v>
      </c>
      <c r="B310" s="4" t="s">
        <v>1024</v>
      </c>
      <c r="C310" s="2"/>
    </row>
    <row r="311" spans="1:3" x14ac:dyDescent="0.25">
      <c r="A311" s="4">
        <v>308</v>
      </c>
      <c r="B311" s="4" t="s">
        <v>1026</v>
      </c>
      <c r="C311" s="2"/>
    </row>
    <row r="312" spans="1:3" x14ac:dyDescent="0.25">
      <c r="A312" s="4">
        <v>309</v>
      </c>
      <c r="B312" s="4" t="s">
        <v>1028</v>
      </c>
      <c r="C312" s="2"/>
    </row>
    <row r="313" spans="1:3" x14ac:dyDescent="0.25">
      <c r="A313" s="4">
        <v>310</v>
      </c>
      <c r="B313" s="4" t="s">
        <v>1029</v>
      </c>
      <c r="C313" s="2"/>
    </row>
    <row r="314" spans="1:3" x14ac:dyDescent="0.25">
      <c r="A314" s="4">
        <v>311</v>
      </c>
      <c r="B314" s="4" t="s">
        <v>1031</v>
      </c>
      <c r="C314" s="2"/>
    </row>
    <row r="315" spans="1:3" x14ac:dyDescent="0.25">
      <c r="A315" s="4">
        <v>312</v>
      </c>
      <c r="B315" s="4" t="s">
        <v>1033</v>
      </c>
      <c r="C315" s="2"/>
    </row>
    <row r="316" spans="1:3" x14ac:dyDescent="0.25">
      <c r="A316" s="4">
        <v>313</v>
      </c>
      <c r="B316" s="4" t="s">
        <v>1034</v>
      </c>
      <c r="C316" s="2"/>
    </row>
    <row r="317" spans="1:3" x14ac:dyDescent="0.25">
      <c r="A317" s="4">
        <v>314</v>
      </c>
      <c r="B317" s="4" t="s">
        <v>1035</v>
      </c>
      <c r="C317" s="2"/>
    </row>
    <row r="318" spans="1:3" x14ac:dyDescent="0.25">
      <c r="A318" s="4">
        <v>315</v>
      </c>
      <c r="B318" s="4" t="s">
        <v>1127</v>
      </c>
      <c r="C318" s="2"/>
    </row>
    <row r="319" spans="1:3" x14ac:dyDescent="0.25">
      <c r="A319" s="4">
        <v>316</v>
      </c>
      <c r="B319" s="4" t="s">
        <v>1127</v>
      </c>
      <c r="C319" s="2"/>
    </row>
    <row r="320" spans="1:3" x14ac:dyDescent="0.25">
      <c r="A320" s="4">
        <v>317</v>
      </c>
      <c r="B320" s="4" t="s">
        <v>1127</v>
      </c>
      <c r="C320" s="2"/>
    </row>
    <row r="321" spans="1:2" x14ac:dyDescent="0.25">
      <c r="A321" s="4">
        <v>318</v>
      </c>
      <c r="B321" s="4" t="s">
        <v>1128</v>
      </c>
    </row>
    <row r="322" spans="1:2" x14ac:dyDescent="0.25">
      <c r="A322" s="4">
        <v>319</v>
      </c>
      <c r="B322" s="4" t="s">
        <v>1129</v>
      </c>
    </row>
    <row r="323" spans="1:2" x14ac:dyDescent="0.25">
      <c r="A323" s="4">
        <v>320</v>
      </c>
      <c r="B323" s="4" t="s">
        <v>1130</v>
      </c>
    </row>
    <row r="324" spans="1:2" x14ac:dyDescent="0.25">
      <c r="A324" s="4">
        <v>321</v>
      </c>
      <c r="B324" s="4" t="s">
        <v>1131</v>
      </c>
    </row>
    <row r="325" spans="1:2" x14ac:dyDescent="0.25">
      <c r="A325" s="4">
        <v>322</v>
      </c>
      <c r="B325" s="4" t="s">
        <v>1132</v>
      </c>
    </row>
    <row r="326" spans="1:2" x14ac:dyDescent="0.25">
      <c r="A326" s="4">
        <v>323</v>
      </c>
      <c r="B326" s="4" t="s">
        <v>1133</v>
      </c>
    </row>
    <row r="327" spans="1:2" x14ac:dyDescent="0.25">
      <c r="A327" s="4">
        <v>324</v>
      </c>
      <c r="B327" s="4" t="s">
        <v>1134</v>
      </c>
    </row>
    <row r="328" spans="1:2" x14ac:dyDescent="0.25">
      <c r="A328" s="4">
        <v>325</v>
      </c>
      <c r="B328" s="4" t="s">
        <v>1135</v>
      </c>
    </row>
    <row r="329" spans="1:2" x14ac:dyDescent="0.25">
      <c r="A329" s="4">
        <v>326</v>
      </c>
      <c r="B329" s="4" t="s">
        <v>1136</v>
      </c>
    </row>
    <row r="330" spans="1:2" x14ac:dyDescent="0.25">
      <c r="A330" s="4">
        <v>327</v>
      </c>
      <c r="B330" s="4" t="s">
        <v>1137</v>
      </c>
    </row>
    <row r="331" spans="1:2" x14ac:dyDescent="0.25">
      <c r="A331" s="4">
        <v>328</v>
      </c>
      <c r="B331" s="4" t="s">
        <v>1138</v>
      </c>
    </row>
    <row r="332" spans="1:2" x14ac:dyDescent="0.25">
      <c r="A332" s="4">
        <v>329</v>
      </c>
      <c r="B332" s="4" t="s">
        <v>1139</v>
      </c>
    </row>
    <row r="333" spans="1:2" x14ac:dyDescent="0.25">
      <c r="A333" s="4">
        <v>330</v>
      </c>
      <c r="B333" s="4" t="s">
        <v>1140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2025-12-22T09:17:08Z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2025-12-03T12:19:04Z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c1678b2b-ab62-4724-8750-4c42a399409b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