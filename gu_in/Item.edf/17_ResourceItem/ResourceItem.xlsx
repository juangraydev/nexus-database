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028F7CA3-3176-4A4F-82DC-F5C8A677D6A2}"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<sst xmlns="http://schemas.openxmlformats.org/spreadsheetml/2006/main" count="2481" uniqueCount="1187">
  <si>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</si>
  <si>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</si>
  <si>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</si>
  <si>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</si>
  <si>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</si>
  <si>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</si>
  <si>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</si>
  <si>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</si>
  <si>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</si>
  <si>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</si>
  <si>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</si>
  <si>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</si>
  <si>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</si>
  <si>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</si>
  <si>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</si>
  <si>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</si>
  <si>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</si>
  <si>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</si>
  <si>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</si>
  <si>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</si>
  <si>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</si>
  <si>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</si>
  <si>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</si>
  <si>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</si>
  <si>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</si>
  <si>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</si>
  <si>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</si>
  <si>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</si>
  <si>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</si>
  <si>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</si>
  <si>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</si>
  <si>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</si>
  <si>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</si>
  <si>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</si>
  <si>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</si>
  <si>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</si>
  <si>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</si>
  <si>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</si>
  <si>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</si>
  <si>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</si>
  <si>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</si>
  <si>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</si>
  <si>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</si>
  <si>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</si>
  <si>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</si>
  <si>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</si>
  <si>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</si>
  <si>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</si>
  <si>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</si>
  <si>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</si>
  <si>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</si>
  <si>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</si>
  <si>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</si>
  <si>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</si>
  <si>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</si>
  <si>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</si>
  <si>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</si>
  <si>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</si>
  <si>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</si>
  <si>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</si>
  <si>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</si>
  <si>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</si>
  <si>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</si>
  <si>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</si>
  <si>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</si>
  <si>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</si>
  <si>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</si>
  <si>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</si>
  <si>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</si>
  <si>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</si>
  <si>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</si>
  <si>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</si>
  <si>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</si>
  <si>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</si>
  <si>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</si>
  <si>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</si>
  <si>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</si>
  <si>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</si>
  <si>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</si>
  <si>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</si>
  <si>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</si>
  <si>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</si>
  <si>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</si>
  <si>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</si>
  <si>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</si>
  <si>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</si>
  <si>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</si>
  <si>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</si>
  <si>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</si>
  <si>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</si>
  <si>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</si>
  <si>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</si>
  <si>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</si>
  <si>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</si>
  <si>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</si>
  <si>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</si>
  <si>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</si>
  <si>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</si>
  <si>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</si>
  <si>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</si>
  <si>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</si>
  <si>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</si>
  <si>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</si>
  <si>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</si>
  <si>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</si>
  <si>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</si>
  <si>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</si>
  <si>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</si>
  <si>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</si>
  <si>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</si>
  <si>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</si>
  <si>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</si>
  <si>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</si>
  <si>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</si>
  <si>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</si>
  <si>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</si>
  <si>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</si>
  <si>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</si>
  <si>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</si>
  <si>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</si>
  <si>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</si>
  <si>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</si>
  <si>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</si>
  <si>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</si>
  <si>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</si>
  <si>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</si>
  <si>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</si>
  <si>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</si>
  <si>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</si>
  <si>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</si>
  <si>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</si>
  <si>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</si>
  <si>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</si>
  <si>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</si>
  <si>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</si>
  <si>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</si>
  <si>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</si>
  <si>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</si>
  <si>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</si>
  <si>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</si>
  <si>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</si>
  <si>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</si>
  <si>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</si>
  <si>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</si>
  <si>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</si>
  <si>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</si>
  <si>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</si>
  <si>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</si>
  <si>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</si>
  <si>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</si>
  <si>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</si>
  <si>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</si>
  <si>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</si>
  <si>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</si>
  <si>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</si>
  <si>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</si>
  <si>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</si>
  <si>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</si>
  <si>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</si>
  <si>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</si>
  <si>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</si>
  <si>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</si>
  <si>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</si>
  <si>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</si>
  <si>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</si>
  <si>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</si>
  <si>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</si>
  <si>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</si>
  <si>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</si>
  <si>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</si>
  <si>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</si>
  <si>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</si>
  <si>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</si>
  <si>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</si>
  <si>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</si>
  <si>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</si>
  <si>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</si>
  <si>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</si>
  <si>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</si>
  <si>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</si>
  <si>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</si>
  <si>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</si>
  <si>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</si>
  <si>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</si>
  <si>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</si>
  <si>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</si>
  <si>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</si>
  <si>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</si>
  <si>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</si>
  <si>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</si>
  <si>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</si>
  <si>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</si>
  <si>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</si>
  <si>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</si>
  <si>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</si>
  <si>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</si>
  <si>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</si>
  <si>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</si>
  <si>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</si>
  <si>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</si>
  <si>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</si>
  <si>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</si>
  <si>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</si>
  <si>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</si>
  <si>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</si>
  <si>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</si>
  <si>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</si>
  <si>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</si>
  <si>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</si>
  <si>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</si>
  <si>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</si>
  <si>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</si>
  <si>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</si>
  <si>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</si>
  <si>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</si>
  <si>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</si>
  <si>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</si>
  <si>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</si>
  <si>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</si>
  <si>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</si>
  <si>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</si>
  <si>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</si>
  <si>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</si>
  <si>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</si>
  <si>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</si>
  <si>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</si>
  <si>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</si>
  <si>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</si>
  <si>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</si>
  <si>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</si>
  <si>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</si>
  <si>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</si>
  <si>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</si>
  <si>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</si>
  <si>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</si>
  <si>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</si>
  <si>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</si>
  <si>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</si>
  <si>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</si>
  <si>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</si>
  <si>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</si>
  <si>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</si>
  <si>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</si>
  <si>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</si>
  <si>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</si>
  <si>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</si>
  <si>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</si>
  <si>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</si>
  <si>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</si>
  <si>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</si>
  <si>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</si>
  <si>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</si>
  <si>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</si>
  <si>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</si>
  <si>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</si>
  <si>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</si>
  <si>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</si>
  <si>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</si>
  <si>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</si>
  <si>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</si>
  <si>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</si>
  <si>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</si>
  <si>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</si>
  <si>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</si>
  <si>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</si>
  <si>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</si>
  <si>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</si>
  <si>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</si>
  <si>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</si>
  <si>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</si>
  <si>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</si>
  <si>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</si>
  <si>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</si>
  <si>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</si>
  <si>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</si>
  <si>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</si>
  <si>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</si>
  <si>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</si>
  <si>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</si>
  <si>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</si>
  <si>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</si>
  <si>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</si>
  <si>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</si>
  <si>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</si>
  <si>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</si>
  <si>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</si>
  <si>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</si>
  <si>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</si>
  <si>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</si>
  <si>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</si>
  <si>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</si>
  <si>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</si>
  <si>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</si>
  <si>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</si>
  <si>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</si>
  <si>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</si>
  <si>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</si>
  <si>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</si>
  <si>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</si>
  <si>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</si>
  <si>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</si>
  <si>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</si>
  <si>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</si>
  <si>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</si>
  <si>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</si>
  <si>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</si>
  <si>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</si>
  <si>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</si>
  <si>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</si>
  <si>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</si>
  <si>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</si>
  <si>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</si>
  <si>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</si>
  <si>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</si>
  <si>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</si>
  <si>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</si>
  <si>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</si>
  <si>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</si>
  <si>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</si>
  <si>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</si>
  <si>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</si>
  <si>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</si>
  <si>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</si>
  <si>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</si>
  <si>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</si>
  <si>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</si>
  <si>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</si>
  <si>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</si>
  <si>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</si>
  <si>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</si>
  <si>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</si>
  <si>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</si>
  <si>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</si>
  <si>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</si>
  <si>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</si>
  <si>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</si>
  <si>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</si>
  <si>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</si>
  <si>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</si>
  <si>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</si>
  <si>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</si>
  <si>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</si>
  <si>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</si>
  <si>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</si>
  <si>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</si>
  <si>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</si>
  <si>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</si>
  <si>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</si>
  <si>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</si>
  <si>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</si>
  <si>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</si>
  <si>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</si>
  <si>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</si>
  <si>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</si>
  <si>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</si>
  <si>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</si>
  <si>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</si>
  <si>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</si>
  <si>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</si>
  <si>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</si>
  <si>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</si>
  <si>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</si>
  <si>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</si>
  <si>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</si>
  <si>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</si>
  <si>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</si>
  <si>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</si>
  <si>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</si>
  <si>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</si>
  <si>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</si>
  <si>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</si>
  <si>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</si>
  <si>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</si>
  <si>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</si>
  <si>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</si>
  <si>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</si>
  <si>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</si>
  <si>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</si>
  <si>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</si>
  <si>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</si>
  <si>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</si>
  <si>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</si>
  <si>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</si>
  <si>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</si>
  <si>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</si>
  <si>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</si>
  <si>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</si>
  <si>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</si>
  <si>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</si>
  <si>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</si>
  <si>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</si>
  <si>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</si>
  <si>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</si>
  <si>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</si>
  <si>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</si>
  <si>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</si>
  <si>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</si>
  <si>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</si>
  <si>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</si>
  <si>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</si>
  <si>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</si>
  <si>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</si>
  <si>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</si>
  <si>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</si>
  <si>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</si>
  <si>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</si>
  <si>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</si>
  <si>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</si>
  <si>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</si>
  <si>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</si>
  <si>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</si>
  <si>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</si>
  <si>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</si>
  <si>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</si>
  <si>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</si>
  <si>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</si>
  <si>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</si>
  <si>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</si>
  <si>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</si>
  <si>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</si>
  <si>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</si>
  <si>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</si>
  <si>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</si>
  <si>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</si>
  <si>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</si>
  <si>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</si>
  <si>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</si>
  <si>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</si>
  <si>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</si>
  <si>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</si>
  <si>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</si>
  <si>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</si>
  <si>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</si>
  <si>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</si>
  <si>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</si>
  <si>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</si>
  <si>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</si>
  <si>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</si>
  <si>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</si>
  <si>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</si>
  <si>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</si>
  <si>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</si>
  <si>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</si>
  <si>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</si>
  <si>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</si>
  <si>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</si>
  <si>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</si>
  <si>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</si>
  <si>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</si>
  <si>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</si>
  <si>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</si>
  <si>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</si>
  <si>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</si>
  <si>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</si>
  <si>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</si>
  <si>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</si>
  <si>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</si>
  <si>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</si>
  <si>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</si>
  <si>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</si>
  <si>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</si>
  <si>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</si>
  <si>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</si>
  <si>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</si>
  <si>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</si>
  <si>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</si>
  <si>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</si>
  <si>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</si>
  <si>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</si>
  <si>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</si>
  <si>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</si>
  <si>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</si>
  <si>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</si>
  <si>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</si>
  <si>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</si>
  <si>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</si>
  <si>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</si>
  <si>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</si>
  <si>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</si>
  <si>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</si>
  <si>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</si>
  <si>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</si>
  <si>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</si>
  <si>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</si>
  <si>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</si>
  <si>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</si>
  <si>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</si>
  <si>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</si>
  <si>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</si>
  <si>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</si>
  <si>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</si>
  <si>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</si>
  <si>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</si>
  <si>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</si>
  <si>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</si>
  <si>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</si>
  <si>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</si>
  <si>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</si>
  <si>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</si>
  <si>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</si>
  <si>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</si>
  <si>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</si>
  <si>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</si>
  <si>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</si>
  <si>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</si>
  <si>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</si>
  <si>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</si>
  <si>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</si>
  <si>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</si>
  <si>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</si>
  <si>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</si>
  <si>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</si>
  <si>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</si>
  <si>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</si>
  <si>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</si>
  <si>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</si>
  <si>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</si>
  <si>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</si>
  <si>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</si>
  <si>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</si>
  <si>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</si>
  <si>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</si>
  <si>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</si>
  <si>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</si>
  <si>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</si>
  <si>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</si>
  <si>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</si>
  <si>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</si>
  <si>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</si>
  <si>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</si>
  <si>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</si>
  <si>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</si>
  <si>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</si>
  <si>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</si>
  <si>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</si>
  <si>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</si>
  <si>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</si>
  <si>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</si>
  <si>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</si>
  <si>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</si>
  <si>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</si>
  <si>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</si>
  <si>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</si>
  <si>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</si>
  <si>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</si>
  <si>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</si>
  <si>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</si>
  <si>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</si>
  <si>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</si>
  <si>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</si>
  <si>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</si>
  <si>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</si>
  <si>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</si>
  <si>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</si>
  <si>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</si>
  <si>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</si>
  <si>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</si>
  <si>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</si>
  <si>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</si>
  <si>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</si>
  <si>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</si>
  <si>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</si>
  <si>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</si>
  <si>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</si>
  <si>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</si>
  <si>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</si>
  <si>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</si>
  <si>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</si>
  <si>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</si>
  <si>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</si>
  <si>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</si>
  <si>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</si>
  <si>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</si>
  <si>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</si>
  <si>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</si>
  <si>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</si>
  <si>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</si>
  <si>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</si>
  <si>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</si>
  <si>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</si>
  <si>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</si>
  <si>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</si>
  <si>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</si>
  <si>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</si>
  <si>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</si>
  <si>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</si>
  <si>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</si>
  <si>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</si>
  <si>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</si>
  <si>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</si>
  <si>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</si>
  <si>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</si>
  <si>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</si>
  <si>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</si>
  <si>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</si>
  <si>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</si>
  <si>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</si>
  <si>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</si>
  <si>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</si>
  <si>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</si>
  <si>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</si>
  <si>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</si>
  <si>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</si>
  <si>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</si>
  <si>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</si>
  <si>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</si>
  <si>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</si>
  <si>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</si>
  <si>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</si>
  <si>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</si>
  <si>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</si>
  <si>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</si>
  <si>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</si>
  <si>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</si>
  <si>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</si>
  <si>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</si>
  <si>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</si>
  <si>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</si>
  <si>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</si>
  <si>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</si>
  <si>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</si>
  <si>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</si>
  <si>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</si>
  <si>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</si>
  <si>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</si>
  <si>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</si>
  <si>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</si>
  <si>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</si>
  <si>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</si>
  <si>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</si>
  <si>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</si>
  <si>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</si>
  <si>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</si>
  <si>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</si>
  <si>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</si>
  <si>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</si>
  <si>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</si>
  <si>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</si>
  <si>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</si>
  <si>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</si>
  <si>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</si>
  <si>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</si>
  <si>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</si>
  <si>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</si>
  <si>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</si>
  <si>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</si>
  <si>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</si>
  <si>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</si>
  <si>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</si>
  <si>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</si>
  <si>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</si>
  <si>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</si>
  <si>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</si>
  <si>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</si>
  <si>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</si>
  <si>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</si>
  <si>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</si>
  <si>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</si>
  <si>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</si>
  <si>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</si>
  <si>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</si>
  <si>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</si>
  <si>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</si>
  <si>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</si>
  <si>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</si>
  <si>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</si>
  <si>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</si>
  <si>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</si>
  <si>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</si>
  <si>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</si>
  <si>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</si>
  <si>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</si>
  <si>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</si>
  <si>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</si>
  <si>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</si>
  <si>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</si>
  <si>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</si>
  <si>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</si>
  <si>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</si>
  <si>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</si>
  <si>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</si>
  <si>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</si>
  <si>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</si>
  <si>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</si>
  <si>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</si>
  <si>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</si>
  <si>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</si>
  <si>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</si>
  <si>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</si>
  <si>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</si>
  <si>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</si>
  <si>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</si>
  <si>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</si>
  <si>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</si>
  <si>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</si>
  <si>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</si>
  <si>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</si>
  <si>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</si>
  <si>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</si>
  <si>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</si>
  <si>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</si>
  <si>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</si>
  <si>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</si>
  <si>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</si>
  <si>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</si>
  <si>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</si>
  <si>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</si>
  <si>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</si>
  <si>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</si>
  <si>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</si>
  <si>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</si>
  <si>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</si>
  <si>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</si>
  <si>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</si>
  <si>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</si>
  <si>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</si>
  <si>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</si>
  <si>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</si>
  <si>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</si>
  <si>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</si>
  <si>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</si>
  <si>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</si>
  <si>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</si>
  <si>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</si>
  <si>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</si>
  <si>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</si>
  <si>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</si>
  <si>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</si>
  <si>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</si>
  <si>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</si>
  <si>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</si>
  <si>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</si>
  <si>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</si>
  <si>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</si>
  <si>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</si>
  <si>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</si>
  <si>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</si>
  <si>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</si>
  <si>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</si>
  <si>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</si>
  <si>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</si>
  <si>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</si>
  <si>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</si>
  <si>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</si>
  <si>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</si>
  <si>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</si>
  <si>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</si>
  <si>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</si>
  <si>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</si>
  <si>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</si>
  <si>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</si>
  <si>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</si>
  <si>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</si>
  <si>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</si>
  <si>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</si>
  <si>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</si>
  <si>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</si>
  <si>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</si>
  <si>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</si>
  <si>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</si>
  <si>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</si>
  <si>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</si>
  <si>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</si>
  <si>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</si>
  <si>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</si>
  <si>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</si>
  <si>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</si>
  <si>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</si>
  <si>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</si>
  <si>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</si>
  <si>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</si>
  <si>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</si>
  <si>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</si>
  <si>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</si>
  <si>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</si>
  <si>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</si>
  <si>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</si>
  <si>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</si>
  <si>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</si>
  <si>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</si>
  <si>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</si>
  <si>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</si>
  <si>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</si>
  <si>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</si>
  <si>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</si>
  <si>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</si>
  <si>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</si>
  <si>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</si>
  <si>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</si>
  <si>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</si>
  <si>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</si>
  <si>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</si>
  <si>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</si>
  <si>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</si>
  <si>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</si>
  <si>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</si>
  <si>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</si>
  <si>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</si>
  <si>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</si>
  <si>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</si>
  <si>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</si>
  <si>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</si>
  <si>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</si>
  <si>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</si>
  <si>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</si>
  <si>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</si>
  <si>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</si>
  <si>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</si>
  <si>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</si>
  <si>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</si>
  <si>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</si>
  <si>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</si>
  <si>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</si>
  <si>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</si>
  <si>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</si>
  <si>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</si>
  <si>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</si>
  <si>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</si>
  <si>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</si>
  <si>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</si>
  <si>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</si>
  <si>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</si>
  <si>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</si>
  <si>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</si>
  <si>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</si>
  <si>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</si>
  <si>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</si>
  <si>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</si>
  <si>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</si>
  <si>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</si>
  <si>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</si>
  <si>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</si>
  <si>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</si>
  <si>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</si>
  <si>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</si>
  <si>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</si>
  <si>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</si>
  <si>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</si>
  <si>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</si>
  <si>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</si>
  <si>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</si>
  <si>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</si>
  <si>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</si>
  <si>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</si>
  <si>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</si>
  <si>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</si>
  <si>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</si>
  <si>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</si>
  <si>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</si>
  <si>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</si>
  <si>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</si>
  <si>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</si>
  <si>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</si>
  <si>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</si>
  <si>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</si>
  <si>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</si>
  <si>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</si>
  <si>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</si>
  <si>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</si>
  <si>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</si>
  <si>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</si>
  <si>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</si>
  <si>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</si>
  <si>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</si>
  <si>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</si>
  <si>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</si>
  <si>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</si>
  <si>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</si>
  <si>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</si>
  <si>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</si>
  <si>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</si>
  <si>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</si>
  <si>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</si>
  <si>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</si>
  <si>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</si>
  <si>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</si>
  <si>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</si>
  <si>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</si>
  <si>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</si>
  <si>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</si>
  <si>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</si>
  <si>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</si>
  <si>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</si>
  <si>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</si>
  <si>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</si>
  <si>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</si>
  <si>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</si>
  <si>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</si>
  <si>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</si>
  <si>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</si>
  <si>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</si>
  <si>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</si>
  <si>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</si>
  <si>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</si>
  <si>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</si>
  <si>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</si>
  <si>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</si>
  <si>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</si>
  <si>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</si>
  <si>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</si>
  <si>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</si>
  <si>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</si>
  <si>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</si>
  <si>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</si>
  <si>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</si>
  <si>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</si>
  <si>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</si>
  <si>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</si>
  <si>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</si>
  <si>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</si>
  <si>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</si>
  <si>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</si>
  <si>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</si>
  <si>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</si>
  <si>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</si>
  <si>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</si>
  <si>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</si>
  <si>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</si>
  <si>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</si>
  <si>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</si>
  <si>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</si>
  <si>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</si>
  <si>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</si>
  <si>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</si>
  <si>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</si>
  <si>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</si>
  <si>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</si>
  <si>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</si>
  <si>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</si>
  <si>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</si>
  <si>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</si>
  <si>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</si>
  <si>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</si>
  <si>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</si>
  <si>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</si>
  <si>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</si>
  <si>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</si>
  <si>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</si>
  <si>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</si>
  <si>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</si>
  <si>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</si>
  <si>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</si>
  <si>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</si>
  <si>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</si>
  <si>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</si>
  <si>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</si>
  <si>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</si>
  <si>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</si>
  <si>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</si>
  <si>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</si>
  <si>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</si>
  <si>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</si>
  <si>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</si>
  <si>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</si>
  <si>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</si>
  <si>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</si>
  <si>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</si>
  <si>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</si>
  <si>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</si>
  <si>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</si>
  <si>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</si>
  <si>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</si>
  <si>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</si>
  <si>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</si>
  <si>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</si>
  <si>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</si>
  <si>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</si>
  <si>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</si>
  <si>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</si>
  <si>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</si>
  <si>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</si>
  <si>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</si>
  <si>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</si>
  <si>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</si>
  <si>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</si>
  <si>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</si>
  <si>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</si>
  <si>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</si>
  <si>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</si>
  <si>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</si>
  <si>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</si>
  <si>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</si>
  <si>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</si>
  <si>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</si>
  <si>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</si>
  <si>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</si>
  <si>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</si>
  <si>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</si>
  <si>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</si>
  <si>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</si>
  <si>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</si>
  <si>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</si>
  <si>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</si>
  <si>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</si>
  <si>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</si>
  <si>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</si>
  <si>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</si>
  <si>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</si>
  <si>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</si>
  <si>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</si>
  <si>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</si>
  <si>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</si>
  <si>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</si>
  <si>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</si>
  <si>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</si>
  <si>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</si>
  <si>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</si>
  <si>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</si>
  <si>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</si>
  <si>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</si>
  <si>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</si>
  <si>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</si>
  <si>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</si>
  <si>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</si>
  <si>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</si>
  <si>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</si>
  <si>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</si>
  <si>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</si>
  <si>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</si>
  <si>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</si>
  <si>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</si>
  <si>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</si>
  <si>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</si>
  <si>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</si>
  <si>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</si>
  <si>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</si>
  <si>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</si>
  <si>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</si>
  <si>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</si>
  <si>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</si>
  <si>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</si>
  <si>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</si>
  <si>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</si>
  <si>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</si>
  <si>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</si>
  <si>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</si>
  <si>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</si>
  <si>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</si>
  <si>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</si>
  <si>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</si>
  <si>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</si>
  <si>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</si>
  <si>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</si>
  <si>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</si>
  <si>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</si>
  <si>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</si>
  <si>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</si>
  <si>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</si>
  <si>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</si>
  <si>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</si>
  <si>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</si>
  <si>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</si>
  <si>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</si>
  <si>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</si>
  <si>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</si>
  <si>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</si>
  <si>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</si>
  <si>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</si>
  <si>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</si>
  <si>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</si>
  <si>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</si>
  <si>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</si>
  <si>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</si>
  <si>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</si>
  <si>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</si>
  <si>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</si>
  <si>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</si>
  <si>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</si>
  <si>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</si>
  <si>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</si>
  <si>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</si>
  <si>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</si>
  <si>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</si>
  <si>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</si>
  <si>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</si>
  <si>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</si>
  <si>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</si>
  <si>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</si>
  <si>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</si>
  <si>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</si>
  <si>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</si>
  <si>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</si>
  <si>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</si>
  <si>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</si>
  <si>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</si>
  <si>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</si>
  <si>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</si>
  <si>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</si>
  <si>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</si>
  <si>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</si>
  <si>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</si>
  <si>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</si>
  <si>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</si>
  <si>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</si>
  <si>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</si>
  <si>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</si>
  <si>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</si>
  <si>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</si>
  <si>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</si>
  <si>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</si>
  <si>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</si>
  <si>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</si>
  <si>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</si>
  <si>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</si>
  <si>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</si>
  <si>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</si>
  <si>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</si>
  <si>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</si>
  <si>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</si>
  <si>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</si>
  <si>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</si>
  <si>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</si>
  <si>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</si>
  <si>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</si>
  <si>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</si>
  <si>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</si>
  <si>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</si>
  <si>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</si>
  <si>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</si>
  <si>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</si>
  <si>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</si>
  <si>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</si>
  <si>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</si>
  <si>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</si>
  <si>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</si>
  <si>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</si>
  <si>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</si>
  <si>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</si>
  <si>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</si>
  <si>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</si>
  <si>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</si>
  <si>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</si>
  <si>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</si>
  <si>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</si>
  <si>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</si>
  <si>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</si>
  <si>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</si>
  <si>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</si>
  <si>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</si>
  <si>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</si>
  <si>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</si>
  <si>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</si>
  <si>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</si>
  <si>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</si>
  <si>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</si>
  <si>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</si>
  <si>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</si>
  <si>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</si>
  <si>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</si>
  <si>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</si>
  <si>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</si>
  <si>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</si>
  <si>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</si>
  <si>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</si>
  <si>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</si>
  <si>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</si>
  <si>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</si>
  <si>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</si>
  <si>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</si>
  <si>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</si>
  <si>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</si>
  <si>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</si>
  <si>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</si>
  <si>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</si>
  <si>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</si>
  <si>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</si>
  <si>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</si>
  <si>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</si>
  <si>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</si>
  <si>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</si>
  <si>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</si>
  <si>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</si>
  <si>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</si>
  <si>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</si>
  <si>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</si>
  <si>
    <t>Charm of Clairvoyance 7 days[Cash]</t>
  </si>
  <si>
    <t>Charm of Speeding 7 days[Cash]</t>
  </si>
  <si>
    <t>Charm of Leader 7 days[Cash]</t>
  </si>
  <si>
    <t>Charm of Holiness 7 days[Cash]</t>
  </si>
  <si>
    <t>Charm of Restoration 7 days [Cash]</t>
  </si>
  <si>
    <t>Charm of Sympathy 7 days[Cash]</t>
  </si>
  <si>
    <t>Burst Generator 7 days [Cash]</t>
  </si>
  <si>
    <t>Protect Generator 7 days [Cash]</t>
  </si>
  <si>
    <t>Perfect Generator 7 days [Cash]</t>
  </si>
  <si>
    <t>Panzer Generator 7 days [Cash]</t>
  </si>
  <si>
    <t>Aggressive Generator 7 days [Cash]</t>
  </si>
  <si>
    <t>Silence Generator 7 days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</si>
</sst>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right/>
      <top/>
      <bottom/>
      <diagonal/>
    </border>
    <border>
      <left/>
      <right/>
      <top/>
      <bottom/>
      <diagonal/>
    </border>
    <border>
      <left/>
      <right/>
      <top/>
      <bottom/>
      <diagonal/>
    </border>
  </borders>
  <cellStyleXfs count="4">
    <xf numFmtId="0" fontId="0" fillId="0" borderId="0"/>
    <xf numFmtId="0" fontId="1" fillId="5" borderId="0" applyNumberFormat="0" applyBorder="0" applyAlignment="0" applyProtection="0"/>
    <xf numFmtId="0" fontId="2" fillId="6" borderId="0" applyNumberFormat="0" applyBorder="0" applyAlignment="0" applyProtection="0"/>
    <xf numFmtId="0" fontId="3" fillId="7"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1" fillId="5" borderId="3" xfId="1" applyBorder="1"/>
    <xf numFmtId="0" fontId="1" fillId="5" borderId="1" xfId="1" applyBorder="1"/>
    <xf numFmtId="0" fontId="1" fillId="5" borderId="0" xfId="1"/>
    <xf numFmtId="0" fontId="3" fillId="7" borderId="3" xfId="3" applyBorder="1"/>
    <xf numFmtId="0" fontId="3" fillId="7" borderId="2" xfId="3" applyBorder="1"/>
    <xf numFmtId="0" fontId="3" fillId="7" borderId="1" xfId="3" applyBorder="1"/>
    <xf numFmtId="0" fontId="3" fillId="7" borderId="0" xfId="3"/>
  </cellXfs>
  <cellStyles count="4">
    <cellStyle name="Bad" xfId="2" builtinId="27"/>
    <cellStyle name="Good" xfId="1" builtinId="26"/>
    <cellStyle name="Neutral" xfId="3"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N314" activePane="bottomRight" state="frozen"/>
      <selection pane="topRight" activeCell="B1" sqref="B1"/>
      <selection pane="bottomLeft" activeCell="A3" sqref="A3"/>
      <selection pane="bottomRight" activeCell="AC278" sqref="AC278:AD27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2">
        <v>1819</v>
      </c>
      <c r="R67" s="12">
        <v>1819</v>
      </c>
      <c r="S67" s="12">
        <v>1819</v>
      </c>
      <c r="T67" s="12">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2">
        <v>1819</v>
      </c>
      <c r="R68" s="12">
        <v>1819</v>
      </c>
      <c r="S68" s="12">
        <v>1819</v>
      </c>
      <c r="T68" s="12">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2">
        <v>1819</v>
      </c>
      <c r="R69" s="12">
        <v>1819</v>
      </c>
      <c r="S69" s="12">
        <v>1819</v>
      </c>
      <c r="T69" s="12">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2">
        <v>1819</v>
      </c>
      <c r="R70" s="12">
        <v>1819</v>
      </c>
      <c r="S70" s="12">
        <v>1819</v>
      </c>
      <c r="T70" s="12">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1174</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1</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0.03</v>
      </c>
      <c r="AD225" s="6">
        <v>0.03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0.05</v>
      </c>
      <c r="AD226" s="6">
        <v>0.05</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0.05</v>
      </c>
      <c r="AD227" s="6">
        <v>0.05</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11">
        <v>7</v>
      </c>
      <c r="AD228" s="11">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25</v>
      </c>
      <c r="AD230" s="6">
        <v>25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1174</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s="18" customFormat="1" x14ac:dyDescent="0.25">
      <c r="A258" s="15" t="s">
        <v>502</v>
      </c>
      <c r="B258" s="16">
        <v>1</v>
      </c>
      <c r="C258" s="16" t="s">
        <v>312</v>
      </c>
      <c r="D258" s="16">
        <v>150</v>
      </c>
      <c r="E258" s="16" t="s">
        <v>1162</v>
      </c>
      <c r="F258" s="17">
        <v>301</v>
      </c>
      <c r="G258" s="17">
        <v>300</v>
      </c>
      <c r="H258" s="16">
        <v>94</v>
      </c>
      <c r="I258" s="16" t="s">
        <v>1036</v>
      </c>
      <c r="J258" s="17">
        <v>-1</v>
      </c>
      <c r="K258" s="17">
        <v>-1</v>
      </c>
      <c r="L258" s="17" t="s">
        <v>56</v>
      </c>
      <c r="M258" s="15">
        <v>2</v>
      </c>
      <c r="N258" s="15">
        <v>1</v>
      </c>
      <c r="O258" s="15">
        <v>1</v>
      </c>
      <c r="P258" s="15">
        <v>1</v>
      </c>
      <c r="Q258" s="16">
        <v>1819</v>
      </c>
      <c r="R258" s="16">
        <v>1819</v>
      </c>
      <c r="S258" s="16">
        <v>1819</v>
      </c>
      <c r="T258" s="16">
        <v>1819</v>
      </c>
      <c r="U258" s="16">
        <v>1819</v>
      </c>
      <c r="V258" s="17">
        <v>-1</v>
      </c>
      <c r="W258" s="17">
        <v>-1</v>
      </c>
      <c r="X258" s="16">
        <v>0</v>
      </c>
      <c r="Y258" s="16">
        <v>2</v>
      </c>
      <c r="Z258" s="16">
        <v>3672</v>
      </c>
      <c r="AA258" s="16">
        <v>1</v>
      </c>
      <c r="AB258" s="16">
        <v>76</v>
      </c>
      <c r="AC258" s="16">
        <v>1</v>
      </c>
      <c r="AD258" s="16">
        <v>1</v>
      </c>
      <c r="AE258" s="16">
        <v>-1</v>
      </c>
      <c r="AF258" s="16">
        <v>-1</v>
      </c>
      <c r="AG258" s="16">
        <v>-1</v>
      </c>
      <c r="AH258" s="16">
        <v>-1</v>
      </c>
      <c r="AI258" s="16">
        <v>-1</v>
      </c>
      <c r="AJ258" s="16">
        <v>-1</v>
      </c>
      <c r="AK258" s="16">
        <v>-1</v>
      </c>
      <c r="AL258" s="16">
        <v>-1</v>
      </c>
      <c r="AM258" s="16">
        <v>-1</v>
      </c>
      <c r="AN258" s="16">
        <v>-1</v>
      </c>
      <c r="AO258" s="16">
        <v>-1</v>
      </c>
      <c r="AP258" s="16">
        <v>-1</v>
      </c>
      <c r="AQ258" s="16">
        <v>1</v>
      </c>
      <c r="AR258" s="16">
        <v>0</v>
      </c>
      <c r="AS258" s="16">
        <v>0</v>
      </c>
      <c r="AT258" s="16">
        <v>1</v>
      </c>
      <c r="AU258" s="17">
        <v>1</v>
      </c>
      <c r="AV258" s="17" t="str">
        <f t="shared" si="3"/>
        <v>tircha01</v>
      </c>
      <c r="AW258" s="16">
        <v>1</v>
      </c>
      <c r="AX258" s="16">
        <v>0</v>
      </c>
      <c r="AY258" s="16">
        <v>1</v>
      </c>
      <c r="AZ258" s="17"/>
    </row>
    <row r="259" spans="1:52" s="18" customFormat="1" x14ac:dyDescent="0.25">
      <c r="A259" s="15" t="s">
        <v>503</v>
      </c>
      <c r="B259" s="16">
        <v>1</v>
      </c>
      <c r="C259" s="16" t="s">
        <v>314</v>
      </c>
      <c r="D259" s="16">
        <v>151</v>
      </c>
      <c r="E259" s="16" t="s">
        <v>1163</v>
      </c>
      <c r="F259" s="17">
        <v>301</v>
      </c>
      <c r="G259" s="17">
        <v>300</v>
      </c>
      <c r="H259" s="16">
        <v>95</v>
      </c>
      <c r="I259" s="16" t="s">
        <v>1036</v>
      </c>
      <c r="J259" s="17">
        <v>-1</v>
      </c>
      <c r="K259" s="17">
        <v>-1</v>
      </c>
      <c r="L259" s="17" t="s">
        <v>56</v>
      </c>
      <c r="M259" s="15">
        <v>2</v>
      </c>
      <c r="N259" s="15">
        <v>1</v>
      </c>
      <c r="O259" s="15">
        <v>1</v>
      </c>
      <c r="P259" s="15">
        <v>1</v>
      </c>
      <c r="Q259" s="16">
        <v>1819</v>
      </c>
      <c r="R259" s="16">
        <v>1819</v>
      </c>
      <c r="S259" s="16">
        <v>1819</v>
      </c>
      <c r="T259" s="16">
        <v>1819</v>
      </c>
      <c r="U259" s="16">
        <v>1819</v>
      </c>
      <c r="V259" s="17">
        <v>-1</v>
      </c>
      <c r="W259" s="17">
        <v>-1</v>
      </c>
      <c r="X259" s="16">
        <v>0</v>
      </c>
      <c r="Y259" s="16">
        <v>2</v>
      </c>
      <c r="Z259" s="16">
        <v>3673</v>
      </c>
      <c r="AA259" s="16">
        <v>1</v>
      </c>
      <c r="AB259" s="16">
        <v>41</v>
      </c>
      <c r="AC259" s="16">
        <v>1</v>
      </c>
      <c r="AD259" s="16">
        <v>1</v>
      </c>
      <c r="AE259" s="16">
        <v>-1</v>
      </c>
      <c r="AF259" s="16">
        <v>-1</v>
      </c>
      <c r="AG259" s="16">
        <v>-1</v>
      </c>
      <c r="AH259" s="16">
        <v>-1</v>
      </c>
      <c r="AI259" s="16">
        <v>-1</v>
      </c>
      <c r="AJ259" s="16">
        <v>-1</v>
      </c>
      <c r="AK259" s="16">
        <v>-1</v>
      </c>
      <c r="AL259" s="16">
        <v>-1</v>
      </c>
      <c r="AM259" s="16">
        <v>-1</v>
      </c>
      <c r="AN259" s="16">
        <v>-1</v>
      </c>
      <c r="AO259" s="16">
        <v>-1</v>
      </c>
      <c r="AP259" s="16">
        <v>-1</v>
      </c>
      <c r="AQ259" s="16">
        <v>1</v>
      </c>
      <c r="AR259" s="16">
        <v>0</v>
      </c>
      <c r="AS259" s="16">
        <v>0</v>
      </c>
      <c r="AT259" s="16">
        <v>1</v>
      </c>
      <c r="AU259" s="17">
        <v>1</v>
      </c>
      <c r="AV259" s="17" t="str">
        <f t="shared" si="3"/>
        <v>tircha02</v>
      </c>
      <c r="AW259" s="16">
        <v>1</v>
      </c>
      <c r="AX259" s="16">
        <v>0</v>
      </c>
      <c r="AY259" s="16">
        <v>1</v>
      </c>
      <c r="AZ259" s="17"/>
    </row>
    <row r="260" spans="1:52" s="18" customFormat="1" x14ac:dyDescent="0.25">
      <c r="A260" s="15" t="s">
        <v>504</v>
      </c>
      <c r="B260" s="16">
        <v>1</v>
      </c>
      <c r="C260" s="16" t="s">
        <v>320</v>
      </c>
      <c r="D260" s="16">
        <v>152</v>
      </c>
      <c r="E260" s="16" t="s">
        <v>1164</v>
      </c>
      <c r="F260" s="17">
        <v>301</v>
      </c>
      <c r="G260" s="17">
        <v>300</v>
      </c>
      <c r="H260" s="16">
        <v>98</v>
      </c>
      <c r="I260" s="16" t="s">
        <v>1036</v>
      </c>
      <c r="J260" s="17">
        <v>-1</v>
      </c>
      <c r="K260" s="17">
        <v>-1</v>
      </c>
      <c r="L260" s="17" t="s">
        <v>56</v>
      </c>
      <c r="M260" s="15">
        <v>2</v>
      </c>
      <c r="N260" s="15">
        <v>1</v>
      </c>
      <c r="O260" s="15">
        <v>1</v>
      </c>
      <c r="P260" s="15">
        <v>1</v>
      </c>
      <c r="Q260" s="16">
        <v>1819</v>
      </c>
      <c r="R260" s="16">
        <v>1819</v>
      </c>
      <c r="S260" s="16">
        <v>1819</v>
      </c>
      <c r="T260" s="16">
        <v>1819</v>
      </c>
      <c r="U260" s="16">
        <v>1819</v>
      </c>
      <c r="V260" s="17">
        <v>-1</v>
      </c>
      <c r="W260" s="17">
        <v>-1</v>
      </c>
      <c r="X260" s="16">
        <v>0</v>
      </c>
      <c r="Y260" s="16">
        <v>2</v>
      </c>
      <c r="Z260" s="16">
        <v>3676</v>
      </c>
      <c r="AA260" s="16">
        <v>1</v>
      </c>
      <c r="AB260" s="16">
        <v>53</v>
      </c>
      <c r="AC260" s="16">
        <v>1</v>
      </c>
      <c r="AD260" s="16">
        <v>1</v>
      </c>
      <c r="AE260" s="16">
        <v>-1</v>
      </c>
      <c r="AF260" s="16">
        <v>-1</v>
      </c>
      <c r="AG260" s="16">
        <v>-1</v>
      </c>
      <c r="AH260" s="16">
        <v>-1</v>
      </c>
      <c r="AI260" s="16">
        <v>-1</v>
      </c>
      <c r="AJ260" s="16">
        <v>-1</v>
      </c>
      <c r="AK260" s="16">
        <v>-1</v>
      </c>
      <c r="AL260" s="16">
        <v>-1</v>
      </c>
      <c r="AM260" s="16">
        <v>-1</v>
      </c>
      <c r="AN260" s="16">
        <v>-1</v>
      </c>
      <c r="AO260" s="16">
        <v>-1</v>
      </c>
      <c r="AP260" s="16">
        <v>-1</v>
      </c>
      <c r="AQ260" s="16">
        <v>1</v>
      </c>
      <c r="AR260" s="16">
        <v>0</v>
      </c>
      <c r="AS260" s="16">
        <v>0</v>
      </c>
      <c r="AT260" s="16">
        <v>1</v>
      </c>
      <c r="AU260" s="17">
        <v>1</v>
      </c>
      <c r="AV260" s="17" t="str">
        <f t="shared" ref="AV260:AV323" si="4">"t"&amp;A260</f>
        <v>tircha03</v>
      </c>
      <c r="AW260" s="16">
        <v>1</v>
      </c>
      <c r="AX260" s="16">
        <v>0</v>
      </c>
      <c r="AY260" s="16">
        <v>1</v>
      </c>
      <c r="AZ260" s="17"/>
    </row>
    <row r="261" spans="1:52" s="18" customFormat="1" x14ac:dyDescent="0.25">
      <c r="A261" s="15" t="s">
        <v>505</v>
      </c>
      <c r="B261" s="16">
        <v>1</v>
      </c>
      <c r="C261" s="16" t="s">
        <v>326</v>
      </c>
      <c r="D261" s="16">
        <v>153</v>
      </c>
      <c r="E261" s="16" t="s">
        <v>1165</v>
      </c>
      <c r="F261" s="17">
        <v>301</v>
      </c>
      <c r="G261" s="17">
        <v>300</v>
      </c>
      <c r="H261" s="16">
        <v>101</v>
      </c>
      <c r="I261" s="16" t="s">
        <v>1036</v>
      </c>
      <c r="J261" s="17">
        <v>-1</v>
      </c>
      <c r="K261" s="17">
        <v>-1</v>
      </c>
      <c r="L261" s="17" t="s">
        <v>56</v>
      </c>
      <c r="M261" s="15">
        <v>2</v>
      </c>
      <c r="N261" s="15">
        <v>1</v>
      </c>
      <c r="O261" s="15">
        <v>1</v>
      </c>
      <c r="P261" s="15">
        <v>1</v>
      </c>
      <c r="Q261" s="16">
        <v>1819</v>
      </c>
      <c r="R261" s="16">
        <v>1819</v>
      </c>
      <c r="S261" s="16">
        <v>1819</v>
      </c>
      <c r="T261" s="16">
        <v>1819</v>
      </c>
      <c r="U261" s="16">
        <v>1819</v>
      </c>
      <c r="V261" s="17">
        <v>-1</v>
      </c>
      <c r="W261" s="17">
        <v>-1</v>
      </c>
      <c r="X261" s="16">
        <v>0</v>
      </c>
      <c r="Y261" s="16">
        <v>2</v>
      </c>
      <c r="Z261" s="16">
        <v>3679</v>
      </c>
      <c r="AA261" s="16">
        <v>1</v>
      </c>
      <c r="AB261" s="16">
        <v>77</v>
      </c>
      <c r="AC261" s="16">
        <v>0.30000001192092896</v>
      </c>
      <c r="AD261" s="16">
        <v>0.30000001192092896</v>
      </c>
      <c r="AE261" s="16">
        <v>-1</v>
      </c>
      <c r="AF261" s="16">
        <v>-1</v>
      </c>
      <c r="AG261" s="16">
        <v>-1</v>
      </c>
      <c r="AH261" s="16">
        <v>-1</v>
      </c>
      <c r="AI261" s="16">
        <v>-1</v>
      </c>
      <c r="AJ261" s="16">
        <v>-1</v>
      </c>
      <c r="AK261" s="16">
        <v>-1</v>
      </c>
      <c r="AL261" s="16">
        <v>-1</v>
      </c>
      <c r="AM261" s="16">
        <v>-1</v>
      </c>
      <c r="AN261" s="16">
        <v>-1</v>
      </c>
      <c r="AO261" s="16">
        <v>-1</v>
      </c>
      <c r="AP261" s="16">
        <v>-1</v>
      </c>
      <c r="AQ261" s="16">
        <v>1</v>
      </c>
      <c r="AR261" s="16">
        <v>0</v>
      </c>
      <c r="AS261" s="16">
        <v>0</v>
      </c>
      <c r="AT261" s="16">
        <v>1</v>
      </c>
      <c r="AU261" s="17">
        <v>1</v>
      </c>
      <c r="AV261" s="17" t="str">
        <f t="shared" si="4"/>
        <v>tircha04</v>
      </c>
      <c r="AW261" s="16">
        <v>1</v>
      </c>
      <c r="AX261" s="16">
        <v>0</v>
      </c>
      <c r="AY261" s="16">
        <v>1</v>
      </c>
      <c r="AZ261" s="17"/>
    </row>
    <row r="262" spans="1:52" s="18" customFormat="1" x14ac:dyDescent="0.25">
      <c r="A262" s="15" t="s">
        <v>506</v>
      </c>
      <c r="B262" s="16">
        <v>1</v>
      </c>
      <c r="C262" s="16" t="s">
        <v>328</v>
      </c>
      <c r="D262" s="16">
        <v>154</v>
      </c>
      <c r="E262" s="16" t="s">
        <v>1166</v>
      </c>
      <c r="F262" s="17">
        <v>301</v>
      </c>
      <c r="G262" s="17">
        <v>300</v>
      </c>
      <c r="H262" s="16">
        <v>102</v>
      </c>
      <c r="I262" s="16" t="s">
        <v>1036</v>
      </c>
      <c r="J262" s="17">
        <v>-1</v>
      </c>
      <c r="K262" s="17">
        <v>-1</v>
      </c>
      <c r="L262" s="17" t="s">
        <v>56</v>
      </c>
      <c r="M262" s="15">
        <v>2</v>
      </c>
      <c r="N262" s="15">
        <v>1</v>
      </c>
      <c r="O262" s="15">
        <v>1</v>
      </c>
      <c r="P262" s="15">
        <v>1</v>
      </c>
      <c r="Q262" s="16">
        <v>1819</v>
      </c>
      <c r="R262" s="16">
        <v>1819</v>
      </c>
      <c r="S262" s="16">
        <v>1819</v>
      </c>
      <c r="T262" s="16">
        <v>1819</v>
      </c>
      <c r="U262" s="16">
        <v>1819</v>
      </c>
      <c r="V262" s="17">
        <v>-1</v>
      </c>
      <c r="W262" s="17">
        <v>-1</v>
      </c>
      <c r="X262" s="16">
        <v>0</v>
      </c>
      <c r="Y262" s="16">
        <v>2</v>
      </c>
      <c r="Z262" s="16">
        <v>3680</v>
      </c>
      <c r="AA262" s="16">
        <v>1</v>
      </c>
      <c r="AB262" s="16">
        <v>12</v>
      </c>
      <c r="AC262" s="16">
        <v>0.03</v>
      </c>
      <c r="AD262" s="16">
        <v>0.03</v>
      </c>
      <c r="AE262" s="16">
        <v>-1</v>
      </c>
      <c r="AF262" s="16">
        <v>-1</v>
      </c>
      <c r="AG262" s="16">
        <v>-1</v>
      </c>
      <c r="AH262" s="16">
        <v>-1</v>
      </c>
      <c r="AI262" s="16">
        <v>-1</v>
      </c>
      <c r="AJ262" s="16">
        <v>-1</v>
      </c>
      <c r="AK262" s="16">
        <v>-1</v>
      </c>
      <c r="AL262" s="16">
        <v>-1</v>
      </c>
      <c r="AM262" s="16">
        <v>-1</v>
      </c>
      <c r="AN262" s="16">
        <v>-1</v>
      </c>
      <c r="AO262" s="16">
        <v>-1</v>
      </c>
      <c r="AP262" s="16">
        <v>-1</v>
      </c>
      <c r="AQ262" s="16">
        <v>1</v>
      </c>
      <c r="AR262" s="16">
        <v>0</v>
      </c>
      <c r="AS262" s="16">
        <v>0</v>
      </c>
      <c r="AT262" s="16">
        <v>1</v>
      </c>
      <c r="AU262" s="17">
        <v>1</v>
      </c>
      <c r="AV262" s="17" t="str">
        <f t="shared" si="4"/>
        <v>tircha05</v>
      </c>
      <c r="AW262" s="16">
        <v>1</v>
      </c>
      <c r="AX262" s="16">
        <v>0</v>
      </c>
      <c r="AY262" s="16">
        <v>1</v>
      </c>
      <c r="AZ262" s="17"/>
    </row>
    <row r="263" spans="1:52" s="18" customFormat="1" x14ac:dyDescent="0.25">
      <c r="A263" s="15" t="s">
        <v>507</v>
      </c>
      <c r="B263" s="16">
        <v>1</v>
      </c>
      <c r="C263" s="16" t="s">
        <v>330</v>
      </c>
      <c r="D263" s="16">
        <v>155</v>
      </c>
      <c r="E263" s="16" t="s">
        <v>1167</v>
      </c>
      <c r="F263" s="17">
        <v>301</v>
      </c>
      <c r="G263" s="17">
        <v>300</v>
      </c>
      <c r="H263" s="16">
        <v>103</v>
      </c>
      <c r="I263" s="16" t="s">
        <v>1037</v>
      </c>
      <c r="J263" s="17">
        <v>-1</v>
      </c>
      <c r="K263" s="17">
        <v>-1</v>
      </c>
      <c r="L263" s="17" t="s">
        <v>56</v>
      </c>
      <c r="M263" s="15">
        <v>2</v>
      </c>
      <c r="N263" s="15">
        <v>1</v>
      </c>
      <c r="O263" s="15">
        <v>1</v>
      </c>
      <c r="P263" s="15">
        <v>1</v>
      </c>
      <c r="Q263" s="16">
        <v>1819</v>
      </c>
      <c r="R263" s="16">
        <v>1819</v>
      </c>
      <c r="S263" s="16">
        <v>1819</v>
      </c>
      <c r="T263" s="16">
        <v>1819</v>
      </c>
      <c r="U263" s="16">
        <v>1819</v>
      </c>
      <c r="V263" s="17">
        <v>-1</v>
      </c>
      <c r="W263" s="17">
        <v>-1</v>
      </c>
      <c r="X263" s="16">
        <v>0</v>
      </c>
      <c r="Y263" s="16">
        <v>2</v>
      </c>
      <c r="Z263" s="16">
        <v>3681</v>
      </c>
      <c r="AA263" s="16">
        <v>1</v>
      </c>
      <c r="AB263" s="16">
        <v>33</v>
      </c>
      <c r="AC263" s="16">
        <v>0.10000000149011612</v>
      </c>
      <c r="AD263" s="16">
        <v>0.10000000149011612</v>
      </c>
      <c r="AE263" s="16">
        <v>-1</v>
      </c>
      <c r="AF263" s="16">
        <v>-1</v>
      </c>
      <c r="AG263" s="16">
        <v>-1</v>
      </c>
      <c r="AH263" s="16">
        <v>-1</v>
      </c>
      <c r="AI263" s="16">
        <v>-1</v>
      </c>
      <c r="AJ263" s="16">
        <v>-1</v>
      </c>
      <c r="AK263" s="16">
        <v>-1</v>
      </c>
      <c r="AL263" s="16">
        <v>-1</v>
      </c>
      <c r="AM263" s="16">
        <v>-1</v>
      </c>
      <c r="AN263" s="16">
        <v>-1</v>
      </c>
      <c r="AO263" s="16">
        <v>-1</v>
      </c>
      <c r="AP263" s="16">
        <v>-1</v>
      </c>
      <c r="AQ263" s="16">
        <v>1</v>
      </c>
      <c r="AR263" s="16">
        <v>0</v>
      </c>
      <c r="AS263" s="16">
        <v>0</v>
      </c>
      <c r="AT263" s="16">
        <v>1</v>
      </c>
      <c r="AU263" s="17">
        <v>1</v>
      </c>
      <c r="AV263" s="17" t="str">
        <f t="shared" si="4"/>
        <v>tircha06</v>
      </c>
      <c r="AW263" s="16">
        <v>1</v>
      </c>
      <c r="AX263" s="16">
        <v>0</v>
      </c>
      <c r="AY263" s="16">
        <v>1</v>
      </c>
      <c r="AZ263" s="17"/>
    </row>
    <row r="264" spans="1:52" s="18" customFormat="1" x14ac:dyDescent="0.25">
      <c r="A264" s="15" t="s">
        <v>508</v>
      </c>
      <c r="B264" s="16">
        <v>1</v>
      </c>
      <c r="C264" s="16" t="s">
        <v>332</v>
      </c>
      <c r="D264" s="16">
        <v>156</v>
      </c>
      <c r="E264" s="16" t="s">
        <v>1168</v>
      </c>
      <c r="F264" s="17">
        <v>301</v>
      </c>
      <c r="G264" s="17">
        <v>300</v>
      </c>
      <c r="H264" s="16">
        <v>104</v>
      </c>
      <c r="I264" s="16" t="s">
        <v>1036</v>
      </c>
      <c r="J264" s="17">
        <v>-1</v>
      </c>
      <c r="K264" s="17">
        <v>-1</v>
      </c>
      <c r="L264" s="17" t="s">
        <v>56</v>
      </c>
      <c r="M264" s="15">
        <v>2</v>
      </c>
      <c r="N264" s="15">
        <v>1</v>
      </c>
      <c r="O264" s="15">
        <v>1</v>
      </c>
      <c r="P264" s="15">
        <v>1</v>
      </c>
      <c r="Q264" s="16">
        <v>1819</v>
      </c>
      <c r="R264" s="16">
        <v>1819</v>
      </c>
      <c r="S264" s="16">
        <v>1819</v>
      </c>
      <c r="T264" s="16">
        <v>1819</v>
      </c>
      <c r="U264" s="16">
        <v>1819</v>
      </c>
      <c r="V264" s="17">
        <v>-1</v>
      </c>
      <c r="W264" s="17">
        <v>-1</v>
      </c>
      <c r="X264" s="16">
        <v>0</v>
      </c>
      <c r="Y264" s="16">
        <v>0</v>
      </c>
      <c r="Z264" s="16">
        <v>3682</v>
      </c>
      <c r="AA264" s="16">
        <v>1</v>
      </c>
      <c r="AB264" s="16">
        <v>18</v>
      </c>
      <c r="AC264" s="16">
        <v>0.05</v>
      </c>
      <c r="AD264" s="16">
        <v>0.05</v>
      </c>
      <c r="AE264" s="16">
        <v>-1</v>
      </c>
      <c r="AF264" s="16">
        <v>-1</v>
      </c>
      <c r="AG264" s="16">
        <v>-1</v>
      </c>
      <c r="AH264" s="16">
        <v>-1</v>
      </c>
      <c r="AI264" s="16">
        <v>-1</v>
      </c>
      <c r="AJ264" s="16">
        <v>-1</v>
      </c>
      <c r="AK264" s="16">
        <v>-1</v>
      </c>
      <c r="AL264" s="16">
        <v>-1</v>
      </c>
      <c r="AM264" s="16">
        <v>-1</v>
      </c>
      <c r="AN264" s="16">
        <v>-1</v>
      </c>
      <c r="AO264" s="16">
        <v>-1</v>
      </c>
      <c r="AP264" s="16">
        <v>-1</v>
      </c>
      <c r="AQ264" s="16">
        <v>1</v>
      </c>
      <c r="AR264" s="16">
        <v>0</v>
      </c>
      <c r="AS264" s="16">
        <v>0</v>
      </c>
      <c r="AT264" s="16">
        <v>1</v>
      </c>
      <c r="AU264" s="17">
        <v>1</v>
      </c>
      <c r="AV264" s="17" t="str">
        <f t="shared" si="4"/>
        <v>tircha07</v>
      </c>
      <c r="AW264" s="16">
        <v>1</v>
      </c>
      <c r="AX264" s="16">
        <v>0</v>
      </c>
      <c r="AY264" s="16">
        <v>1</v>
      </c>
      <c r="AZ264" s="17"/>
    </row>
    <row r="265" spans="1:52" s="18" customFormat="1" x14ac:dyDescent="0.25">
      <c r="A265" s="15" t="s">
        <v>509</v>
      </c>
      <c r="B265" s="16">
        <v>1</v>
      </c>
      <c r="C265" s="16" t="s">
        <v>334</v>
      </c>
      <c r="D265" s="16">
        <v>157</v>
      </c>
      <c r="E265" s="16" t="s">
        <v>1169</v>
      </c>
      <c r="F265" s="17">
        <v>301</v>
      </c>
      <c r="G265" s="17">
        <v>300</v>
      </c>
      <c r="H265" s="16">
        <v>105</v>
      </c>
      <c r="I265" s="16" t="s">
        <v>1036</v>
      </c>
      <c r="J265" s="17">
        <v>-1</v>
      </c>
      <c r="K265" s="17">
        <v>-1</v>
      </c>
      <c r="L265" s="17" t="s">
        <v>56</v>
      </c>
      <c r="M265" s="15">
        <v>2</v>
      </c>
      <c r="N265" s="15">
        <v>1</v>
      </c>
      <c r="O265" s="15">
        <v>1</v>
      </c>
      <c r="P265" s="15">
        <v>1</v>
      </c>
      <c r="Q265" s="16">
        <v>1819</v>
      </c>
      <c r="R265" s="16">
        <v>1819</v>
      </c>
      <c r="S265" s="16">
        <v>1819</v>
      </c>
      <c r="T265" s="16">
        <v>1819</v>
      </c>
      <c r="U265" s="16">
        <v>1819</v>
      </c>
      <c r="V265" s="17">
        <v>-1</v>
      </c>
      <c r="W265" s="17">
        <v>-1</v>
      </c>
      <c r="X265" s="16">
        <v>0</v>
      </c>
      <c r="Y265" s="16">
        <v>1</v>
      </c>
      <c r="Z265" s="16">
        <v>3683</v>
      </c>
      <c r="AA265" s="16">
        <v>1</v>
      </c>
      <c r="AB265" s="16">
        <v>24</v>
      </c>
      <c r="AC265" s="16">
        <v>0.05</v>
      </c>
      <c r="AD265" s="16">
        <v>0.05</v>
      </c>
      <c r="AE265" s="16">
        <v>-1</v>
      </c>
      <c r="AF265" s="16">
        <v>-1</v>
      </c>
      <c r="AG265" s="16">
        <v>-1</v>
      </c>
      <c r="AH265" s="16">
        <v>-1</v>
      </c>
      <c r="AI265" s="16">
        <v>-1</v>
      </c>
      <c r="AJ265" s="16">
        <v>-1</v>
      </c>
      <c r="AK265" s="16">
        <v>-1</v>
      </c>
      <c r="AL265" s="16">
        <v>-1</v>
      </c>
      <c r="AM265" s="16">
        <v>-1</v>
      </c>
      <c r="AN265" s="16">
        <v>-1</v>
      </c>
      <c r="AO265" s="16">
        <v>-1</v>
      </c>
      <c r="AP265" s="16">
        <v>-1</v>
      </c>
      <c r="AQ265" s="16">
        <v>1</v>
      </c>
      <c r="AR265" s="16">
        <v>0</v>
      </c>
      <c r="AS265" s="16">
        <v>0</v>
      </c>
      <c r="AT265" s="16">
        <v>1</v>
      </c>
      <c r="AU265" s="17">
        <v>1</v>
      </c>
      <c r="AV265" s="17" t="str">
        <f t="shared" si="4"/>
        <v>tircha08</v>
      </c>
      <c r="AW265" s="16">
        <v>1</v>
      </c>
      <c r="AX265" s="16">
        <v>0</v>
      </c>
      <c r="AY265" s="16">
        <v>1</v>
      </c>
      <c r="AZ265" s="17"/>
    </row>
    <row r="266" spans="1:52" s="18" customFormat="1" x14ac:dyDescent="0.25">
      <c r="A266" s="15" t="s">
        <v>510</v>
      </c>
      <c r="B266" s="16">
        <v>1</v>
      </c>
      <c r="C266" s="16" t="s">
        <v>338</v>
      </c>
      <c r="D266" s="16">
        <v>158</v>
      </c>
      <c r="E266" s="16" t="s">
        <v>1170</v>
      </c>
      <c r="F266" s="17">
        <v>301</v>
      </c>
      <c r="G266" s="17">
        <v>300</v>
      </c>
      <c r="H266" s="16">
        <v>107</v>
      </c>
      <c r="I266" s="16" t="s">
        <v>1036</v>
      </c>
      <c r="J266" s="17">
        <v>-1</v>
      </c>
      <c r="K266" s="17">
        <v>-1</v>
      </c>
      <c r="L266" s="17" t="s">
        <v>56</v>
      </c>
      <c r="M266" s="15">
        <v>2</v>
      </c>
      <c r="N266" s="15">
        <v>1</v>
      </c>
      <c r="O266" s="15">
        <v>1</v>
      </c>
      <c r="P266" s="15">
        <v>1</v>
      </c>
      <c r="Q266" s="16">
        <v>1819</v>
      </c>
      <c r="R266" s="16">
        <v>1819</v>
      </c>
      <c r="S266" s="16">
        <v>1819</v>
      </c>
      <c r="T266" s="16">
        <v>1819</v>
      </c>
      <c r="U266" s="16">
        <v>1819</v>
      </c>
      <c r="V266" s="17">
        <v>-1</v>
      </c>
      <c r="W266" s="17">
        <v>-1</v>
      </c>
      <c r="X266" s="16">
        <v>0</v>
      </c>
      <c r="Y266" s="16">
        <v>2</v>
      </c>
      <c r="Z266" s="16">
        <v>3685</v>
      </c>
      <c r="AA266" s="16">
        <v>2</v>
      </c>
      <c r="AB266" s="16">
        <v>48</v>
      </c>
      <c r="AC266" s="11">
        <v>7</v>
      </c>
      <c r="AD266" s="11">
        <v>21</v>
      </c>
      <c r="AE266" s="16">
        <v>78</v>
      </c>
      <c r="AF266" s="16">
        <v>10</v>
      </c>
      <c r="AG266" s="16">
        <v>30</v>
      </c>
      <c r="AH266" s="16">
        <v>-1</v>
      </c>
      <c r="AI266" s="16">
        <v>-1</v>
      </c>
      <c r="AJ266" s="16">
        <v>-1</v>
      </c>
      <c r="AK266" s="16">
        <v>-1</v>
      </c>
      <c r="AL266" s="16">
        <v>-1</v>
      </c>
      <c r="AM266" s="16">
        <v>-1</v>
      </c>
      <c r="AN266" s="16">
        <v>-1</v>
      </c>
      <c r="AO266" s="16">
        <v>-1</v>
      </c>
      <c r="AP266" s="16">
        <v>-1</v>
      </c>
      <c r="AQ266" s="16">
        <v>1</v>
      </c>
      <c r="AR266" s="16">
        <v>0</v>
      </c>
      <c r="AS266" s="16">
        <v>0</v>
      </c>
      <c r="AT266" s="16">
        <v>1</v>
      </c>
      <c r="AU266" s="17">
        <v>1</v>
      </c>
      <c r="AV266" s="17" t="str">
        <f t="shared" si="4"/>
        <v>tircha09</v>
      </c>
      <c r="AW266" s="16">
        <v>1</v>
      </c>
      <c r="AX266" s="16">
        <v>0</v>
      </c>
      <c r="AY266" s="16">
        <v>1</v>
      </c>
      <c r="AZ266" s="17"/>
    </row>
    <row r="267" spans="1:52" s="18" customFormat="1" x14ac:dyDescent="0.25">
      <c r="A267" s="15" t="s">
        <v>511</v>
      </c>
      <c r="B267" s="16">
        <v>1</v>
      </c>
      <c r="C267" s="16" t="s">
        <v>340</v>
      </c>
      <c r="D267" s="16">
        <v>159</v>
      </c>
      <c r="E267" s="16" t="s">
        <v>1171</v>
      </c>
      <c r="F267" s="17">
        <v>301</v>
      </c>
      <c r="G267" s="17">
        <v>300</v>
      </c>
      <c r="H267" s="16">
        <v>108</v>
      </c>
      <c r="I267" s="16" t="s">
        <v>1038</v>
      </c>
      <c r="J267" s="17">
        <v>-1</v>
      </c>
      <c r="K267" s="17">
        <v>-1</v>
      </c>
      <c r="L267" s="17" t="s">
        <v>56</v>
      </c>
      <c r="M267" s="15">
        <v>2</v>
      </c>
      <c r="N267" s="15">
        <v>1</v>
      </c>
      <c r="O267" s="15">
        <v>1</v>
      </c>
      <c r="P267" s="15">
        <v>1</v>
      </c>
      <c r="Q267" s="16">
        <v>1819</v>
      </c>
      <c r="R267" s="16">
        <v>1819</v>
      </c>
      <c r="S267" s="16">
        <v>1819</v>
      </c>
      <c r="T267" s="16">
        <v>1819</v>
      </c>
      <c r="U267" s="16">
        <v>1819</v>
      </c>
      <c r="V267" s="17">
        <v>-1</v>
      </c>
      <c r="W267" s="17">
        <v>-1</v>
      </c>
      <c r="X267" s="16">
        <v>0</v>
      </c>
      <c r="Y267" s="16">
        <v>2</v>
      </c>
      <c r="Z267" s="16">
        <v>3686</v>
      </c>
      <c r="AA267" s="16">
        <v>1</v>
      </c>
      <c r="AB267" s="16">
        <v>29</v>
      </c>
      <c r="AC267" s="16">
        <v>0.10000000149011612</v>
      </c>
      <c r="AD267" s="16">
        <v>0.10000000149011612</v>
      </c>
      <c r="AE267" s="16">
        <v>-1</v>
      </c>
      <c r="AF267" s="16">
        <v>-1</v>
      </c>
      <c r="AG267" s="16">
        <v>-1</v>
      </c>
      <c r="AH267" s="16">
        <v>-1</v>
      </c>
      <c r="AI267" s="16">
        <v>-1</v>
      </c>
      <c r="AJ267" s="16">
        <v>-1</v>
      </c>
      <c r="AK267" s="16">
        <v>-1</v>
      </c>
      <c r="AL267" s="16">
        <v>-1</v>
      </c>
      <c r="AM267" s="16">
        <v>-1</v>
      </c>
      <c r="AN267" s="16">
        <v>-1</v>
      </c>
      <c r="AO267" s="16">
        <v>-1</v>
      </c>
      <c r="AP267" s="16">
        <v>-1</v>
      </c>
      <c r="AQ267" s="16">
        <v>1</v>
      </c>
      <c r="AR267" s="16">
        <v>0</v>
      </c>
      <c r="AS267" s="16">
        <v>0</v>
      </c>
      <c r="AT267" s="16">
        <v>1</v>
      </c>
      <c r="AU267" s="17">
        <v>1</v>
      </c>
      <c r="AV267" s="17" t="str">
        <f t="shared" si="4"/>
        <v>tircha10</v>
      </c>
      <c r="AW267" s="16">
        <v>1</v>
      </c>
      <c r="AX267" s="16">
        <v>0</v>
      </c>
      <c r="AY267" s="16">
        <v>1</v>
      </c>
      <c r="AZ267" s="17"/>
    </row>
    <row r="268" spans="1:52" s="18" customFormat="1" x14ac:dyDescent="0.25">
      <c r="A268" s="15" t="s">
        <v>512</v>
      </c>
      <c r="B268" s="16">
        <v>1</v>
      </c>
      <c r="C268" s="16" t="s">
        <v>342</v>
      </c>
      <c r="D268" s="16">
        <v>160</v>
      </c>
      <c r="E268" s="16" t="s">
        <v>1172</v>
      </c>
      <c r="F268" s="17">
        <v>301</v>
      </c>
      <c r="G268" s="17">
        <v>300</v>
      </c>
      <c r="H268" s="16">
        <v>109</v>
      </c>
      <c r="I268" s="16" t="s">
        <v>1036</v>
      </c>
      <c r="J268" s="17">
        <v>-1</v>
      </c>
      <c r="K268" s="17">
        <v>-1</v>
      </c>
      <c r="L268" s="17" t="s">
        <v>56</v>
      </c>
      <c r="M268" s="15">
        <v>2</v>
      </c>
      <c r="N268" s="15">
        <v>1</v>
      </c>
      <c r="O268" s="15">
        <v>1</v>
      </c>
      <c r="P268" s="15">
        <v>1</v>
      </c>
      <c r="Q268" s="16">
        <v>1819</v>
      </c>
      <c r="R268" s="16">
        <v>1819</v>
      </c>
      <c r="S268" s="16">
        <v>1819</v>
      </c>
      <c r="T268" s="16">
        <v>1819</v>
      </c>
      <c r="U268" s="16">
        <v>1819</v>
      </c>
      <c r="V268" s="17">
        <v>-1</v>
      </c>
      <c r="W268" s="17">
        <v>-1</v>
      </c>
      <c r="X268" s="16">
        <v>0</v>
      </c>
      <c r="Y268" s="16">
        <v>2</v>
      </c>
      <c r="Z268" s="16">
        <v>3687</v>
      </c>
      <c r="AA268" s="16">
        <v>1</v>
      </c>
      <c r="AB268" s="16">
        <v>28</v>
      </c>
      <c r="AC268" s="16">
        <v>25</v>
      </c>
      <c r="AD268" s="16">
        <v>25</v>
      </c>
      <c r="AE268" s="16">
        <v>-1</v>
      </c>
      <c r="AF268" s="16">
        <v>-1</v>
      </c>
      <c r="AG268" s="16">
        <v>-1</v>
      </c>
      <c r="AH268" s="16">
        <v>-1</v>
      </c>
      <c r="AI268" s="16">
        <v>-1</v>
      </c>
      <c r="AJ268" s="16">
        <v>-1</v>
      </c>
      <c r="AK268" s="16">
        <v>-1</v>
      </c>
      <c r="AL268" s="16">
        <v>-1</v>
      </c>
      <c r="AM268" s="16">
        <v>-1</v>
      </c>
      <c r="AN268" s="16">
        <v>-1</v>
      </c>
      <c r="AO268" s="16">
        <v>-1</v>
      </c>
      <c r="AP268" s="16">
        <v>-1</v>
      </c>
      <c r="AQ268" s="16">
        <v>1</v>
      </c>
      <c r="AR268" s="16">
        <v>0</v>
      </c>
      <c r="AS268" s="16">
        <v>0</v>
      </c>
      <c r="AT268" s="16">
        <v>1</v>
      </c>
      <c r="AU268" s="17">
        <v>1</v>
      </c>
      <c r="AV268" s="17" t="str">
        <f t="shared" si="4"/>
        <v>tircha11</v>
      </c>
      <c r="AW268" s="16">
        <v>1</v>
      </c>
      <c r="AX268" s="16">
        <v>0</v>
      </c>
      <c r="AY268" s="16">
        <v>1</v>
      </c>
      <c r="AZ268" s="17"/>
    </row>
    <row r="269" spans="1:52" s="18" customFormat="1" x14ac:dyDescent="0.25">
      <c r="A269" s="15" t="s">
        <v>513</v>
      </c>
      <c r="B269" s="16">
        <v>1</v>
      </c>
      <c r="C269" s="16" t="s">
        <v>344</v>
      </c>
      <c r="D269" s="16">
        <v>161</v>
      </c>
      <c r="E269" s="16" t="s">
        <v>1173</v>
      </c>
      <c r="F269" s="17">
        <v>301</v>
      </c>
      <c r="G269" s="17">
        <v>300</v>
      </c>
      <c r="H269" s="16">
        <v>110</v>
      </c>
      <c r="I269" s="16" t="s">
        <v>1036</v>
      </c>
      <c r="J269" s="17">
        <v>-1</v>
      </c>
      <c r="K269" s="17">
        <v>-1</v>
      </c>
      <c r="L269" s="17" t="s">
        <v>56</v>
      </c>
      <c r="M269" s="15">
        <v>2</v>
      </c>
      <c r="N269" s="15">
        <v>1</v>
      </c>
      <c r="O269" s="15">
        <v>1</v>
      </c>
      <c r="P269" s="15">
        <v>1</v>
      </c>
      <c r="Q269" s="16">
        <v>1819</v>
      </c>
      <c r="R269" s="16">
        <v>1819</v>
      </c>
      <c r="S269" s="16">
        <v>1819</v>
      </c>
      <c r="T269" s="16">
        <v>1819</v>
      </c>
      <c r="U269" s="16">
        <v>1819</v>
      </c>
      <c r="V269" s="17">
        <v>-1</v>
      </c>
      <c r="W269" s="17">
        <v>-1</v>
      </c>
      <c r="X269" s="16">
        <v>0</v>
      </c>
      <c r="Y269" s="16">
        <v>2</v>
      </c>
      <c r="Z269" s="16">
        <v>3688</v>
      </c>
      <c r="AA269" s="16">
        <v>1</v>
      </c>
      <c r="AB269" s="16">
        <v>28</v>
      </c>
      <c r="AC269" s="16">
        <v>-5</v>
      </c>
      <c r="AD269" s="16">
        <v>-5</v>
      </c>
      <c r="AE269" s="16">
        <v>-1</v>
      </c>
      <c r="AF269" s="16">
        <v>-1</v>
      </c>
      <c r="AG269" s="16">
        <v>-1</v>
      </c>
      <c r="AH269" s="16">
        <v>-1</v>
      </c>
      <c r="AI269" s="16">
        <v>-1</v>
      </c>
      <c r="AJ269" s="16">
        <v>-1</v>
      </c>
      <c r="AK269" s="16">
        <v>-1</v>
      </c>
      <c r="AL269" s="16">
        <v>-1</v>
      </c>
      <c r="AM269" s="16">
        <v>-1</v>
      </c>
      <c r="AN269" s="16">
        <v>-1</v>
      </c>
      <c r="AO269" s="16">
        <v>-1</v>
      </c>
      <c r="AP269" s="16">
        <v>-1</v>
      </c>
      <c r="AQ269" s="16">
        <v>1</v>
      </c>
      <c r="AR269" s="16">
        <v>0</v>
      </c>
      <c r="AS269" s="16">
        <v>0</v>
      </c>
      <c r="AT269" s="16">
        <v>1</v>
      </c>
      <c r="AU269" s="17">
        <v>1</v>
      </c>
      <c r="AV269" s="17" t="str">
        <f t="shared" si="4"/>
        <v>tircha12</v>
      </c>
      <c r="AW269" s="16">
        <v>1</v>
      </c>
      <c r="AX269" s="16">
        <v>0</v>
      </c>
      <c r="AY269" s="16">
        <v>1</v>
      </c>
      <c r="AZ269" s="17"/>
    </row>
    <row r="270" spans="1:52" s="14" customFormat="1" x14ac:dyDescent="0.25">
      <c r="A270" s="10" t="s">
        <v>514</v>
      </c>
      <c r="B270" s="10">
        <v>1</v>
      </c>
      <c r="C270" s="10" t="s">
        <v>312</v>
      </c>
      <c r="D270" s="10">
        <v>150</v>
      </c>
      <c r="E270" s="10" t="s">
        <v>1175</v>
      </c>
      <c r="F270" s="13">
        <v>301</v>
      </c>
      <c r="G270" s="13">
        <v>300</v>
      </c>
      <c r="H270" s="10">
        <v>94</v>
      </c>
      <c r="I270" s="10" t="s">
        <v>1036</v>
      </c>
      <c r="J270" s="13">
        <v>-1</v>
      </c>
      <c r="K270" s="13">
        <v>-1</v>
      </c>
      <c r="L270" s="13" t="s">
        <v>56</v>
      </c>
      <c r="M270" s="12">
        <v>0</v>
      </c>
      <c r="N270" s="12">
        <v>1</v>
      </c>
      <c r="O270" s="12">
        <v>1</v>
      </c>
      <c r="P270" s="12">
        <v>1</v>
      </c>
      <c r="Q270" s="10">
        <v>1</v>
      </c>
      <c r="R270" s="10">
        <v>0</v>
      </c>
      <c r="S270" s="10">
        <v>0</v>
      </c>
      <c r="T270" s="10">
        <v>0</v>
      </c>
      <c r="U270" s="10">
        <v>0</v>
      </c>
      <c r="V270" s="13">
        <v>-1</v>
      </c>
      <c r="W270" s="13">
        <v>-1</v>
      </c>
      <c r="X270" s="10">
        <v>0</v>
      </c>
      <c r="Y270" s="10">
        <v>2</v>
      </c>
      <c r="Z270" s="10">
        <v>3672</v>
      </c>
      <c r="AA270" s="10">
        <v>1</v>
      </c>
      <c r="AB270" s="10">
        <v>76</v>
      </c>
      <c r="AC270" s="10">
        <v>1</v>
      </c>
      <c r="AD270" s="10">
        <v>1</v>
      </c>
      <c r="AE270" s="10">
        <v>-1</v>
      </c>
      <c r="AF270" s="10">
        <v>-1</v>
      </c>
      <c r="AG270" s="10">
        <v>-1</v>
      </c>
      <c r="AH270" s="10">
        <v>-1</v>
      </c>
      <c r="AI270" s="10">
        <v>-1</v>
      </c>
      <c r="AJ270" s="10">
        <v>-1</v>
      </c>
      <c r="AK270" s="10">
        <v>-1</v>
      </c>
      <c r="AL270" s="10">
        <v>-1</v>
      </c>
      <c r="AM270" s="10">
        <v>-1</v>
      </c>
      <c r="AN270" s="10">
        <v>-1</v>
      </c>
      <c r="AO270" s="10">
        <v>-1</v>
      </c>
      <c r="AP270" s="10">
        <v>-1</v>
      </c>
      <c r="AQ270" s="10">
        <v>1</v>
      </c>
      <c r="AR270" s="10">
        <v>0</v>
      </c>
      <c r="AS270" s="10">
        <v>0</v>
      </c>
      <c r="AT270" s="10">
        <v>1</v>
      </c>
      <c r="AU270" s="13">
        <v>1</v>
      </c>
      <c r="AV270" s="13" t="str">
        <f t="shared" si="4"/>
        <v>tircha13</v>
      </c>
      <c r="AW270" s="10">
        <v>1</v>
      </c>
      <c r="AX270" s="10">
        <v>0</v>
      </c>
      <c r="AY270" s="10">
        <v>1</v>
      </c>
      <c r="AZ270" s="13"/>
    </row>
    <row r="271" spans="1:52" s="14" customFormat="1" x14ac:dyDescent="0.25">
      <c r="A271" s="10" t="s">
        <v>515</v>
      </c>
      <c r="B271" s="10">
        <v>1</v>
      </c>
      <c r="C271" s="10" t="s">
        <v>314</v>
      </c>
      <c r="D271" s="10">
        <v>151</v>
      </c>
      <c r="E271" s="10" t="s">
        <v>1176</v>
      </c>
      <c r="F271" s="13">
        <v>301</v>
      </c>
      <c r="G271" s="13">
        <v>300</v>
      </c>
      <c r="H271" s="10">
        <v>95</v>
      </c>
      <c r="I271" s="10" t="s">
        <v>1036</v>
      </c>
      <c r="J271" s="13">
        <v>-1</v>
      </c>
      <c r="K271" s="13">
        <v>-1</v>
      </c>
      <c r="L271" s="13" t="s">
        <v>56</v>
      </c>
      <c r="M271" s="12">
        <v>0</v>
      </c>
      <c r="N271" s="12">
        <v>1</v>
      </c>
      <c r="O271" s="12">
        <v>1</v>
      </c>
      <c r="P271" s="12">
        <v>1</v>
      </c>
      <c r="Q271" s="10">
        <v>1</v>
      </c>
      <c r="R271" s="10">
        <v>0</v>
      </c>
      <c r="S271" s="10">
        <v>0</v>
      </c>
      <c r="T271" s="10">
        <v>0</v>
      </c>
      <c r="U271" s="10">
        <v>0</v>
      </c>
      <c r="V271" s="13">
        <v>-1</v>
      </c>
      <c r="W271" s="13">
        <v>-1</v>
      </c>
      <c r="X271" s="10">
        <v>0</v>
      </c>
      <c r="Y271" s="10">
        <v>2</v>
      </c>
      <c r="Z271" s="10">
        <v>3673</v>
      </c>
      <c r="AA271" s="10">
        <v>1</v>
      </c>
      <c r="AB271" s="10">
        <v>41</v>
      </c>
      <c r="AC271" s="10">
        <v>1</v>
      </c>
      <c r="AD271" s="10">
        <v>1</v>
      </c>
      <c r="AE271" s="10">
        <v>-1</v>
      </c>
      <c r="AF271" s="10">
        <v>-1</v>
      </c>
      <c r="AG271" s="10">
        <v>-1</v>
      </c>
      <c r="AH271" s="10">
        <v>-1</v>
      </c>
      <c r="AI271" s="10">
        <v>-1</v>
      </c>
      <c r="AJ271" s="10">
        <v>-1</v>
      </c>
      <c r="AK271" s="10">
        <v>-1</v>
      </c>
      <c r="AL271" s="10">
        <v>-1</v>
      </c>
      <c r="AM271" s="10">
        <v>-1</v>
      </c>
      <c r="AN271" s="10">
        <v>-1</v>
      </c>
      <c r="AO271" s="10">
        <v>-1</v>
      </c>
      <c r="AP271" s="10">
        <v>-1</v>
      </c>
      <c r="AQ271" s="10">
        <v>1</v>
      </c>
      <c r="AR271" s="10">
        <v>0</v>
      </c>
      <c r="AS271" s="10">
        <v>0</v>
      </c>
      <c r="AT271" s="10">
        <v>1</v>
      </c>
      <c r="AU271" s="13">
        <v>1</v>
      </c>
      <c r="AV271" s="13" t="str">
        <f t="shared" si="4"/>
        <v>tircha14</v>
      </c>
      <c r="AW271" s="10">
        <v>1</v>
      </c>
      <c r="AX271" s="10">
        <v>0</v>
      </c>
      <c r="AY271" s="10">
        <v>1</v>
      </c>
      <c r="AZ271" s="13"/>
    </row>
    <row r="272" spans="1:52" s="14" customFormat="1" x14ac:dyDescent="0.25">
      <c r="A272" s="10" t="s">
        <v>516</v>
      </c>
      <c r="B272" s="10">
        <v>1</v>
      </c>
      <c r="C272" s="10" t="s">
        <v>320</v>
      </c>
      <c r="D272" s="10">
        <v>152</v>
      </c>
      <c r="E272" s="10" t="s">
        <v>1177</v>
      </c>
      <c r="F272" s="13">
        <v>301</v>
      </c>
      <c r="G272" s="13">
        <v>300</v>
      </c>
      <c r="H272" s="10">
        <v>98</v>
      </c>
      <c r="I272" s="10" t="s">
        <v>1036</v>
      </c>
      <c r="J272" s="13">
        <v>-1</v>
      </c>
      <c r="K272" s="13">
        <v>-1</v>
      </c>
      <c r="L272" s="13" t="s">
        <v>56</v>
      </c>
      <c r="M272" s="12">
        <v>0</v>
      </c>
      <c r="N272" s="12">
        <v>1</v>
      </c>
      <c r="O272" s="12">
        <v>1</v>
      </c>
      <c r="P272" s="12">
        <v>1</v>
      </c>
      <c r="Q272" s="10">
        <v>1</v>
      </c>
      <c r="R272" s="10">
        <v>0</v>
      </c>
      <c r="S272" s="10">
        <v>0</v>
      </c>
      <c r="T272" s="10">
        <v>0</v>
      </c>
      <c r="U272" s="10">
        <v>0</v>
      </c>
      <c r="V272" s="13">
        <v>-1</v>
      </c>
      <c r="W272" s="13">
        <v>-1</v>
      </c>
      <c r="X272" s="10">
        <v>0</v>
      </c>
      <c r="Y272" s="10">
        <v>2</v>
      </c>
      <c r="Z272" s="10">
        <v>3676</v>
      </c>
      <c r="AA272" s="10">
        <v>1</v>
      </c>
      <c r="AB272" s="10">
        <v>53</v>
      </c>
      <c r="AC272" s="10">
        <v>1</v>
      </c>
      <c r="AD272" s="10">
        <v>1</v>
      </c>
      <c r="AE272" s="10">
        <v>-1</v>
      </c>
      <c r="AF272" s="10">
        <v>-1</v>
      </c>
      <c r="AG272" s="10">
        <v>-1</v>
      </c>
      <c r="AH272" s="10">
        <v>-1</v>
      </c>
      <c r="AI272" s="10">
        <v>-1</v>
      </c>
      <c r="AJ272" s="10">
        <v>-1</v>
      </c>
      <c r="AK272" s="10">
        <v>-1</v>
      </c>
      <c r="AL272" s="10">
        <v>-1</v>
      </c>
      <c r="AM272" s="10">
        <v>-1</v>
      </c>
      <c r="AN272" s="10">
        <v>-1</v>
      </c>
      <c r="AO272" s="10">
        <v>-1</v>
      </c>
      <c r="AP272" s="10">
        <v>-1</v>
      </c>
      <c r="AQ272" s="10">
        <v>1</v>
      </c>
      <c r="AR272" s="10">
        <v>0</v>
      </c>
      <c r="AS272" s="10">
        <v>0</v>
      </c>
      <c r="AT272" s="10">
        <v>1</v>
      </c>
      <c r="AU272" s="13">
        <v>1</v>
      </c>
      <c r="AV272" s="13" t="str">
        <f t="shared" si="4"/>
        <v>tircha15</v>
      </c>
      <c r="AW272" s="10">
        <v>1</v>
      </c>
      <c r="AX272" s="10">
        <v>0</v>
      </c>
      <c r="AY272" s="10">
        <v>1</v>
      </c>
      <c r="AZ272" s="13"/>
    </row>
    <row r="273" spans="1:52" s="14" customFormat="1" x14ac:dyDescent="0.25">
      <c r="A273" s="10" t="s">
        <v>517</v>
      </c>
      <c r="B273" s="10">
        <v>1</v>
      </c>
      <c r="C273" s="10" t="s">
        <v>326</v>
      </c>
      <c r="D273" s="10">
        <v>153</v>
      </c>
      <c r="E273" s="10" t="s">
        <v>1178</v>
      </c>
      <c r="F273" s="13">
        <v>301</v>
      </c>
      <c r="G273" s="13">
        <v>300</v>
      </c>
      <c r="H273" s="10">
        <v>101</v>
      </c>
      <c r="I273" s="10" t="s">
        <v>1036</v>
      </c>
      <c r="J273" s="13">
        <v>-1</v>
      </c>
      <c r="K273" s="13">
        <v>-1</v>
      </c>
      <c r="L273" s="13" t="s">
        <v>56</v>
      </c>
      <c r="M273" s="12">
        <v>0</v>
      </c>
      <c r="N273" s="12">
        <v>1</v>
      </c>
      <c r="O273" s="12">
        <v>1</v>
      </c>
      <c r="P273" s="12">
        <v>1</v>
      </c>
      <c r="Q273" s="10">
        <v>1</v>
      </c>
      <c r="R273" s="10">
        <v>0</v>
      </c>
      <c r="S273" s="10">
        <v>0</v>
      </c>
      <c r="T273" s="10">
        <v>0</v>
      </c>
      <c r="U273" s="10">
        <v>0</v>
      </c>
      <c r="V273" s="13">
        <v>-1</v>
      </c>
      <c r="W273" s="13">
        <v>-1</v>
      </c>
      <c r="X273" s="10">
        <v>0</v>
      </c>
      <c r="Y273" s="10">
        <v>2</v>
      </c>
      <c r="Z273" s="10">
        <v>3679</v>
      </c>
      <c r="AA273" s="10">
        <v>1</v>
      </c>
      <c r="AB273" s="10">
        <v>77</v>
      </c>
      <c r="AC273" s="10">
        <v>0.30000001192092896</v>
      </c>
      <c r="AD273" s="10">
        <v>0.30000001192092896</v>
      </c>
      <c r="AE273" s="10">
        <v>-1</v>
      </c>
      <c r="AF273" s="10">
        <v>-1</v>
      </c>
      <c r="AG273" s="10">
        <v>-1</v>
      </c>
      <c r="AH273" s="10">
        <v>-1</v>
      </c>
      <c r="AI273" s="10">
        <v>-1</v>
      </c>
      <c r="AJ273" s="10">
        <v>-1</v>
      </c>
      <c r="AK273" s="10">
        <v>-1</v>
      </c>
      <c r="AL273" s="10">
        <v>-1</v>
      </c>
      <c r="AM273" s="10">
        <v>-1</v>
      </c>
      <c r="AN273" s="10">
        <v>-1</v>
      </c>
      <c r="AO273" s="10">
        <v>-1</v>
      </c>
      <c r="AP273" s="10">
        <v>-1</v>
      </c>
      <c r="AQ273" s="10">
        <v>1</v>
      </c>
      <c r="AR273" s="10">
        <v>0</v>
      </c>
      <c r="AS273" s="10">
        <v>0</v>
      </c>
      <c r="AT273" s="10">
        <v>1</v>
      </c>
      <c r="AU273" s="13">
        <v>1</v>
      </c>
      <c r="AV273" s="13" t="str">
        <f t="shared" si="4"/>
        <v>tircha16</v>
      </c>
      <c r="AW273" s="10">
        <v>1</v>
      </c>
      <c r="AX273" s="10">
        <v>0</v>
      </c>
      <c r="AY273" s="10">
        <v>1</v>
      </c>
      <c r="AZ273" s="13"/>
    </row>
    <row r="274" spans="1:52" s="14" customFormat="1" x14ac:dyDescent="0.25">
      <c r="A274" s="10" t="s">
        <v>518</v>
      </c>
      <c r="B274" s="10">
        <v>1</v>
      </c>
      <c r="C274" s="10" t="s">
        <v>328</v>
      </c>
      <c r="D274" s="10">
        <v>154</v>
      </c>
      <c r="E274" s="10" t="s">
        <v>1179</v>
      </c>
      <c r="F274" s="13">
        <v>301</v>
      </c>
      <c r="G274" s="13">
        <v>300</v>
      </c>
      <c r="H274" s="10">
        <v>102</v>
      </c>
      <c r="I274" s="10" t="s">
        <v>1036</v>
      </c>
      <c r="J274" s="13">
        <v>-1</v>
      </c>
      <c r="K274" s="13">
        <v>-1</v>
      </c>
      <c r="L274" s="13" t="s">
        <v>56</v>
      </c>
      <c r="M274" s="12">
        <v>0</v>
      </c>
      <c r="N274" s="12">
        <v>1</v>
      </c>
      <c r="O274" s="12">
        <v>1</v>
      </c>
      <c r="P274" s="12">
        <v>1</v>
      </c>
      <c r="Q274" s="10">
        <v>1</v>
      </c>
      <c r="R274" s="10">
        <v>0</v>
      </c>
      <c r="S274" s="10">
        <v>0</v>
      </c>
      <c r="T274" s="10">
        <v>0</v>
      </c>
      <c r="U274" s="10">
        <v>0</v>
      </c>
      <c r="V274" s="13">
        <v>-1</v>
      </c>
      <c r="W274" s="13">
        <v>-1</v>
      </c>
      <c r="X274" s="10">
        <v>0</v>
      </c>
      <c r="Y274" s="10">
        <v>2</v>
      </c>
      <c r="Z274" s="10">
        <v>3680</v>
      </c>
      <c r="AA274" s="10">
        <v>1</v>
      </c>
      <c r="AB274" s="10">
        <v>12</v>
      </c>
      <c r="AC274" s="10">
        <v>0.03</v>
      </c>
      <c r="AD274" s="10">
        <v>0.03</v>
      </c>
      <c r="AE274" s="10">
        <v>-1</v>
      </c>
      <c r="AF274" s="10">
        <v>-1</v>
      </c>
      <c r="AG274" s="10">
        <v>-1</v>
      </c>
      <c r="AH274" s="10">
        <v>-1</v>
      </c>
      <c r="AI274" s="10">
        <v>-1</v>
      </c>
      <c r="AJ274" s="10">
        <v>-1</v>
      </c>
      <c r="AK274" s="10">
        <v>-1</v>
      </c>
      <c r="AL274" s="10">
        <v>-1</v>
      </c>
      <c r="AM274" s="10">
        <v>-1</v>
      </c>
      <c r="AN274" s="10">
        <v>-1</v>
      </c>
      <c r="AO274" s="10">
        <v>-1</v>
      </c>
      <c r="AP274" s="10">
        <v>-1</v>
      </c>
      <c r="AQ274" s="10">
        <v>1</v>
      </c>
      <c r="AR274" s="10">
        <v>0</v>
      </c>
      <c r="AS274" s="10">
        <v>0</v>
      </c>
      <c r="AT274" s="10">
        <v>1</v>
      </c>
      <c r="AU274" s="13">
        <v>1</v>
      </c>
      <c r="AV274" s="13" t="str">
        <f t="shared" si="4"/>
        <v>tircha17</v>
      </c>
      <c r="AW274" s="10">
        <v>1</v>
      </c>
      <c r="AX274" s="10">
        <v>0</v>
      </c>
      <c r="AY274" s="10">
        <v>1</v>
      </c>
      <c r="AZ274" s="13"/>
    </row>
    <row r="275" spans="1:52" s="14" customFormat="1" x14ac:dyDescent="0.25">
      <c r="A275" s="10" t="s">
        <v>519</v>
      </c>
      <c r="B275" s="10">
        <v>1</v>
      </c>
      <c r="C275" s="10" t="s">
        <v>330</v>
      </c>
      <c r="D275" s="10">
        <v>155</v>
      </c>
      <c r="E275" s="10" t="s">
        <v>1180</v>
      </c>
      <c r="F275" s="13">
        <v>301</v>
      </c>
      <c r="G275" s="13">
        <v>300</v>
      </c>
      <c r="H275" s="10">
        <v>103</v>
      </c>
      <c r="I275" s="10" t="s">
        <v>1037</v>
      </c>
      <c r="J275" s="13">
        <v>-1</v>
      </c>
      <c r="K275" s="13">
        <v>-1</v>
      </c>
      <c r="L275" s="13" t="s">
        <v>56</v>
      </c>
      <c r="M275" s="12">
        <v>0</v>
      </c>
      <c r="N275" s="12">
        <v>1</v>
      </c>
      <c r="O275" s="12">
        <v>1</v>
      </c>
      <c r="P275" s="12">
        <v>1</v>
      </c>
      <c r="Q275" s="10">
        <v>1</v>
      </c>
      <c r="R275" s="10">
        <v>0</v>
      </c>
      <c r="S275" s="10">
        <v>0</v>
      </c>
      <c r="T275" s="10">
        <v>0</v>
      </c>
      <c r="U275" s="10">
        <v>0</v>
      </c>
      <c r="V275" s="13">
        <v>-1</v>
      </c>
      <c r="W275" s="13">
        <v>-1</v>
      </c>
      <c r="X275" s="10">
        <v>0</v>
      </c>
      <c r="Y275" s="10">
        <v>2</v>
      </c>
      <c r="Z275" s="10">
        <v>3681</v>
      </c>
      <c r="AA275" s="10">
        <v>1</v>
      </c>
      <c r="AB275" s="10">
        <v>33</v>
      </c>
      <c r="AC275" s="10">
        <v>0.10000000149011612</v>
      </c>
      <c r="AD275" s="10">
        <v>0.10000000149011612</v>
      </c>
      <c r="AE275" s="10">
        <v>-1</v>
      </c>
      <c r="AF275" s="10">
        <v>-1</v>
      </c>
      <c r="AG275" s="10">
        <v>-1</v>
      </c>
      <c r="AH275" s="10">
        <v>-1</v>
      </c>
      <c r="AI275" s="10">
        <v>-1</v>
      </c>
      <c r="AJ275" s="10">
        <v>-1</v>
      </c>
      <c r="AK275" s="10">
        <v>-1</v>
      </c>
      <c r="AL275" s="10">
        <v>-1</v>
      </c>
      <c r="AM275" s="10">
        <v>-1</v>
      </c>
      <c r="AN275" s="10">
        <v>-1</v>
      </c>
      <c r="AO275" s="10">
        <v>-1</v>
      </c>
      <c r="AP275" s="10">
        <v>-1</v>
      </c>
      <c r="AQ275" s="10">
        <v>1</v>
      </c>
      <c r="AR275" s="10">
        <v>0</v>
      </c>
      <c r="AS275" s="10">
        <v>0</v>
      </c>
      <c r="AT275" s="10">
        <v>1</v>
      </c>
      <c r="AU275" s="13">
        <v>1</v>
      </c>
      <c r="AV275" s="13" t="str">
        <f t="shared" si="4"/>
        <v>tircha18</v>
      </c>
      <c r="AW275" s="10">
        <v>1</v>
      </c>
      <c r="AX275" s="10">
        <v>0</v>
      </c>
      <c r="AY275" s="10">
        <v>1</v>
      </c>
      <c r="AZ275" s="13"/>
    </row>
    <row r="276" spans="1:52" s="14" customFormat="1" x14ac:dyDescent="0.25">
      <c r="A276" s="10" t="s">
        <v>520</v>
      </c>
      <c r="B276" s="10">
        <v>1</v>
      </c>
      <c r="C276" s="10" t="s">
        <v>332</v>
      </c>
      <c r="D276" s="10">
        <v>156</v>
      </c>
      <c r="E276" s="10" t="s">
        <v>1181</v>
      </c>
      <c r="F276" s="13">
        <v>301</v>
      </c>
      <c r="G276" s="13">
        <v>300</v>
      </c>
      <c r="H276" s="10">
        <v>104</v>
      </c>
      <c r="I276" s="10" t="s">
        <v>1036</v>
      </c>
      <c r="J276" s="13">
        <v>-1</v>
      </c>
      <c r="K276" s="13">
        <v>-1</v>
      </c>
      <c r="L276" s="13" t="s">
        <v>56</v>
      </c>
      <c r="M276" s="12">
        <v>0</v>
      </c>
      <c r="N276" s="12">
        <v>1</v>
      </c>
      <c r="O276" s="12">
        <v>1</v>
      </c>
      <c r="P276" s="12">
        <v>1</v>
      </c>
      <c r="Q276" s="10">
        <v>1</v>
      </c>
      <c r="R276" s="10">
        <v>0</v>
      </c>
      <c r="S276" s="10">
        <v>0</v>
      </c>
      <c r="T276" s="10">
        <v>0</v>
      </c>
      <c r="U276" s="10">
        <v>0</v>
      </c>
      <c r="V276" s="13">
        <v>-1</v>
      </c>
      <c r="W276" s="13">
        <v>-1</v>
      </c>
      <c r="X276" s="10">
        <v>0</v>
      </c>
      <c r="Y276" s="10">
        <v>0</v>
      </c>
      <c r="Z276" s="10">
        <v>3682</v>
      </c>
      <c r="AA276" s="10">
        <v>1</v>
      </c>
      <c r="AB276" s="10">
        <v>18</v>
      </c>
      <c r="AC276" s="10">
        <v>0.05</v>
      </c>
      <c r="AD276" s="10">
        <v>0.05</v>
      </c>
      <c r="AE276" s="10">
        <v>-1</v>
      </c>
      <c r="AF276" s="10">
        <v>-1</v>
      </c>
      <c r="AG276" s="10">
        <v>-1</v>
      </c>
      <c r="AH276" s="10">
        <v>-1</v>
      </c>
      <c r="AI276" s="10">
        <v>-1</v>
      </c>
      <c r="AJ276" s="10">
        <v>-1</v>
      </c>
      <c r="AK276" s="10">
        <v>-1</v>
      </c>
      <c r="AL276" s="10">
        <v>-1</v>
      </c>
      <c r="AM276" s="10">
        <v>-1</v>
      </c>
      <c r="AN276" s="10">
        <v>-1</v>
      </c>
      <c r="AO276" s="10">
        <v>-1</v>
      </c>
      <c r="AP276" s="10">
        <v>-1</v>
      </c>
      <c r="AQ276" s="10">
        <v>1</v>
      </c>
      <c r="AR276" s="10">
        <v>0</v>
      </c>
      <c r="AS276" s="10">
        <v>0</v>
      </c>
      <c r="AT276" s="10">
        <v>1</v>
      </c>
      <c r="AU276" s="13">
        <v>1</v>
      </c>
      <c r="AV276" s="13" t="str">
        <f t="shared" si="4"/>
        <v>tircha19</v>
      </c>
      <c r="AW276" s="10">
        <v>1</v>
      </c>
      <c r="AX276" s="10">
        <v>0</v>
      </c>
      <c r="AY276" s="10">
        <v>1</v>
      </c>
      <c r="AZ276" s="13"/>
    </row>
    <row r="277" spans="1:52" s="14" customFormat="1" x14ac:dyDescent="0.25">
      <c r="A277" s="10" t="s">
        <v>521</v>
      </c>
      <c r="B277" s="10">
        <v>1</v>
      </c>
      <c r="C277" s="10" t="s">
        <v>334</v>
      </c>
      <c r="D277" s="10">
        <v>157</v>
      </c>
      <c r="E277" s="10" t="s">
        <v>1182</v>
      </c>
      <c r="F277" s="13">
        <v>301</v>
      </c>
      <c r="G277" s="13">
        <v>300</v>
      </c>
      <c r="H277" s="10">
        <v>105</v>
      </c>
      <c r="I277" s="10" t="s">
        <v>1036</v>
      </c>
      <c r="J277" s="13">
        <v>-1</v>
      </c>
      <c r="K277" s="13">
        <v>-1</v>
      </c>
      <c r="L277" s="13" t="s">
        <v>56</v>
      </c>
      <c r="M277" s="12">
        <v>0</v>
      </c>
      <c r="N277" s="12">
        <v>1</v>
      </c>
      <c r="O277" s="12">
        <v>1</v>
      </c>
      <c r="P277" s="12">
        <v>1</v>
      </c>
      <c r="Q277" s="10">
        <v>1</v>
      </c>
      <c r="R277" s="10">
        <v>0</v>
      </c>
      <c r="S277" s="10">
        <v>0</v>
      </c>
      <c r="T277" s="10">
        <v>0</v>
      </c>
      <c r="U277" s="10">
        <v>0</v>
      </c>
      <c r="V277" s="13">
        <v>-1</v>
      </c>
      <c r="W277" s="13">
        <v>-1</v>
      </c>
      <c r="X277" s="10">
        <v>0</v>
      </c>
      <c r="Y277" s="10">
        <v>1</v>
      </c>
      <c r="Z277" s="10">
        <v>3683</v>
      </c>
      <c r="AA277" s="10">
        <v>1</v>
      </c>
      <c r="AB277" s="10">
        <v>24</v>
      </c>
      <c r="AC277" s="10">
        <v>0.05</v>
      </c>
      <c r="AD277" s="10">
        <v>0.05</v>
      </c>
      <c r="AE277" s="10">
        <v>-1</v>
      </c>
      <c r="AF277" s="10">
        <v>-1</v>
      </c>
      <c r="AG277" s="10">
        <v>-1</v>
      </c>
      <c r="AH277" s="10">
        <v>-1</v>
      </c>
      <c r="AI277" s="10">
        <v>-1</v>
      </c>
      <c r="AJ277" s="10">
        <v>-1</v>
      </c>
      <c r="AK277" s="10">
        <v>-1</v>
      </c>
      <c r="AL277" s="10">
        <v>-1</v>
      </c>
      <c r="AM277" s="10">
        <v>-1</v>
      </c>
      <c r="AN277" s="10">
        <v>-1</v>
      </c>
      <c r="AO277" s="10">
        <v>-1</v>
      </c>
      <c r="AP277" s="10">
        <v>-1</v>
      </c>
      <c r="AQ277" s="10">
        <v>1</v>
      </c>
      <c r="AR277" s="10">
        <v>0</v>
      </c>
      <c r="AS277" s="10">
        <v>0</v>
      </c>
      <c r="AT277" s="10">
        <v>1</v>
      </c>
      <c r="AU277" s="13">
        <v>1</v>
      </c>
      <c r="AV277" s="13" t="str">
        <f t="shared" si="4"/>
        <v>tircha20</v>
      </c>
      <c r="AW277" s="10">
        <v>1</v>
      </c>
      <c r="AX277" s="10">
        <v>0</v>
      </c>
      <c r="AY277" s="10">
        <v>1</v>
      </c>
      <c r="AZ277" s="13"/>
    </row>
    <row r="278" spans="1:52" s="14" customFormat="1" x14ac:dyDescent="0.25">
      <c r="A278" s="11" t="s">
        <v>522</v>
      </c>
      <c r="B278" s="10">
        <v>1</v>
      </c>
      <c r="C278" s="10" t="s">
        <v>338</v>
      </c>
      <c r="D278" s="10">
        <v>158</v>
      </c>
      <c r="E278" s="10" t="s">
        <v>1183</v>
      </c>
      <c r="F278" s="13">
        <v>301</v>
      </c>
      <c r="G278" s="13">
        <v>300</v>
      </c>
      <c r="H278" s="10">
        <v>107</v>
      </c>
      <c r="I278" s="10" t="s">
        <v>1036</v>
      </c>
      <c r="J278" s="13">
        <v>-1</v>
      </c>
      <c r="K278" s="13">
        <v>-1</v>
      </c>
      <c r="L278" s="13" t="s">
        <v>56</v>
      </c>
      <c r="M278" s="12">
        <v>0</v>
      </c>
      <c r="N278" s="12">
        <v>1</v>
      </c>
      <c r="O278" s="12">
        <v>1</v>
      </c>
      <c r="P278" s="12">
        <v>1</v>
      </c>
      <c r="Q278" s="10">
        <v>1</v>
      </c>
      <c r="R278" s="10">
        <v>0</v>
      </c>
      <c r="S278" s="10">
        <v>0</v>
      </c>
      <c r="T278" s="10">
        <v>0</v>
      </c>
      <c r="U278" s="10">
        <v>0</v>
      </c>
      <c r="V278" s="13">
        <v>-1</v>
      </c>
      <c r="W278" s="13">
        <v>-1</v>
      </c>
      <c r="X278" s="10">
        <v>0</v>
      </c>
      <c r="Y278" s="10">
        <v>2</v>
      </c>
      <c r="Z278" s="10">
        <v>3685</v>
      </c>
      <c r="AA278" s="10">
        <v>2</v>
      </c>
      <c r="AB278" s="10">
        <v>48</v>
      </c>
      <c r="AC278" s="11">
        <v>7</v>
      </c>
      <c r="AD278" s="11">
        <v>21</v>
      </c>
      <c r="AE278" s="10">
        <v>78</v>
      </c>
      <c r="AF278" s="10">
        <v>10</v>
      </c>
      <c r="AG278" s="10">
        <v>30</v>
      </c>
      <c r="AH278" s="10">
        <v>-1</v>
      </c>
      <c r="AI278" s="10">
        <v>-1</v>
      </c>
      <c r="AJ278" s="10">
        <v>-1</v>
      </c>
      <c r="AK278" s="10">
        <v>-1</v>
      </c>
      <c r="AL278" s="10">
        <v>-1</v>
      </c>
      <c r="AM278" s="10">
        <v>-1</v>
      </c>
      <c r="AN278" s="10">
        <v>-1</v>
      </c>
      <c r="AO278" s="10">
        <v>-1</v>
      </c>
      <c r="AP278" s="10">
        <v>-1</v>
      </c>
      <c r="AQ278" s="10">
        <v>1</v>
      </c>
      <c r="AR278" s="10">
        <v>0</v>
      </c>
      <c r="AS278" s="10">
        <v>0</v>
      </c>
      <c r="AT278" s="10">
        <v>1</v>
      </c>
      <c r="AU278" s="13">
        <v>1</v>
      </c>
      <c r="AV278" s="13" t="str">
        <f t="shared" si="4"/>
        <v>tircha21</v>
      </c>
      <c r="AW278" s="10">
        <v>1</v>
      </c>
      <c r="AX278" s="10">
        <v>0</v>
      </c>
      <c r="AY278" s="10">
        <v>1</v>
      </c>
      <c r="AZ278" s="13"/>
    </row>
    <row r="279" spans="1:52" s="14" customFormat="1" x14ac:dyDescent="0.25">
      <c r="A279" s="10" t="s">
        <v>523</v>
      </c>
      <c r="B279" s="10">
        <v>1</v>
      </c>
      <c r="C279" s="10" t="s">
        <v>340</v>
      </c>
      <c r="D279" s="10">
        <v>159</v>
      </c>
      <c r="E279" s="10" t="s">
        <v>1184</v>
      </c>
      <c r="F279" s="13">
        <v>301</v>
      </c>
      <c r="G279" s="13">
        <v>300</v>
      </c>
      <c r="H279" s="10">
        <v>108</v>
      </c>
      <c r="I279" s="10" t="s">
        <v>1038</v>
      </c>
      <c r="J279" s="13">
        <v>-1</v>
      </c>
      <c r="K279" s="13">
        <v>-1</v>
      </c>
      <c r="L279" s="13" t="s">
        <v>56</v>
      </c>
      <c r="M279" s="12">
        <v>0</v>
      </c>
      <c r="N279" s="12">
        <v>1</v>
      </c>
      <c r="O279" s="12">
        <v>1</v>
      </c>
      <c r="P279" s="12">
        <v>1</v>
      </c>
      <c r="Q279" s="10">
        <v>1</v>
      </c>
      <c r="R279" s="10">
        <v>0</v>
      </c>
      <c r="S279" s="10">
        <v>0</v>
      </c>
      <c r="T279" s="10">
        <v>0</v>
      </c>
      <c r="U279" s="10">
        <v>0</v>
      </c>
      <c r="V279" s="13">
        <v>-1</v>
      </c>
      <c r="W279" s="13">
        <v>-1</v>
      </c>
      <c r="X279" s="10">
        <v>0</v>
      </c>
      <c r="Y279" s="10">
        <v>2</v>
      </c>
      <c r="Z279" s="10">
        <v>3686</v>
      </c>
      <c r="AA279" s="10">
        <v>1</v>
      </c>
      <c r="AB279" s="10">
        <v>29</v>
      </c>
      <c r="AC279" s="10">
        <v>0.10000000149011612</v>
      </c>
      <c r="AD279" s="10">
        <v>0.10000000149011612</v>
      </c>
      <c r="AE279" s="10">
        <v>-1</v>
      </c>
      <c r="AF279" s="10">
        <v>-1</v>
      </c>
      <c r="AG279" s="10">
        <v>-1</v>
      </c>
      <c r="AH279" s="10">
        <v>-1</v>
      </c>
      <c r="AI279" s="10">
        <v>-1</v>
      </c>
      <c r="AJ279" s="10">
        <v>-1</v>
      </c>
      <c r="AK279" s="10">
        <v>-1</v>
      </c>
      <c r="AL279" s="10">
        <v>-1</v>
      </c>
      <c r="AM279" s="10">
        <v>-1</v>
      </c>
      <c r="AN279" s="10">
        <v>-1</v>
      </c>
      <c r="AO279" s="10">
        <v>-1</v>
      </c>
      <c r="AP279" s="10">
        <v>-1</v>
      </c>
      <c r="AQ279" s="10">
        <v>1</v>
      </c>
      <c r="AR279" s="10">
        <v>0</v>
      </c>
      <c r="AS279" s="10">
        <v>0</v>
      </c>
      <c r="AT279" s="10">
        <v>1</v>
      </c>
      <c r="AU279" s="13">
        <v>1</v>
      </c>
      <c r="AV279" s="13" t="str">
        <f t="shared" si="4"/>
        <v>tircha22</v>
      </c>
      <c r="AW279" s="10">
        <v>1</v>
      </c>
      <c r="AX279" s="10">
        <v>0</v>
      </c>
      <c r="AY279" s="10">
        <v>1</v>
      </c>
      <c r="AZ279" s="13"/>
    </row>
    <row r="280" spans="1:52" s="14" customFormat="1" x14ac:dyDescent="0.25">
      <c r="A280" s="10" t="s">
        <v>524</v>
      </c>
      <c r="B280" s="10">
        <v>1</v>
      </c>
      <c r="C280" s="10" t="s">
        <v>342</v>
      </c>
      <c r="D280" s="10">
        <v>160</v>
      </c>
      <c r="E280" s="10" t="s">
        <v>1185</v>
      </c>
      <c r="F280" s="13">
        <v>301</v>
      </c>
      <c r="G280" s="13">
        <v>300</v>
      </c>
      <c r="H280" s="10">
        <v>109</v>
      </c>
      <c r="I280" s="10" t="s">
        <v>1036</v>
      </c>
      <c r="J280" s="13">
        <v>-1</v>
      </c>
      <c r="K280" s="13">
        <v>-1</v>
      </c>
      <c r="L280" s="13" t="s">
        <v>56</v>
      </c>
      <c r="M280" s="12">
        <v>0</v>
      </c>
      <c r="N280" s="12">
        <v>1</v>
      </c>
      <c r="O280" s="12">
        <v>1</v>
      </c>
      <c r="P280" s="12">
        <v>1</v>
      </c>
      <c r="Q280" s="10">
        <v>1</v>
      </c>
      <c r="R280" s="10">
        <v>0</v>
      </c>
      <c r="S280" s="10">
        <v>0</v>
      </c>
      <c r="T280" s="10">
        <v>0</v>
      </c>
      <c r="U280" s="10">
        <v>0</v>
      </c>
      <c r="V280" s="13">
        <v>-1</v>
      </c>
      <c r="W280" s="13">
        <v>-1</v>
      </c>
      <c r="X280" s="10">
        <v>0</v>
      </c>
      <c r="Y280" s="10">
        <v>2</v>
      </c>
      <c r="Z280" s="10">
        <v>3687</v>
      </c>
      <c r="AA280" s="10">
        <v>1</v>
      </c>
      <c r="AB280" s="10">
        <v>28</v>
      </c>
      <c r="AC280" s="10">
        <v>25</v>
      </c>
      <c r="AD280" s="10">
        <v>25</v>
      </c>
      <c r="AE280" s="10">
        <v>-1</v>
      </c>
      <c r="AF280" s="10">
        <v>-1</v>
      </c>
      <c r="AG280" s="10">
        <v>-1</v>
      </c>
      <c r="AH280" s="10">
        <v>-1</v>
      </c>
      <c r="AI280" s="10">
        <v>-1</v>
      </c>
      <c r="AJ280" s="10">
        <v>-1</v>
      </c>
      <c r="AK280" s="10">
        <v>-1</v>
      </c>
      <c r="AL280" s="10">
        <v>-1</v>
      </c>
      <c r="AM280" s="10">
        <v>-1</v>
      </c>
      <c r="AN280" s="10">
        <v>-1</v>
      </c>
      <c r="AO280" s="10">
        <v>-1</v>
      </c>
      <c r="AP280" s="10">
        <v>-1</v>
      </c>
      <c r="AQ280" s="10">
        <v>1</v>
      </c>
      <c r="AR280" s="10">
        <v>0</v>
      </c>
      <c r="AS280" s="10">
        <v>0</v>
      </c>
      <c r="AT280" s="10">
        <v>1</v>
      </c>
      <c r="AU280" s="13">
        <v>1</v>
      </c>
      <c r="AV280" s="13" t="str">
        <f t="shared" si="4"/>
        <v>tircha23</v>
      </c>
      <c r="AW280" s="10">
        <v>1</v>
      </c>
      <c r="AX280" s="10">
        <v>0</v>
      </c>
      <c r="AY280" s="10">
        <v>1</v>
      </c>
      <c r="AZ280" s="13"/>
    </row>
    <row r="281" spans="1:52" s="14" customFormat="1" x14ac:dyDescent="0.25">
      <c r="A281" s="10" t="s">
        <v>525</v>
      </c>
      <c r="B281" s="10">
        <v>1</v>
      </c>
      <c r="C281" s="10" t="s">
        <v>344</v>
      </c>
      <c r="D281" s="10">
        <v>161</v>
      </c>
      <c r="E281" s="10" t="s">
        <v>1186</v>
      </c>
      <c r="F281" s="13">
        <v>301</v>
      </c>
      <c r="G281" s="13">
        <v>300</v>
      </c>
      <c r="H281" s="10">
        <v>110</v>
      </c>
      <c r="I281" s="10" t="s">
        <v>1036</v>
      </c>
      <c r="J281" s="13">
        <v>-1</v>
      </c>
      <c r="K281" s="13">
        <v>-1</v>
      </c>
      <c r="L281" s="13" t="s">
        <v>56</v>
      </c>
      <c r="M281" s="12">
        <v>0</v>
      </c>
      <c r="N281" s="12">
        <v>1</v>
      </c>
      <c r="O281" s="12">
        <v>1</v>
      </c>
      <c r="P281" s="12">
        <v>1</v>
      </c>
      <c r="Q281" s="10">
        <v>1</v>
      </c>
      <c r="R281" s="10">
        <v>0</v>
      </c>
      <c r="S281" s="10">
        <v>0</v>
      </c>
      <c r="T281" s="10">
        <v>0</v>
      </c>
      <c r="U281" s="10">
        <v>0</v>
      </c>
      <c r="V281" s="13">
        <v>-1</v>
      </c>
      <c r="W281" s="13">
        <v>-1</v>
      </c>
      <c r="X281" s="10">
        <v>0</v>
      </c>
      <c r="Y281" s="10">
        <v>2</v>
      </c>
      <c r="Z281" s="10">
        <v>3688</v>
      </c>
      <c r="AA281" s="10">
        <v>1</v>
      </c>
      <c r="AB281" s="10">
        <v>28</v>
      </c>
      <c r="AC281" s="10">
        <v>-5</v>
      </c>
      <c r="AD281" s="10">
        <v>-5</v>
      </c>
      <c r="AE281" s="10">
        <v>-1</v>
      </c>
      <c r="AF281" s="10">
        <v>-1</v>
      </c>
      <c r="AG281" s="10">
        <v>-1</v>
      </c>
      <c r="AH281" s="10">
        <v>-1</v>
      </c>
      <c r="AI281" s="10">
        <v>-1</v>
      </c>
      <c r="AJ281" s="10">
        <v>-1</v>
      </c>
      <c r="AK281" s="10">
        <v>-1</v>
      </c>
      <c r="AL281" s="10">
        <v>-1</v>
      </c>
      <c r="AM281" s="10">
        <v>-1</v>
      </c>
      <c r="AN281" s="10">
        <v>-1</v>
      </c>
      <c r="AO281" s="10">
        <v>-1</v>
      </c>
      <c r="AP281" s="10">
        <v>-1</v>
      </c>
      <c r="AQ281" s="10">
        <v>1</v>
      </c>
      <c r="AR281" s="10">
        <v>0</v>
      </c>
      <c r="AS281" s="10">
        <v>0</v>
      </c>
      <c r="AT281" s="10">
        <v>1</v>
      </c>
      <c r="AU281" s="13">
        <v>1</v>
      </c>
      <c r="AV281" s="13" t="str">
        <f t="shared" si="4"/>
        <v>tircha24</v>
      </c>
      <c r="AW281" s="10">
        <v>1</v>
      </c>
      <c r="AX281" s="10">
        <v>0</v>
      </c>
      <c r="AY281" s="10">
        <v>1</v>
      </c>
      <c r="AZ281" s="13"/>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1</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0.03</v>
      </c>
      <c r="AC225">
        <f>ResourceItem!AD225</f>
        <v>0.03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0.05</v>
      </c>
      <c r="AC226">
        <f>ResourceItem!AD226</f>
        <v>0.05</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0.05</v>
      </c>
      <c r="AC227">
        <f>ResourceItem!AD227</f>
        <v>0.05</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25</v>
      </c>
      <c r="AC230">
        <f>ResourceItem!AD230</f>
        <v>25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1</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0.03</v>
      </c>
      <c r="AC262">
        <f>ResourceItem!AD262</f>
        <v>0.03</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0.10000000149011612</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0.05</v>
      </c>
      <c r="AC264">
        <f>ResourceItem!AD264</f>
        <v>0.05</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0.05</v>
      </c>
      <c r="AC265">
        <f>ResourceItem!AD265</f>
        <v>0.05</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0.10000000149011612</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25</v>
      </c>
      <c r="AC268">
        <f>ResourceItem!AD268</f>
        <v>25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7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7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7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1</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7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7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0.03</v>
      </c>
      <c r="AC274">
        <f>ResourceItem!AD274</f>
        <v>0.03</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7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0.10000000149011612</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7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0.05</v>
      </c>
      <c r="AC276">
        <f>ResourceItem!AD276</f>
        <v>0.05</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7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0.05</v>
      </c>
      <c r="AC277">
        <f>ResourceItem!AD277</f>
        <v>0.05</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7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7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0.10000000149011612</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7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25</v>
      </c>
      <c r="AC280">
        <f>ResourceItem!AD280</f>
        <v>25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7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2025-12-17T07:15:54Z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